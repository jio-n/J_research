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worksheets/sheet5.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worksheets/sheet6.xml" ContentType="application/vnd.openxmlformats-officedocument.spreadsheetml.worksheet+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worksheets/sheet7.xml" ContentType="application/vnd.openxmlformats-officedocument.spreadsheetml.worksheet+xml"/>
  <Override PartName="/xl/tables/table14.xml" ContentType="application/vnd.openxmlformats-officedocument.spreadsheetml.table+xml"/>
  <Override PartName="/xl/worksheets/sheet8.xml" ContentType="application/vnd.openxmlformats-officedocument.spreadsheetml.worksheet+xml"/>
  <Override PartName="/xl/tables/table15.xml" ContentType="application/vnd.openxmlformats-officedocument.spreadsheetml.table+xml"/>
  <Override PartName="/xl/worksheets/sheet9.xml" ContentType="application/vnd.openxmlformats-officedocument.spreadsheetml.worksheet+xml"/>
  <Override PartName="/xl/tables/table16.xml" ContentType="application/vnd.openxmlformats-officedocument.spreadsheetml.table+xml"/>
  <Override PartName="/xl/worksheets/sheet10.xml" ContentType="application/vnd.openxmlformats-officedocument.spreadsheetml.worksheet+xml"/>
  <Override PartName="/xl/tables/table17.xml" ContentType="application/vnd.openxmlformats-officedocument.spreadsheetml.table+xml"/>
  <Override PartName="/xl/worksheets/sheet11.xml" ContentType="application/vnd.openxmlformats-officedocument.spreadsheetml.worksheet+xml"/>
  <Override PartName="/xl/tables/table1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a774e0a5c324dd4" /></Relationships>
</file>

<file path=xl/workbook.xml><?xml version="1.0" encoding="utf-8"?>
<x:workbook xmlns:x="http://schemas.openxmlformats.org/spreadsheetml/2006/main">
  <x:sheets>
    <x:sheet xmlns:r="http://schemas.openxmlformats.org/officeDocument/2006/relationships" name="技術動向・年度比較" sheetId="1" r:id="R834e9bf31e0c4b01"/>
    <x:sheet xmlns:r="http://schemas.openxmlformats.org/officeDocument/2006/relationships" name="報告用比較・提言" sheetId="2" r:id="Raf5f36b9613b4d48"/>
    <x:sheet xmlns:r="http://schemas.openxmlformats.org/officeDocument/2006/relationships" name="仕事から見る技術全体マップ" sheetId="3" r:id="R9540628aaf1740d4"/>
    <x:sheet xmlns:r="http://schemas.openxmlformats.org/officeDocument/2006/relationships" name="技術別企業・年度比較" sheetId="4" r:id="R660c1899b7064734"/>
    <x:sheet xmlns:r="http://schemas.openxmlformats.org/officeDocument/2006/relationships" name="横断比較・技術マップ" sheetId="5" r:id="R76886900aac24930"/>
    <x:sheet xmlns:r="http://schemas.openxmlformats.org/officeDocument/2006/relationships" name="共通課題・研究候補" sheetId="6" r:id="Rd83783cb2a4547cb"/>
    <x:sheet xmlns:r="http://schemas.openxmlformats.org/officeDocument/2006/relationships" name="カテゴリー別訪問優先" sheetId="7" r:id="R5b8f6e6eb1514762"/>
    <x:sheet xmlns:r="http://schemas.openxmlformats.org/officeDocument/2006/relationships" name="カテゴリー索引" sheetId="8" r:id="Rfab2ec420c56451b"/>
    <x:sheet xmlns:r="http://schemas.openxmlformats.org/officeDocument/2006/relationships" name="展示詳細" sheetId="9" r:id="R69ad780243e44d11"/>
    <x:sheet xmlns:r="http://schemas.openxmlformats.org/officeDocument/2006/relationships" name="カテゴリー定義" sheetId="10" r:id="Rcdfbc0d776a2402e"/>
    <x:sheet xmlns:r="http://schemas.openxmlformats.org/officeDocument/2006/relationships" name="候補仕分け" sheetId="11" r:id="R89baf95e2f2e4bba"/>
  </x:sheets>
  <x:calcPr calcMode="auto" fullCalcOnLoad="1" forceFullCalc="1"/>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9">
    <x:font>
      <x:sz val="11"/>
      <x:name val="Carlito"/>
    </x:font>
    <x:font>
      <x:sz val="11"/>
      <x:color rgb="FF203746"/>
      <x:name val="Meiryo"/>
    </x:font>
    <x:font>
      <x:b/>
      <x:sz val="16"/>
      <x:color rgb="FF173C55"/>
      <x:name val="Meiryo"/>
    </x:font>
    <x:font>
      <x:sz val="10"/>
      <x:color rgb="FF526B7A"/>
      <x:name val="Meiryo"/>
    </x:font>
    <x:font>
      <x:b/>
      <x:sz val="11"/>
      <x:color rgb="FFFFFFFF"/>
      <x:name val="Meiryo"/>
    </x:font>
    <x:font>
      <x:b/>
      <x:sz val="12"/>
      <x:color rgb="FF173C55"/>
      <x:name val="Meiryo"/>
    </x:font>
    <x:font>
      <x:b/>
      <x:sz val="15"/>
      <x:color rgb="FF173C55"/>
      <x:name val="Meiryo"/>
    </x:font>
    <x:font>
      <x:b/>
      <x:sz val="11"/>
      <x:color rgb="FF173C55"/>
      <x:name val="Meiryo"/>
    </x:font>
    <x:font>
      <x:u val="single"/>
      <x:sz val="11"/>
      <x:color rgb="FF006F85"/>
      <x:name val="Meiryo"/>
    </x:font>
  </x:fonts>
  <x:fills count="7">
    <x:fill>
      <x:patternFill patternType="none"/>
    </x:fill>
    <x:fill>
      <x:patternFill patternType="gray125"/>
    </x:fill>
    <x:fill>
      <x:patternFill patternType="solid">
        <x:fgColor rgb="FF244B63"/>
      </x:patternFill>
    </x:fill>
    <x:fill>
      <x:patternFill patternType="solid">
        <x:fgColor rgb="FFE8F0F5"/>
      </x:patternFill>
    </x:fill>
    <x:fill>
      <x:patternFill patternType="solid">
        <x:fgColor rgb="FFF5F7FA"/>
      </x:patternFill>
    </x:fill>
    <x:fill>
      <x:patternFill patternType="solid">
        <x:fgColor rgb="FFEDF7F7"/>
      </x:patternFill>
    </x:fill>
    <x:fill>
      <x:patternFill patternType="solid">
        <x:fgColor rgb="FFEEF5ED"/>
      </x:patternFill>
    </x:fill>
  </x:fills>
  <x:borders count="1">
    <x:border>
      <x:left/>
      <x:right/>
      <x:top/>
      <x:bottom/>
      <x:diagonal/>
    </x:border>
  </x:borders>
  <x:cellStyleXfs count="1">
    <x:xf numFmtId="0" fontId="0" fillId="0" borderId="0"/>
  </x:cellStyleXfs>
  <x:cellXfs count="24">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0"/>
    </x:xf>
    <x:xf numFmtId="0" fontId="3" fillId="0" borderId="0" xfId="0" applyNumberFormat="1" applyFont="1" applyFill="1" applyBorder="1"/>
    <x:xf numFmtId="0" fontId="3" fillId="0" borderId="0" xfId="0" applyNumberFormat="1" applyFont="1" applyFill="1" applyBorder="1" applyAlignment="1">
      <x:alignment wrapText="0"/>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wrapText="1"/>
    </x:xf>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5" fillId="0"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6" fillId="0" borderId="0" xfId="0" applyNumberFormat="1" applyFont="1" applyFill="1" applyBorder="1"/>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8"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fb8e35d059344ca" /><Relationship Type="http://schemas.openxmlformats.org/officeDocument/2006/relationships/theme" Target="/xl/theme/theme1.xml" Id="R62f2b14e00c74524" /><Relationship Type="http://schemas.openxmlformats.org/officeDocument/2006/relationships/sharedStrings" Target="/xl/sharedStrings.xml" Id="Rbe7fd3e513244ff3" /><Relationship Type="http://schemas.openxmlformats.org/officeDocument/2006/relationships/worksheet" Target="/xl/worksheets/sheet1.xml" Id="R834e9bf31e0c4b01" /><Relationship Type="http://schemas.openxmlformats.org/officeDocument/2006/relationships/worksheet" Target="/xl/worksheets/sheet2.xml" Id="Raf5f36b9613b4d48" /><Relationship Type="http://schemas.openxmlformats.org/officeDocument/2006/relationships/worksheet" Target="/xl/worksheets/sheet3.xml" Id="R9540628aaf1740d4" /><Relationship Type="http://schemas.openxmlformats.org/officeDocument/2006/relationships/worksheet" Target="/xl/worksheets/sheet4.xml" Id="R660c1899b7064734" /><Relationship Type="http://schemas.openxmlformats.org/officeDocument/2006/relationships/worksheet" Target="/xl/worksheets/sheet5.xml" Id="R76886900aac24930" /><Relationship Type="http://schemas.openxmlformats.org/officeDocument/2006/relationships/worksheet" Target="/xl/worksheets/sheet6.xml" Id="Rd83783cb2a4547cb" /><Relationship Type="http://schemas.openxmlformats.org/officeDocument/2006/relationships/worksheet" Target="/xl/worksheets/sheet7.xml" Id="R5b8f6e6eb1514762" /><Relationship Type="http://schemas.openxmlformats.org/officeDocument/2006/relationships/worksheet" Target="/xl/worksheets/sheet8.xml" Id="Rfab2ec420c56451b" /><Relationship Type="http://schemas.openxmlformats.org/officeDocument/2006/relationships/worksheet" Target="/xl/worksheets/sheet9.xml" Id="R69ad780243e44d11" /><Relationship Type="http://schemas.openxmlformats.org/officeDocument/2006/relationships/worksheet" Target="/xl/worksheets/sheet10.xml" Id="Rcdfbc0d776a2402e" /><Relationship Type="http://schemas.openxmlformats.org/officeDocument/2006/relationships/worksheet" Target="/xl/worksheets/sheet11.xml" Id="R89baf95e2f2e4bba" /></Relationships>
</file>

<file path=xl/tables/table1.xml><?xml version="1.0" encoding="utf-8"?>
<x:table xmlns:x="http://schemas.openxmlformats.org/spreadsheetml/2006/main" id="17" name="TopicYearComparison" displayName="TopicYearComparison" ref="A6:H12" headerRowCount="1" totalsRowCount="0" totalsRowShown="0">
  <x:autoFilter ref="A6:H12"/>
  <x:tableColumns count="8">
    <x:tableColumn id="1" name="分野"/>
    <x:tableColumn id="2" name="現場の困りごと〈分析〉"/>
    <x:tableColumn id="3" name="使う技術と狙い〈分析〉"/>
    <x:tableColumn id="4" name="2024年以前にもあったこと"/>
    <x:tableColumn id="5" name="2025–2026年に具体化したこと"/>
    <x:tableColumn id="6" name="変化の読み方〈分析〉"/>
    <x:tableColumn id="7" name="比較の限界"/>
    <x:tableColumn id="8" name="根拠となる仕事・事例"/>
  </x:tableColumns>
  <x:tableStyleInfo name="TableStyleLight9" showFirstColumn="0" showLastColumn="0" showRowStripes="1" showColumnStripes="0"/>
</x:table>
</file>

<file path=xl/tables/table2.xml><?xml version="1.0" encoding="utf-8"?>
<x:table xmlns:x="http://schemas.openxmlformats.org/spreadsheetml/2006/main" id="18" name="MacroResearchDirections" displayName="MacroResearchDirections" ref="A20:I24" headerRowCount="1" totalsRowCount="0" totalsRowShown="0">
  <x:autoFilter ref="A20:I24"/>
  <x:tableColumns count="9">
    <x:tableColumn id="1" name="開発の大テーマ"/>
    <x:tableColumn id="2" name="解決するニーズ"/>
    <x:tableColumn id="3" name="確認した展示・開発の広がり"/>
    <x:tableColumn id="4" name="狙う立ち位置"/>
    <x:tableColumn id="5" name="何を・どの技術で開発するか"/>
    <x:tableColumn id="6" name="開発余地の仮説"/>
    <x:tableColumn id="7" name="既存技術・着手の考え方"/>
    <x:tableColumn id="8" name="評価指標"/>
    <x:tableColumn id="9" name="根拠となる仕事"/>
  </x:tableColumns>
  <x:tableStyleInfo name="TableStyleLight9" showFirstColumn="0" showLastColumn="0" showRowStripes="1" showColumnStripes="0"/>
</x:table>
</file>

<file path=xl/tables/table3.xml><?xml version="1.0" encoding="utf-8"?>
<x:table xmlns:x="http://schemas.openxmlformats.org/spreadsheetml/2006/main" id="15" name="ReportCaseComparison" displayName="ReportCaseComparison" ref="A6:M63" headerRowCount="1" totalsRowCount="0" totalsRowShown="0">
  <x:autoFilter ref="A6:M63"/>
  <x:tableColumns count="13">
    <x:tableColumn id="1" name="技術・用途"/>
    <x:tableColumn id="2" name="企業名"/>
    <x:tableColumn id="3" name="製品・展示"/>
    <x:tableColumn id="4" name="2026ブース"/>
    <x:tableColumn id="5" name="対象の仕事"/>
    <x:tableColumn id="6" name="減らしたい負担〈分析〉"/>
    <x:tableColumn id="7" name="使う技術・担当する仕事〈公式説明〉"/>
    <x:tableColumn id="8" name="AIの位置づけ"/>
    <x:tableColumn id="9" name="人の関与・未確認"/>
    <x:tableColumn id="10" name="2024からの変化"/>
    <x:tableColumn id="11" name="事例ID"/>
    <x:tableColumn id="12" name="根拠ID"/>
    <x:tableColumn id="13" name="原典URL・該当箇所"/>
  </x:tableColumns>
  <x:tableStyleInfo name="TableStyleLight9" showFirstColumn="0" showLastColumn="0" showRowStripes="1" showColumnStripes="0"/>
</x:table>
</file>

<file path=xl/tables/table4.xml><?xml version="1.0" encoding="utf-8"?>
<x:table xmlns:x="http://schemas.openxmlformats.org/spreadsheetml/2006/main" id="16" name="ReportResearchSubtasks" displayName="ReportResearchSubtasks" ref="A71:I76" headerRowCount="1" totalsRowCount="0" totalsRowShown="0">
  <x:autoFilter ref="A71:I76"/>
  <x:tableColumns count="9">
    <x:tableColumn id="1" name="個別課題"/>
    <x:tableColumn id="2" name="関連する開発の大テーマ"/>
    <x:tableColumn id="3" name="残る仮説"/>
    <x:tableColumn id="4" name="確認した既存機能"/>
    <x:tableColumn id="5" name="取り組み案"/>
    <x:tableColumn id="6" name="着手・見送り条件"/>
    <x:tableColumn id="7" name="評価指標"/>
    <x:tableColumn id="8" name="現時点の扱い"/>
    <x:tableColumn id="9" name="根拠テーマ"/>
  </x:tableColumns>
  <x:tableStyleInfo name="TableStyleLight9" showFirstColumn="0" showLastColumn="0" showRowStripes="1" showColumnStripes="0"/>
</x:table>
</file>

<file path=xl/tables/table5.xml><?xml version="1.0" encoding="utf-8"?>
<x:table xmlns:x="http://schemas.openxmlformats.org/spreadsheetml/2006/main" id="14" name="TaskTechnologyMap" displayName="TaskTechnologyMap" ref="A6:H32" headerRowCount="1" totalsRowCount="0" totalsRowShown="0">
  <x:autoFilter ref="A6:H32"/>
  <x:tableColumns count="8">
    <x:tableColumn id="1" name="分野"/>
    <x:tableColumn id="2" name="対象の仕事・技術テーマ"/>
    <x:tableColumn id="3" name="減らしたい負担〈分析〉"/>
    <x:tableColumn id="4" name="使われる技術・解決の手段"/>
    <x:tableColumn id="5" name="関連企業名キー数"/>
    <x:tableColumn id="6" name="カード数"/>
    <x:tableColumn id="7" name="企業・該当カード"/>
    <x:tableColumn id="8" name="テーマID"/>
  </x:tableColumns>
  <x:tableStyleInfo name="TableStyleLight9" showFirstColumn="0" showLastColumn="0" showRowStripes="1" showColumnStripes="0"/>
</x:table>
</file>

<file path=xl/tables/table6.xml><?xml version="1.0" encoding="utf-8"?>
<x:table xmlns:x="http://schemas.openxmlformats.org/spreadsheetml/2006/main" id="13" name="TaskCompanyYearDirectory" displayName="TaskCompanyYearDirectory" ref="A6:T462" headerRowCount="1" totalsRowCount="0" totalsRowShown="0">
  <x:autoFilter ref="A6:T462"/>
  <x:tableColumns count="20">
    <x:tableColumn id="1" name="分野"/>
    <x:tableColumn id="2" name="対象の仕事・技術テーマ"/>
    <x:tableColumn id="3" name="企業名"/>
    <x:tableColumn id="4" name="製品・展示"/>
    <x:tableColumn id="5" name="2026ブース"/>
    <x:tableColumn id="6" name="対象の仕事〈用途整理〉"/>
    <x:tableColumn id="7" name="使う技術・公式説明の要約または抜粋"/>
    <x:tableColumn id="8" name="減らしたい負担〈分析〉"/>
    <x:tableColumn id="9" name="2024年の説明・基準点"/>
    <x:tableColumn id="10" name="2026年の説明・展示予定"/>
    <x:tableColumn id="11" name="差分の読み方〈分析〉"/>
    <x:tableColumn id="12" name="比較段階"/>
    <x:tableColumn id="13" name="整理の深さ"/>
    <x:tableColumn id="14" name="関連用途の境界"/>
    <x:tableColumn id="15" name="人の役割・未確認"/>
    <x:tableColumn id="16" name="展示確度・段階"/>
    <x:tableColumn id="17" name="カードID"/>
    <x:tableColumn id="18" name="2026公式出展ページURL"/>
    <x:tableColumn id="19" name="2024公式出展ページURL"/>
    <x:tableColumn id="20" name="根拠ID・URL・該当箇所"/>
  </x:tableColumns>
  <x:tableStyleInfo name="TableStyleLight9" showFirstColumn="0" showLastColumn="0" showRowStripes="1" showColumnStripes="0"/>
</x:table>
</file>

<file path=xl/tables/table7.xml><?xml version="1.0" encoding="utf-8"?>
<x:table xmlns:x="http://schemas.openxmlformats.org/spreadsheetml/2006/main" id="1" name="TechnologyMethodMap" displayName="TechnologyMethodMap" ref="A6:F16" headerRowCount="1" totalsRowCount="0" totalsRowShown="0">
  <x:autoFilter ref="A6:F16"/>
  <x:tableColumns count="6">
    <x:tableColumn id="1" name="技術方式"/>
    <x:tableColumn id="2" name="基盤・入力整備"/>
    <x:tableColumn id="3" name="判定・表示"/>
    <x:tableColumn id="4" name="提案・生成"/>
    <x:tableColumn id="5" name="ソフト実行"/>
    <x:tableColumn id="6" name="実機動作"/>
  </x:tableColumns>
  <x:tableStyleInfo name="TableStyleLight9" showFirstColumn="0" showLastColumn="0" showRowStripes="1" showColumnStripes="0"/>
</x:table>
</file>

<file path=xl/tables/table8.xml><?xml version="1.0" encoding="utf-8"?>
<x:table xmlns:x="http://schemas.openxmlformats.org/spreadsheetml/2006/main" id="2" name="CrossMethodComparison" displayName="CrossMethodComparison" ref="A22:H32" headerRowCount="1" totalsRowCount="0" totalsRowShown="0">
  <x:autoFilter ref="A22:H32"/>
  <x:tableColumns count="8">
    <x:tableColumn id="1" name="方式"/>
    <x:tableColumn id="2" name="入力→判断・出力"/>
    <x:tableColumn id="3" name="人が担う部分"/>
    <x:tableColumn id="4" name="方式間の違い・制約"/>
    <x:tableColumn id="5" name="年度変化"/>
    <x:tableColumn id="6" name="カードID"/>
    <x:tableColumn id="7" name="根拠ID"/>
    <x:tableColumn id="8" name="主張の種類"/>
  </x:tableColumns>
  <x:tableStyleInfo name="TableStyleLight9" showFirstColumn="0" showLastColumn="0" showRowStripes="1" showColumnStripes="0"/>
</x:table>
</file>

<file path=xl/tables/table9.xml><?xml version="1.0" encoding="utf-8"?>
<x:table xmlns:x="http://schemas.openxmlformats.org/spreadsheetml/2006/main" id="3" name="YearChangePatterns" displayName="YearChangePatterns" ref="A37:H43" headerRowCount="1" totalsRowCount="0" totalsRowShown="0">
  <x:autoFilter ref="A37:H43"/>
  <x:tableColumns count="8">
    <x:tableColumn id="1" name="パターン"/>
    <x:tableColumn id="2" name="2024以前"/>
    <x:tableColumn id="3" name="2025–2026"/>
    <x:tableColumn id="4" name="解釈・未確定"/>
    <x:tableColumn id="5" name="カードID"/>
    <x:tableColumn id="6" name="根拠ID"/>
    <x:tableColumn id="7" name="確認日・整理日"/>
    <x:tableColumn id="8" name="主張の種類"/>
  </x:tableColumns>
  <x:tableStyleInfo name="TableStyleLight9" showFirstColumn="0" showLastColumn="0" showRowStripes="1" showColumnStripes="0"/>
</x:table>
</file>

<file path=xl/tables/table10.xml><?xml version="1.0" encoding="utf-8"?>
<x:table xmlns:x="http://schemas.openxmlformats.org/spreadsheetml/2006/main" id="4" name="CommonIssues" displayName="CommonIssues" ref="A6:G11" headerRowCount="1" totalsRowCount="0" totalsRowShown="0">
  <x:autoFilter ref="A6:G11"/>
  <x:tableColumns count="7">
    <x:tableColumn id="1" name="共通論点"/>
    <x:tableColumn id="2" name="確認した事実"/>
    <x:tableColumn id="3" name="横断して考える点〈分析〉"/>
    <x:tableColumn id="4" name="限界・既存機能"/>
    <x:tableColumn id="5" name="カードID"/>
    <x:tableColumn id="6" name="根拠ID"/>
    <x:tableColumn id="7" name="研究候補"/>
  </x:tableColumns>
  <x:tableStyleInfo name="TableStyleLight9" showFirstColumn="0" showLastColumn="0" showRowStripes="1" showColumnStripes="0"/>
</x:table>
</file>

<file path=xl/tables/table11.xml><?xml version="1.0" encoding="utf-8"?>
<x:table xmlns:x="http://schemas.openxmlformats.org/spreadsheetml/2006/main" id="5" name="ResearchCandidates" displayName="ResearchCandidates" ref="A17:J22" headerRowCount="1" totalsRowCount="0" totalsRowShown="0">
  <x:autoFilter ref="A17:J22"/>
  <x:tableColumns count="10">
    <x:tableColumn id="1" name="候補／共通論点"/>
    <x:tableColumn id="2" name="顧客課題〈仮説〉"/>
    <x:tableColumn id="3" name="技術的な取り組み案"/>
    <x:tableColumn id="4" name="比較対象・限定実験"/>
    <x:tableColumn id="5" name="測る指標"/>
    <x:tableColumn id="6" name="採用条件・見送り条件"/>
    <x:tableColumn id="7" name="カードID"/>
    <x:tableColumn id="8" name="根拠ID"/>
    <x:tableColumn id="9" name="段階"/>
    <x:tableColumn id="10" name="主張の種類"/>
  </x:tableColumns>
  <x:tableStyleInfo name="TableStyleLight9" showFirstColumn="0" showLastColumn="0" showRowStripes="1" showColumnStripes="0"/>
</x:table>
</file>

<file path=xl/tables/table12.xml><?xml version="1.0" encoding="utf-8"?>
<x:table xmlns:x="http://schemas.openxmlformats.org/spreadsheetml/2006/main" id="6" name="ResearchAssessment" displayName="ResearchAssessment" ref="A29:J34" headerRowCount="1" totalsRowCount="0" totalsRowShown="0">
  <x:autoFilter ref="A29:J34"/>
  <x:tableColumns count="10">
    <x:tableColumn id="1" name="候補／現時点の扱い"/>
    <x:tableColumn id="2" name="確認した既存機能"/>
    <x:tableColumn id="3" name="残る研究仮説"/>
    <x:tableColumn id="4" name="最初に確認すること"/>
    <x:tableColumn id="5" name="検証開始の条件"/>
    <x:tableColumn id="6" name="研究の開始・見送り判断"/>
    <x:tableColumn id="7" name="根拠カード"/>
    <x:tableColumn id="8" name="根拠ID"/>
    <x:tableColumn id="9" name="判定日"/>
    <x:tableColumn id="10" name="判定の範囲"/>
  </x:tableColumns>
  <x:tableStyleInfo name="TableStyleLight9" showFirstColumn="0" showLastColumn="0" showRowStripes="1" showColumnStripes="0"/>
</x:table>
</file>

<file path=xl/tables/table13.xml><?xml version="1.0" encoding="utf-8"?>
<x:table xmlns:x="http://schemas.openxmlformats.org/spreadsheetml/2006/main" id="7" name="OpenQuestions" displayName="OpenQuestions" ref="A39:J51" headerRowCount="1" totalsRowCount="0" totalsRowShown="0">
  <x:autoFilter ref="A39:J51"/>
  <x:tableColumns count="10">
    <x:tableColumn id="1" name="論点／訪問先"/>
    <x:tableColumn id="2" name="現時点で確認した事実"/>
    <x:tableColumn id="3" name="現地・技術担当への質問"/>
    <x:tableColumn id="4" name="見たい証拠"/>
    <x:tableColumn id="5" name="研究に進む条件"/>
    <x:tableColumn id="6" name="現地まで保留する点"/>
    <x:tableColumn id="7" name="カードID"/>
    <x:tableColumn id="8" name="根拠ID"/>
    <x:tableColumn id="9" name="状態"/>
    <x:tableColumn id="10" name="追補日"/>
  </x:tableColumns>
  <x:tableStyleInfo name="TableStyleLight9" showFirstColumn="0" showLastColumn="0" showRowStripes="1" showColumnStripes="0"/>
</x:table>
</file>

<file path=xl/tables/table14.xml><?xml version="1.0" encoding="utf-8"?>
<x:table xmlns:x="http://schemas.openxmlformats.org/spreadsheetml/2006/main" id="8" name="CategoryVisitPriorities" displayName="CategoryVisitPriorities" ref="A6:X43" headerRowCount="1" totalsRowCount="0" totalsRowShown="0">
  <x:autoFilter ref="A6:X43"/>
  <x:tableColumns count="24">
    <x:tableColumn id="1" name="カテゴリー"/>
    <x:tableColumn id="2" name="順番"/>
    <x:tableColumn id="3" name="位置づけ"/>
    <x:tableColumn id="4" name="企業名"/>
    <x:tableColumn id="5" name="2026ブース"/>
    <x:tableColumn id="6" name="具体展示"/>
    <x:tableColumn id="7" name="優先する理由"/>
    <x:tableColumn id="8" name="2024の基準点"/>
    <x:tableColumn id="9" name="2026の記載"/>
    <x:tableColumn id="10" name="比較判定"/>
    <x:tableColumn id="11" name="差分の読み方"/>
    <x:tableColumn id="12" name="現地で確かめること"/>
    <x:tableColumn id="13" name="展示確度"/>
    <x:tableColumn id="14" name="提供段階"/>
    <x:tableColumn id="15" name="参照カード全件"/>
    <x:tableColumn id="16" name="詳細へ（先頭カード）"/>
    <x:tableColumn id="17" name="根拠ID"/>
    <x:tableColumn id="18" name="原典URL"/>
    <x:tableColumn id="19" name="AIの判断・提案"/>
    <x:tableColumn id="20" name="実行・出力"/>
    <x:tableColumn id="21" name="人の事前準備"/>
    <x:tableColumn id="22" name="人の承認"/>
    <x:tableColumn id="23" name="人の例外対応"/>
    <x:tableColumn id="24" name="制約・公開資料の不足"/>
  </x:tableColumns>
  <x:tableStyleInfo name="TableStyleLight9" showFirstColumn="0" showLastColumn="0" showRowStripes="1" showColumnStripes="0"/>
</x:table>
</file>

<file path=xl/tables/table15.xml><?xml version="1.0" encoding="utf-8"?>
<x:table xmlns:x="http://schemas.openxmlformats.org/spreadsheetml/2006/main" id="9" name="CategoryIndex" displayName="CategoryIndex" ref="A6:K554" headerRowCount="1" totalsRowCount="0" totalsRowShown="0">
  <x:autoFilter ref="A6:K554"/>
  <x:tableColumns count="11">
    <x:tableColumn id="1" name="カテゴリー"/>
    <x:tableColumn id="2" name="細分類"/>
    <x:tableColumn id="3" name="企業名"/>
    <x:tableColumn id="4" name="展示アイテム"/>
    <x:tableColumn id="5" name="2026ブース"/>
    <x:tableColumn id="6" name="分類根拠"/>
    <x:tableColumn id="7" name="関連範囲"/>
    <x:tableColumn id="8" name="詳細へ"/>
    <x:tableColumn id="9" name="分類理由"/>
    <x:tableColumn id="10" name="根拠ID"/>
    <x:tableColumn id="11" name="原典URL"/>
  </x:tableColumns>
  <x:tableStyleInfo name="TableStyleLight9" showFirstColumn="0" showLastColumn="0" showRowStripes="1" showColumnStripes="0"/>
</x:table>
</file>

<file path=xl/tables/table16.xml><?xml version="1.0" encoding="utf-8"?>
<x:table xmlns:x="http://schemas.openxmlformats.org/spreadsheetml/2006/main" id="10" name="ExhibitionDetails" displayName="ExhibitionDetails" ref="A6:AB340" headerRowCount="1" totalsRowCount="0" totalsRowShown="0">
  <x:autoFilter ref="A6:AB340"/>
  <x:tableColumns count="28">
    <x:tableColumn id="1" name="カードID"/>
    <x:tableColumn id="2" name="企業名"/>
    <x:tableColumn id="3" name="展示アイテム"/>
    <x:tableColumn id="4" name="2026ブース"/>
    <x:tableColumn id="5" name="カテゴリー"/>
    <x:tableColumn id="6" name="担当タスク"/>
    <x:tableColumn id="7" name="実装先"/>
    <x:tableColumn id="8" name="システムの構成"/>
    <x:tableColumn id="9" name="入力"/>
    <x:tableColumn id="10" name="方式（原典要旨）"/>
    <x:tableColumn id="11" name="何を助けるか"/>
    <x:tableColumn id="12" name="人・権限の境界"/>
    <x:tableColumn id="13" name="2024の基準点"/>
    <x:tableColumn id="14" name="2026の記載"/>
    <x:tableColumn id="15" name="比較判定"/>
    <x:tableColumn id="16" name="展示確度"/>
    <x:tableColumn id="17" name="提供段階"/>
    <x:tableColumn id="18" name="未確認事項"/>
    <x:tableColumn id="19" name="根拠ID"/>
    <x:tableColumn id="20" name="原典URL"/>
    <x:tableColumn id="21" name="整理深度"/>
    <x:tableColumn id="22" name="AIの位置づけ"/>
    <x:tableColumn id="23" name="AIの判断・提案"/>
    <x:tableColumn id="24" name="実行・出力"/>
    <x:tableColumn id="25" name="人の事前準備"/>
    <x:tableColumn id="26" name="人の承認"/>
    <x:tableColumn id="27" name="人の例外対応"/>
    <x:tableColumn id="28" name="制約・公開資料の不足"/>
  </x:tableColumns>
  <x:tableStyleInfo name="TableStyleLight9" showFirstColumn="0" showLastColumn="0" showRowStripes="1" showColumnStripes="0"/>
</x:table>
</file>

<file path=xl/tables/table17.xml><?xml version="1.0" encoding="utf-8"?>
<x:table xmlns:x="http://schemas.openxmlformats.org/spreadsheetml/2006/main" id="11" name="CategoryDefinitions" displayName="CategoryDefinitions" ref="A6:D15" headerRowCount="1" totalsRowCount="0" totalsRowShown="0">
  <x:autoFilter ref="A6:D15"/>
  <x:tableColumns count="4">
    <x:tableColumn id="1" name="カテゴリー"/>
    <x:tableColumn id="2" name="分類する対象"/>
    <x:tableColumn id="3" name="分類上の境界"/>
    <x:tableColumn id="4" name="展示アイテム数"/>
  </x:tableColumns>
  <x:tableStyleInfo name="TableStyleLight9" showFirstColumn="0" showLastColumn="0" showRowStripes="1" showColumnStripes="0"/>
</x:table>
</file>

<file path=xl/tables/table18.xml><?xml version="1.0" encoding="utf-8"?>
<x:table xmlns:x="http://schemas.openxmlformats.org/spreadsheetml/2006/main" id="12" name="CandidateScreening" displayName="CandidateScreening" ref="A6:H351" headerRowCount="1" totalsRowCount="0" totalsRowShown="0">
  <x:autoFilter ref="A6:H351"/>
  <x:tableColumns count="8">
    <x:tableColumn id="1" name="企業名"/>
    <x:tableColumn id="2" name="2026ブース"/>
    <x:tableColumn id="3" name="判定"/>
    <x:tableColumn id="4" name="判定理由"/>
    <x:tableColumn id="5" name="カードID"/>
    <x:tableColumn id="6" name="2026原典URL"/>
    <x:tableColumn id="7" name="掲載ID"/>
    <x:tableColumn id="8" name="名称キー"/>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2632065a6c4427f" /><Relationship Type="http://schemas.openxmlformats.org/officeDocument/2006/relationships/table" Target="/xl/tables/table2.xml" Id="Rba690d535d294016" /></Relationships>
</file>

<file path=xl/worksheets/_rels/sheet2.xml.rels>&#65279;<?xml version="1.0" encoding="utf-8"?><Relationships xmlns="http://schemas.openxmlformats.org/package/2006/relationships"><Relationship Type="http://schemas.openxmlformats.org/officeDocument/2006/relationships/table" Target="/xl/tables/table3.xml" Id="Rb382f28c5e1f4545" /><Relationship Type="http://schemas.openxmlformats.org/officeDocument/2006/relationships/table" Target="/xl/tables/table4.xml" Id="R53f7b1cff010467e" /></Relationships>
</file>

<file path=xl/worksheets/_rels/sheet3.xml.rels>&#65279;<?xml version="1.0" encoding="utf-8"?><Relationships xmlns="http://schemas.openxmlformats.org/package/2006/relationships"><Relationship Type="http://schemas.openxmlformats.org/officeDocument/2006/relationships/table" Target="/xl/tables/table5.xml" Id="R793fcaf5e05c40fa" /></Relationships>
</file>

<file path=xl/worksheets/_rels/sheet4.xml.rels>&#65279;<?xml version="1.0" encoding="utf-8"?><Relationships xmlns="http://schemas.openxmlformats.org/package/2006/relationships"><Relationship Type="http://schemas.openxmlformats.org/officeDocument/2006/relationships/table" Target="/xl/tables/table6.xml" Id="R7837e081334a4590" /></Relationships>
</file>

<file path=xl/worksheets/_rels/sheet5.xml.rels>&#65279;<?xml version="1.0" encoding="utf-8"?><Relationships xmlns="http://schemas.openxmlformats.org/package/2006/relationships"><Relationship Type="http://schemas.openxmlformats.org/officeDocument/2006/relationships/table" Target="/xl/tables/table7.xml" Id="R488e1cd3c9274d5b" /><Relationship Type="http://schemas.openxmlformats.org/officeDocument/2006/relationships/table" Target="/xl/tables/table8.xml" Id="Re691e0aa705341ea" /><Relationship Type="http://schemas.openxmlformats.org/officeDocument/2006/relationships/table" Target="/xl/tables/table9.xml" Id="R1a05d765b7ae4a00" /></Relationships>
</file>

<file path=xl/worksheets/_rels/sheet6.xml.rels>&#65279;<?xml version="1.0" encoding="utf-8"?><Relationships xmlns="http://schemas.openxmlformats.org/package/2006/relationships"><Relationship Type="http://schemas.openxmlformats.org/officeDocument/2006/relationships/table" Target="/xl/tables/table10.xml" Id="Rdc5d358e4a3e4b85" /><Relationship Type="http://schemas.openxmlformats.org/officeDocument/2006/relationships/table" Target="/xl/tables/table11.xml" Id="Rf33b4342d9ba48a9" /><Relationship Type="http://schemas.openxmlformats.org/officeDocument/2006/relationships/table" Target="/xl/tables/table12.xml" Id="Rd6f0813be5094465" /><Relationship Type="http://schemas.openxmlformats.org/officeDocument/2006/relationships/table" Target="/xl/tables/table13.xml" Id="R2b47274c48f64abb" /></Relationships>
</file>

<file path=xl/worksheets/_rels/sheet7.xml.rels>&#65279;<?xml version="1.0" encoding="utf-8"?><Relationships xmlns="http://schemas.openxmlformats.org/package/2006/relationships"><Relationship Type="http://schemas.openxmlformats.org/officeDocument/2006/relationships/table" Target="/xl/tables/table14.xml" Id="R6aa4b695348845a5" /></Relationships>
</file>

<file path=xl/worksheets/_rels/sheet8.xml.rels>&#65279;<?xml version="1.0" encoding="utf-8"?><Relationships xmlns="http://schemas.openxmlformats.org/package/2006/relationships"><Relationship Type="http://schemas.openxmlformats.org/officeDocument/2006/relationships/table" Target="/xl/tables/table15.xml" Id="Rd7cd9f865d5f4e64" /></Relationships>
</file>

<file path=xl/worksheets/_rels/sheet9.xml.rels>&#65279;<?xml version="1.0" encoding="utf-8"?><Relationships xmlns="http://schemas.openxmlformats.org/package/2006/relationships"><Relationship Type="http://schemas.openxmlformats.org/officeDocument/2006/relationships/table" Target="/xl/tables/table16.xml" Id="R678578a61de344ed" /></Relationships>
</file>

<file path=xl/worksheets/_rels/sheet10.xml.rels>&#65279;<?xml version="1.0" encoding="utf-8"?><Relationships xmlns="http://schemas.openxmlformats.org/package/2006/relationships"><Relationship Type="http://schemas.openxmlformats.org/officeDocument/2006/relationships/table" Target="/xl/tables/table17.xml" Id="R551c65120ced49eb" /></Relationships>
</file>

<file path=xl/worksheets/_rels/sheet11.xml.rels>&#65279;<?xml version="1.0" encoding="utf-8"?><Relationships xmlns="http://schemas.openxmlformats.org/package/2006/relationships"><Relationship Type="http://schemas.openxmlformats.org/officeDocument/2006/relationships/table" Target="/xl/tables/table18.xml" Id="Rbe1cbb4d26c242d7" /></Relationships>
</file>

<file path=xl/worksheets/sheet1.xml><?xml version="1.0" encoding="utf-8"?>
<x:worksheet xmlns:x="http://schemas.openxmlformats.org/spreadsheetml/2006/main">
  <x:sheetPr>
    <x:tabColor rgb="FF173C55"/>
  </x:sheetPr>
  <x:sheetViews>
    <x:sheetView showGridLines="0" workbookViewId="0">
      <x:pane xSplit="1" ySplit="6" topLeftCell="B7" activePane="bottomRight" state="frozen"/>
    </x:sheetView>
  </x:sheetViews>
  <x:sheetFormatPr defaultRowHeight="15"/>
  <x:cols>
    <x:col min="1" max="1" width="30" hidden="0" customWidth="1"/>
    <x:col min="2" max="2" width="58" hidden="0" customWidth="1"/>
    <x:col min="3" max="3" width="60" hidden="0" customWidth="1"/>
    <x:col min="4" max="4" width="62" hidden="0" customWidth="1"/>
    <x:col min="5" max="5" width="65" hidden="0" customWidth="1"/>
    <x:col min="6" max="6" width="62" hidden="0" customWidth="1"/>
    <x:col min="7" max="7" width="62" hidden="0" customWidth="1"/>
    <x:col min="8" max="8" width="100" hidden="0" customWidth="1"/>
    <x:col min="9" max="9" width="65" hidden="0" customWidth="1"/>
  </x:cols>
  <x:sheetData>
    <x:row r="2" ht="30" customHeight="1">
      <x:c r="A2" s="3" t="str">
        <x:v>技術動向：現場の困りごとから、2024年との変化を読む</x:v>
      </x:c>
      <x:c r="B2" s="1"/>
      <x:c r="C2" s="1"/>
      <x:c r="D2" s="1"/>
      <x:c r="E2" s="1"/>
      <x:c r="F2" s="1"/>
      <x:c r="G2" s="1"/>
      <x:c r="H2" s="1"/>
    </x:row>
    <x:row r="3" ht="22" customHeight="1">
      <x:c r="A3" s="5" t="str">
        <x:v>公式説明を横断した分析。製品名より先に対象の仕事・ニーズ・技術を示す。未掲載を新技術の誕生とは扱わない。</x:v>
      </x:c>
      <x:c r="B3" s="5"/>
      <x:c r="C3" s="5"/>
      <x:c r="D3" s="5"/>
      <x:c r="E3" s="5"/>
      <x:c r="F3" s="5"/>
      <x:c r="G3" s="5"/>
      <x:c r="H3" s="5"/>
    </x:row>
    <x:row r="4" ht="22" customHeight="1">
      <x:c r="A4" s="5" t="str">
        <x:v>6分野の比較と57事例の根拠は同じテーマで対応。市場の需要量・競合の空白・性能優位は未検証。</x:v>
      </x:c>
      <x:c r="B4" s="5"/>
      <x:c r="C4" s="5"/>
      <x:c r="D4" s="5"/>
      <x:c r="E4" s="5"/>
      <x:c r="F4" s="5"/>
      <x:c r="G4" s="5"/>
      <x:c r="H4" s="5"/>
    </x:row>
    <x:row r="5">
      <x:c r="A5" s="1"/>
      <x:c r="B5" s="1"/>
      <x:c r="C5" s="1"/>
      <x:c r="D5" s="1"/>
      <x:c r="E5" s="1"/>
      <x:c r="F5" s="1"/>
      <x:c r="G5" s="1"/>
      <x:c r="H5" s="1"/>
    </x:row>
    <x:row r="6" ht="34" customHeight="1">
      <x:c r="A6" s="11" t="str">
        <x:v>分野</x:v>
      </x:c>
      <x:c r="B6" s="11" t="str">
        <x:v>現場の困りごと〈分析〉</x:v>
      </x:c>
      <x:c r="C6" s="11" t="str">
        <x:v>使う技術と狙い〈分析〉</x:v>
      </x:c>
      <x:c r="D6" s="11" t="str">
        <x:v>2024年以前にもあったこと</x:v>
      </x:c>
      <x:c r="E6" s="11" t="str">
        <x:v>2025–2026年に具体化したこと</x:v>
      </x:c>
      <x:c r="F6" s="11" t="str">
        <x:v>変化の読み方〈分析〉</x:v>
      </x:c>
      <x:c r="G6" s="11" t="str">
        <x:v>比較の限界</x:v>
      </x:c>
      <x:c r="H6" s="11" t="str">
        <x:v>根拠となる仕事・事例</x:v>
      </x:c>
    </x:row>
    <x:row r="7" ht="145" customHeight="1">
      <x:c r="A7" s="7" t="str">
        <x:v>生産準備の技能を補うAI</x:v>
      </x:c>
      <x:c r="B7" s="7" t="str">
        <x:v>図面の読取りや過去案件の探索、加工順序・工具経路・制御コードの作成に、時間と経験が必要になる。</x:v>
      </x:c>
      <x:c r="C7" s="7" t="str">
        <x:v>図面認識、類似検索、加工履歴からの工程予測、条件を指定した経路・コード生成。
準備を早め、担当者による手間と品質の差を小さくすることを狙う。</x:v>
      </x:c>
      <x:c r="D7" s="7" t="str">
        <x:v>AIによるPLCコード支援やCAMの作成支援は2024以前にも存在。自動プログラム作成が2026に初めて生まれたわけではない。</x:v>
      </x:c>
      <x:c r="E7" s="7" t="str">
        <x:v>2025–2026の資料では、見積の一連の作業や工程案、PLC以外のI/O設定・HMIなど、支援する仕事と設計環境への組込みが具体化している。</x:v>
      </x:c>
      <x:c r="F7" s="7" t="str">
        <x:v>コード作成等の既存支援に加え、見積の一連の作業や工程案など、業務の文脈を扱う仕事への展開が具体化している。開始年と提供範囲は製品ごとに異なる。</x:v>
      </x:c>
      <x:c r="G7" s="7" t="str">
        <x:v>共通部品・工程での対応範囲や実際の工数削減は未検証。複数の製品が一つにつながって自動運用できるとは確認していない。</x:v>
      </x:c>
      <x:c r="H7" s="7" t="str">
        <x:v>図面検索・見積作成
B01-1 / B01-2 / B01-3
工程・CAMプログラムの作成
B02-1 / B02-2 / B02-3
PLC・HMI・電気設計の支援
B04-1 / B04-2 / B04-3</x:v>
      </x:c>
    </x:row>
    <x:row r="8" ht="145" customHeight="1">
      <x:c r="A8" s="7" t="str">
        <x:v>加工を安定させる自動調整</x:v>
      </x:c>
      <x:c r="B8" s="7" t="str">
        <x:v>余裕を持たせすぎた加工条件は時間を延ばし、過負荷・熱変位・工具状態の変化は品質や停止に影響する。</x:v>
      </x:c>
      <x:c r="C8" s="7" t="str">
        <x:v>切削の物理モデルによる事前最適化、センサーによる加工中の適応制御、計測結果を戻す補正。
熟練者の調整に依存する場面を減らし、能率と品質を両立することを狙う。</x:v>
      </x:c>
      <x:c r="D8" s="7" t="str">
        <x:v>負荷に応じた送り制御、NCの事前最適化、測定結果による工具補正は2024にも掲載されている。</x:v>
      </x:c>
      <x:c r="E8" s="7" t="str">
        <x:v>2026は、工具の3D計測と補正加工の一体化や、加工前のワーク情報を条件調整へ使う提案が見られる。後者には開発中の機能も含む。</x:v>
      </x:c>
      <x:c r="F8" s="7" t="str">
        <x:v>計測・補正は以前から存在する。今回は刃先の3D計測と加工の一体化や、加工前のワーク情報の活用など、適用対象と構成の拡張に注目する。</x:v>
      </x:c>
      <x:c r="G8" s="7" t="str">
        <x:v>測定と補正の連携自体は既存。各社の性能向上や、材料・工具が変わった際の適応範囲は資料だけでは比較できない。</x:v>
      </x:c>
      <x:c r="H8" s="7" t="str">
        <x:v>NC送り最適化・加工中の適応制御
B03-1 / B03-2 / B03-3
熱変位補正・びびり抑制
B05-1 / B05-2 / B05-3
計測から加工へのフィードバック
B06-1 / B06-2 / B06-3</x:v>
      </x:c>
    </x:row>
    <x:row r="9" ht="145" customHeight="1">
      <x:c r="A9" s="7" t="str">
        <x:v>品質・工具・設備を見極めるAI</x:v>
      </x:c>
      <x:c r="B9" s="7" t="str">
        <x:v>検査や工具交換の判断が人によって揺れ、不良の見逃し、工具の早すぎる交換、突発停止につながる。</x:v>
      </x:c>
      <x:c r="C9" s="7" t="str">
        <x:v>良品との差を捉える画像学習、刃先の画像診断、電流・振動の状態比較、摩耗データからの寿命予測。
検査の負担を減らし、必要な時に工具交換や保全を行えるようにすることを狙う。</x:v>
      </x:c>
      <x:c r="D9" s="7" t="str">
        <x:v>AIによる工具の欠け・摩耗判定、設備のAI診断、工具・工程監視は2024にも存在している。</x:v>
      </x:c>
      <x:c r="E9" s="7" t="str">
        <x:v>2025–2026の資料では、誤判定を追加学習で調整する機能や、摩耗の記録を寿命・交換時期の提案へ使う内容が具体化。耐環境撮像や工具長測定との組合せも見られる。</x:v>
      </x:c>
      <x:c r="F9" s="7" t="str">
        <x:v>「異常かどうか」の判定に加え、継続使用・交換・保全という次の判断を助ける方向に広がる。ただし交換の自動実行まで同じ範囲ではない。</x:v>
      </x:c>
      <x:c r="G9" s="7" t="str">
        <x:v>追加学習は2025に発表済み、寿命予測には以前の研究発表もある。2026初の発明や、全工具での精度向上とは判断しない。</x:v>
      </x:c>
      <x:c r="H9" s="7" t="str">
        <x:v>外観検査・撮像と追加学習
B07-1 / B07-2 / B07-3
工具摩耗の判定・交換判断
B08-1 / B08-2 / B08-3 / B08-4 / B08-5 / B08-6 / B08-7
設備・刃具の異常検知と保全
B09-1 / B09-2 / B09-3</x:v>
      </x:c>
    </x:row>
    <x:row r="10" ht="145" customHeight="1">
      <x:c r="A10" s="7" t="str">
        <x:v>多品種に対応する段取り・ロボット</x:v>
      </x:c>
      <x:c r="B10" s="7" t="str">
        <x:v>搬送だけを自動化しても、治具交換・再教示・切粉処理などの付帯作業に人が必要だと連続運転が続きにくい。</x:v>
      </x:c>
      <x:c r="C10" s="7" t="str">
        <x:v>交換しやすい機構、マーカーによる位置補正、3D認識からの軌道生成、認識に基づくロボット動作。
多品種への切替準備と、運転中に人が呼ばれる場面を減らすことを狙う。</x:v>
      </x:c>
      <x:c r="D10" s="7" t="str">
        <x:v>爪・工具の交換、ロボット搬入出、カメラを使う小部品ピックは2024にも展示・紹介されている。</x:v>
      </x:c>
      <x:c r="E10" s="7" t="str">
        <x:v>2026には切粉の状態を判断して除去する参考出品、不定形ワークの面取り軌道生成、既設機への後付けや移設後の復旧を具体化した展示が見られる。</x:v>
      </x:c>
      <x:c r="F10" s="7" t="str">
        <x:v>自動化の対象がワークを運ぶ仕事から、段取り替えや変動する付帯作業にも広がっている。機構による解決と認識・AIによる解決が並存する。</x:v>
      </x:c>
      <x:c r="G10" s="7" t="str">
        <x:v>人型ロボットでも遠隔操作・教示の参考展示がある。フィジカルAIの呼称だけで汎用作業や無人復帰が可能とは扱わない。</x:v>
      </x:c>
      <x:c r="H10" s="7" t="str">
        <x:v>爪・治具・ハンドと位置の段取り
B10-1 / B10-2 / B10-3 / B10-4
ワーク・パレット・切粉の搬送
B11-1 / B11-2 / B11-3
認識を伴うピック・付帯加工・除去
B12-1 / B12-2 / B12-3 / B12-4
展示段階と自律化の境界
B17-1 / B17-2 / B17-3</x:v>
      </x:c>
    </x:row>
    <x:row r="11" ht="145" customHeight="1">
      <x:c r="A11" s="7" t="str">
        <x:v>現場情報を使って運用を支えるAI</x:v>
      </x:c>
      <x:c r="B11" s="7" t="str">
        <x:v>機械・生産管理・工具管理の情報が分かれ、遅れや停止のたびに人が状況を集め直す必要がある。</x:v>
      </x:c>
      <x:c r="C11" s="7" t="str">
        <x:v>設備接続と履歴の管理、制約を扱う計画、機械データと保守文書を使うAI対話、指示と実行結果の連携。
状況把握と対処判断を早め、計画と現場のずれを小さくすることを狙う。</x:v>
      </x:c>
      <x:c r="D11" s="7" t="str">
        <x:v>工具・CAM・在庫の連携、設備データの収集・対話AIなどは2024にも説明されている。</x:v>
      </x:c>
      <x:c r="E11" s="7" t="str">
        <x:v>2026には、機械データを参照する保守エージェントや、予測・設備・搬送を組み合わせた展示が具体化。人が遠隔で例外へ対処する運用も見られる。</x:v>
      </x:c>
      <x:c r="F11" s="7" t="str">
        <x:v>見える化・記録に加え、集めた情報から何をするかを提案し、担当者や設備の作業へつなごうとする方向が読み取れる。</x:v>
      </x:c>
      <x:c r="G11" s="7" t="str">
        <x:v>予測から生産計画や設備指令への自動接続は未確認の例がある。製品発表段階のエージェントも含み、完全自律工場の実績ではない。</x:v>
      </x:c>
      <x:c r="H11" s="7" t="str">
        <x:v>現場エージェント・遠隔介入
B13-1 / B13-2 / B13-3
工場データ・計画・資源の連携
B14-1 / B14-2 / B14-3</x:v>
      </x:c>
    </x:row>
    <x:row r="12" ht="145" customHeight="1">
      <x:c r="A12" s="7" t="str">
        <x:v>現場AIを支えるデータと仮想環境</x:v>
      </x:c>
      <x:c r="B12" s="7" t="str">
        <x:v>AIが使うデータの意味や形式が揃わず、学習・機器接続・実機での試行に個別の作業が必要になる。</x:v>
      </x:c>
      <x:c r="C12" s="7" t="str">
        <x:v>学習モデルの自動作成、設備の共通情報モデル、加工の仮想検証、物理シミュレーション用データの生成。
上の各分野でAIを導入・変更する際の準備と試行の負担を小さくすることを狙う。</x:v>
      </x:c>
      <x:c r="D12" s="7" t="str">
        <x:v>学習支援・モデル出力、機器接続、加工デジタルツインは2024以前にも存在する。</x:v>
      </x:c>
      <x:c r="E12" s="7" t="str">
        <x:v>2026は、機器情報をエージェントへ渡す用途や、CADに物理属性を加えてロボット学習・検証へ使う用途が具体化している。</x:v>
      </x:c>
      <x:c r="F12" s="7" t="str">
        <x:v>データを保管・可視化するだけでなく、AIの判断・物理動作の学習へ使うための意味とモデルを整える役割が明確になっている。</x:v>
      </x:c>
      <x:c r="G12" s="7" t="str">
        <x:v>CADから推定した物理属性と実測の一致、自己修正の収束、仮想結果と実機性能の差は未確認。ツインがそのままAI制御を意味するわけではない。</x:v>
      </x:c>
      <x:c r="H12" s="7" t="str">
        <x:v>AIモデル作成・機器接続の基盤
B15-1 / B15-2 / B15-3
デジタルツイン・物理学習用データ
B16-1 / B16-2 / B16-3</x:v>
      </x:c>
    </x:row>
    <x:row r="18" ht="30" customHeight="1">
      <x:c r="A18" s="17" t="str">
        <x:v>技術動向から考える、4つの開発の大テーマ〈分析・未検証仮説〉</x:v>
      </x:c>
    </x:row>
    <x:row r="20" ht="40" customHeight="1">
      <x:c r="A20" s="19" t="str">
        <x:v>開発の大テーマ</x:v>
      </x:c>
      <x:c r="B20" s="19" t="str">
        <x:v>解決するニーズ</x:v>
      </x:c>
      <x:c r="C20" s="19" t="str">
        <x:v>確認した展示・開発の広がり</x:v>
      </x:c>
      <x:c r="D20" s="19" t="str">
        <x:v>狙う立ち位置</x:v>
      </x:c>
      <x:c r="E20" s="19" t="str">
        <x:v>何を・どの技術で開発するか</x:v>
      </x:c>
      <x:c r="F20" s="19" t="str">
        <x:v>開発余地の仮説</x:v>
      </x:c>
      <x:c r="G20" s="19" t="str">
        <x:v>既存技術・着手の考え方</x:v>
      </x:c>
      <x:c r="H20" s="19" t="str">
        <x:v>評価指標</x:v>
      </x:c>
      <x:c r="I20" s="19" t="str">
        <x:v>根拠となる仕事</x:v>
      </x:c>
    </x:row>
    <x:row r="21" ht="175" customHeight="1">
      <x:c r="A21" s="7" t="str">
        <x:v>加工知識を扱う生産準備AI</x:v>
      </x:c>
      <x:c r="B21" s="7" t="str">
        <x:v>多品種の見積・工程検討に毎回熟練者が必要となり、受注から加工開始までの準備が重い。</x:v>
      </x:c>
      <x:c r="C21" s="7" t="str">
        <x:v>図面検索・見積、加工工程の予測、経路生成、制御設計に複数社のAI提案が見られる。</x:v>
      </x:c>
      <x:c r="D21" s="7" t="str">
        <x:v>生成AI・検索・CAM連携を使う開発への追随を候補にする。汎用モデルそのものの開発を前提にしない。</x:v>
      </x:c>
      <x:c r="E21" s="7" t="str">
        <x:v>図面の意図と類似工程を検索し、設備・工具・保持の制約下で工程案を作成。既存CAMと加工検証へ渡し、人の修正を次回へ反映する。</x:v>
      </x:c>
      <x:c r="F21" s="7" t="str">
        <x:v>図面・工具・保持・加工履歴を関連づけ、特定の加工工程に使える案へ落とす部分に差別化の余地がある可能性。</x:v>
      </x:c>
      <x:c r="G21" s="7" t="str">
        <x:v>AI CAMには生成案の編集・加工性評価がある。機種・工具の整合確認も既存製品の範囲を調べる。
対象部品群と利用可能な履歴を絞り、既存製品だけの運用と総準備時間・修正量で比較する。市場の空白は未確認。</x:v>
      </x:c>
      <x:c r="H21" s="7" t="str">
        <x:v>準備時間、専門家による修正量、初品の手戻り</x:v>
      </x:c>
      <x:c r="I21" s="7" t="str">
        <x:v>図面検索・見積作成
工程・CAMプログラムの作成
PLC・HMI・電気設計の支援
AIモデル作成・機器接続の基盤</x:v>
      </x:c>
    </x:row>
    <x:row r="22" ht="175" customHeight="1">
      <x:c r="A22" s="7" t="str">
        <x:v>品質と工具状態を見ながら調整する自律加工</x:v>
      </x:c>
      <x:c r="B22" s="7" t="str">
        <x:v>加工条件の追込み、工具交換、品質確認が別作業で、人が経験から結び付けている。</x:v>
      </x:c>
      <x:c r="C22" s="7" t="str">
        <x:v>負荷適応、機上計測、補正、摩耗診断、寿命提案が並存する。計測と補正加工を組み合わせる展示も見られる。</x:v>
      </x:c>
      <x:c r="D22" s="7" t="str">
        <x:v>物理モデル・計測・状態推定を組み合わせる工程AIを候補にする。精度と工具費・加工時間を同時に扱う立ち位置を検討する。</x:v>
      </x:c>
      <x:c r="E22" s="7" t="str">
        <x:v>切削予測と加工中の信号、工具画像・寸法計測を照合し、送り・補正量・交換の候補を決める。まず一つの加工法に限定する。</x:v>
      </x:c>
      <x:c r="F22" s="7" t="str">
        <x:v>条件や工具が変わる多品種加工で、加工継続・条件変更・交換を一つの工程判断にする部分に開発余地がある可能性。</x:v>
      </x:c>
      <x:c r="G22" s="7" t="str">
        <x:v>適応制御、熱補正、IPC、摩耗判定は既存技術。統合済みの製品・サービスとの重複は未確認。
同じ品質条件で、個別機能の適用と連携方式を比較。材料・工具変更時の手間と初品品質を確認し、必要な連携範囲を決める。</x:v>
      </x:c>
      <x:c r="H22" s="7" t="str">
        <x:v>初品・継続加工の品質、工具利用量、加工時間、条件変更時の再調整工数</x:v>
      </x:c>
      <x:c r="I22" s="7" t="str">
        <x:v>NC送り最適化・加工中の適応制御
熱変位補正・びびり抑制
計測から加工へのフィードバック
外観検査・撮像と追加学習
工具摩耗の判定・交換判断
設備・刃具の異常検知と保全</x:v>
      </x:c>
    </x:row>
    <x:row r="23" ht="175" customHeight="1">
      <x:c r="A23" s="7" t="str">
        <x:v>多品種の付帯作業を担うフィジカルAI</x:v>
      </x:c>
      <x:c r="B23" s="7" t="str">
        <x:v>搬入出を自動化しても、切粉除去・バリ取り・段取り替えに人手が残り、品種変更で再教示が必要になる。</x:v>
      </x:c>
      <x:c r="C23" s="7" t="str">
        <x:v>切粉判断・除去、不定形形状からの加工軌道生成、交換機構や位置復旧の提案が見られる。参考出品も含む。</x:v>
      </x:c>
      <x:c r="D23" s="7" t="str">
        <x:v>汎用人型ロボットへの追随に先立ち、作業を絞った認識・動作・工具機構の統合を候補にする。</x:v>
      </x:c>
      <x:c r="E23" s="7" t="str">
        <x:v>3D/画像認識と必要に応じた力・接触情報から作業位置・軌道を作り、交換可能な工具で実行。結果を見て再動作か人の介入を選ぶ。</x:v>
      </x:c>
      <x:c r="F23" s="7" t="str">
        <x:v>形状や状態が変わる一方で、設備・工具・対象材を限定できる付帯作業に、実用化を狙う余地がある可能性。</x:v>
      </x:c>
      <x:c r="G23" s="7" t="str">
        <x:v>3D認識、自動交換、バリ取り、位置復旧は既存。教示不要や対応形状の限界、提供段階を比較する。
切粉処理かバリ取り等の一作業で、固定手順・現行認識方式と比較。異なるワークで再設定がどれだけ減るかを見る。</x:v>
      </x:c>
      <x:c r="H23" s="7" t="str">
        <x:v>作業完了率、品種変更時の教示時間、人の介入、タクト</x:v>
      </x:c>
      <x:c r="I23" s="7" t="str">
        <x:v>爪・治具・ハンドと位置の段取り
ワーク・パレット・切粉の搬送
認識を伴うピック・付帯加工・除去
展示段階と自律化の境界
デジタルツイン・物理学習用データ</x:v>
      </x:c>
    </x:row>
    <x:row r="24" ht="175" customHeight="1">
      <x:c r="A24" s="7" t="str">
        <x:v>現場の変化に対応する工場運用AI</x:v>
      </x:c>
      <x:c r="B24" s="7" t="str">
        <x:v>予定変更や停止のたびに、人が設備・工具・工程の情報を集め、代替案と作業指示を組み直している。</x:v>
      </x:c>
      <x:c r="C24" s="7" t="str">
        <x:v>保守エージェント、設備情報の意味づけ、計画・工具情報の連携が見られ、データ活用の対象が運用判断へ広がる。</x:v>
      </x:c>
      <x:c r="D24" s="7" t="str">
        <x:v>生産管理を丸ごと置き換えず、工具不足・停止復帰など一つの例外業務で、既存システムをまたぐ支援を候補にする。</x:v>
      </x:c>
      <x:c r="E24" s="7" t="str">
        <x:v>設備・工具・進捗を共通の状態として整理し、過去の対処と制約付き計画を使って選択肢と担当作業を提示。承認後の結果を追跡する。</x:v>
      </x:c>
      <x:c r="F24" s="7" t="str">
        <x:v>工場固有の制約と今の設備状態を踏まえ、実行できる代替案を担当者へ渡す部分に開発余地がある可能性。</x:v>
      </x:c>
      <x:c r="G24" s="7" t="str">
        <x:v>MES、工具管理、承認ワークフロー、遠隔支援は既存。既存エージェントとの重複と利用可能APIは未確認。
一つの例外業務で既存運用と比較し、状態取得・操作API・権限が得られる範囲から適用する。</x:v>
      </x:c>
      <x:c r="H24" s="7" t="str">
        <x:v>状況確認と再計画の時間、実行できた提案の割合、停止時間、入力負担</x:v>
      </x:c>
      <x:c r="I24" s="7" t="str">
        <x:v>現場エージェント・遠隔介入
工場データ・計画・資源の連携
AIモデル作成・機器接続の基盤</x:v>
      </x:c>
    </x:row>
  </x:sheetData>
  <x:pageMargins left="0.7" right="0.7" top="0.75" bottom="0.75" header="0.3" footer="0.3"/>
  <x:tableParts count="2">
    <x:tablePart xmlns:r="http://schemas.openxmlformats.org/officeDocument/2006/relationships" r:id="R82632065a6c4427f"/>
    <x:tablePart xmlns:r="http://schemas.openxmlformats.org/officeDocument/2006/relationships" r:id="Rba690d535d294016"/>
  </x:tableParts>
</x:worksheet>
</file>

<file path=xl/worksheets/sheet2.xml><?xml version="1.0" encoding="utf-8"?>
<x:worksheet xmlns:x="http://schemas.openxmlformats.org/spreadsheetml/2006/main">
  <x:sheetPr>
    <x:tabColor rgb="FF173C55"/>
  </x:sheetPr>
  <x:sheetViews>
    <x:sheetView showGridLines="0" workbookViewId="0">
      <x:pane xSplit="1" ySplit="6" topLeftCell="B7" activePane="bottomRight" state="frozen"/>
    </x:sheetView>
  </x:sheetViews>
  <x:sheetFormatPr defaultRowHeight="15"/>
  <x:cols>
    <x:col min="1" max="1" width="32" hidden="0" customWidth="1"/>
    <x:col min="2" max="2" width="30" hidden="0" customWidth="1"/>
    <x:col min="3" max="3" width="43" hidden="0" customWidth="1"/>
    <x:col min="4" max="4" width="16" hidden="0" customWidth="1"/>
    <x:col min="5" max="5" width="45" hidden="0" customWidth="1"/>
    <x:col min="6" max="6" width="55" hidden="0" customWidth="1"/>
    <x:col min="7" max="7" width="62" hidden="0" customWidth="1"/>
    <x:col min="8" max="8" width="40" hidden="0" customWidth="1"/>
    <x:col min="9" max="9" width="60" hidden="0" customWidth="1"/>
    <x:col min="10" max="10" width="60" hidden="0" customWidth="1"/>
    <x:col min="11" max="11" width="16" hidden="0" customWidth="1"/>
    <x:col min="12" max="12" width="38" hidden="0" customWidth="1"/>
    <x:col min="13" max="13" width="100" hidden="0" customWidth="1"/>
  </x:cols>
  <x:sheetData>
    <x:row r="2" ht="30" customHeight="1">
      <x:c r="A2" s="3" t="str">
        <x:v>報告v0：対象の仕事から企業・技術を比べる</x:v>
      </x:c>
      <x:c r="B2" s="1"/>
      <x:c r="C2" s="1"/>
      <x:c r="D2" s="1"/>
      <x:c r="E2" s="1"/>
      <x:c r="F2" s="1"/>
      <x:c r="G2" s="1"/>
      <x:c r="H2" s="1"/>
      <x:c r="I2" s="1"/>
      <x:c r="J2" s="1"/>
      <x:c r="K2" s="1"/>
      <x:c r="L2" s="1"/>
      <x:c r="M2" s="1"/>
    </x:row>
    <x:row r="3" ht="22" customHeight="1">
      <x:c r="A3" s="5" t="str">
        <x:v>57事例行。顧客ニーズは分析、技術は公式説明の要約。元の28社の比較より対象を広げています。原典はM列。</x:v>
      </x:c>
      <x:c r="B3" s="5"/>
      <x:c r="C3" s="5"/>
      <x:c r="D3" s="5"/>
      <x:c r="E3" s="5"/>
      <x:c r="F3" s="5"/>
      <x:c r="G3" s="5"/>
      <x:c r="H3" s="5"/>
      <x:c r="I3" s="5"/>
      <x:c r="J3" s="5"/>
      <x:c r="K3" s="5"/>
      <x:c r="L3" s="5"/>
      <x:c r="M3" s="5"/>
    </x:row>
    <x:row r="4" ht="22" customHeight="1">
      <x:c r="A4" s="5" t="str">
        <x:v>説明本文取得988/820行。詳細URLなし619行は内容未取得。2026は展示予定。製品資料のみの事例は搭載未確認と表示。</x:v>
      </x:c>
      <x:c r="B4" s="5"/>
      <x:c r="C4" s="5"/>
      <x:c r="D4" s="5"/>
      <x:c r="E4" s="5"/>
      <x:c r="F4" s="5"/>
      <x:c r="G4" s="5"/>
      <x:c r="H4" s="5"/>
      <x:c r="I4" s="5"/>
      <x:c r="J4" s="5"/>
      <x:c r="K4" s="5"/>
      <x:c r="L4" s="5"/>
      <x:c r="M4" s="5"/>
    </x:row>
    <x:row r="5">
      <x:c r="A5" s="1"/>
      <x:c r="B5" s="1"/>
      <x:c r="C5" s="1"/>
      <x:c r="D5" s="1"/>
      <x:c r="E5" s="1"/>
      <x:c r="F5" s="1"/>
      <x:c r="G5" s="1"/>
      <x:c r="H5" s="1"/>
      <x:c r="I5" s="1"/>
      <x:c r="J5" s="1"/>
      <x:c r="K5" s="1"/>
      <x:c r="L5" s="1"/>
      <x:c r="M5" s="1"/>
    </x:row>
    <x:row r="6" ht="34" customHeight="1">
      <x:c r="A6" s="11" t="str">
        <x:v>技術・用途</x:v>
      </x:c>
      <x:c r="B6" s="11" t="str">
        <x:v>企業名</x:v>
      </x:c>
      <x:c r="C6" s="11" t="str">
        <x:v>製品・展示</x:v>
      </x:c>
      <x:c r="D6" s="11" t="str">
        <x:v>2026ブース</x:v>
      </x:c>
      <x:c r="E6" s="11" t="str">
        <x:v>対象の仕事</x:v>
      </x:c>
      <x:c r="F6" s="11" t="str">
        <x:v>減らしたい負担〈分析〉</x:v>
      </x:c>
      <x:c r="G6" s="11" t="str">
        <x:v>使う技術・担当する仕事〈公式説明〉</x:v>
      </x:c>
      <x:c r="H6" s="11" t="str">
        <x:v>AIの位置づけ</x:v>
      </x:c>
      <x:c r="I6" s="11" t="str">
        <x:v>人の関与・未確認</x:v>
      </x:c>
      <x:c r="J6" s="11" t="str">
        <x:v>2024からの変化</x:v>
      </x:c>
      <x:c r="K6" s="11" t="str">
        <x:v>事例ID</x:v>
      </x:c>
      <x:c r="L6" s="11" t="str">
        <x:v>根拠ID</x:v>
      </x:c>
      <x:c r="M6" s="11" t="str">
        <x:v>原典URL・該当箇所</x:v>
      </x:c>
    </x:row>
    <x:row r="7" ht="160" customHeight="1">
      <x:c r="A7" s="7" t="str">
        <x:v>図面検索・見積作成</x:v>
      </x:c>
      <x:c r="B7" s="20" t="str">
        <x:v>株式会社Fact Base</x:v>
      </x:c>
      <x:c r="C7" s="7" t="str">
        <x:v>ズメーン：図面・関連文書管理とAI</x:v>
      </x:c>
      <x:c r="D7" s="7" t="str">
        <x:v>S3017</x:v>
      </x:c>
      <x:c r="E7" s="7" t="str">
        <x:v>図面を登録・検索し関連文書と結ぶ</x:v>
      </x:c>
      <x:c r="F7" s="7" t="str">
        <x:v>過去図面と原価を探し、案件ごとに見積を組み立てる負担。</x:v>
      </x:c>
      <x:c r="G7" s="7" t="str">
        <x:v>図面のOCR登録と関連文書管理。顧客事例では読取り結果を人が修正。</x:v>
      </x:c>
      <x:c r="H7" s="7" t="str">
        <x:v>AI/OCRを明記</x:v>
      </x:c>
      <x:c r="I7" s="7" t="str">
        <x:v>登録・読取り確認は人。図面の誤関連や改訂の検出は未確認。</x:v>
      </x:c>
      <x:c r="J7" s="7" t="str">
        <x:v>2024の同名詳細なし。2026初登場とは断定しない。</x:v>
      </x:c>
      <x:c r="K7" s="7" t="str">
        <x:v>B01-1</x:v>
      </x:c>
      <x:c r="L7" s="7" t="str">
        <x:v>EEX-EXH-2026-3b6a1de81c17dfee
EDP-11</x:v>
      </x:c>
      <x:c r="M7" s="7" t="str">
        <x:v>EEX-EXH-2026-3b6a1de81c17dfee: https://www.jimtof.org/search/jp/ESdetails?e=hZaNogHdQM4
該当箇所: 出展紹介・主な出展物。追加カードの原典抜粋で検索
EDP-11: https://lp.zume-n.com/case-1/sagadainichi
該当箇所: AI・OCR文字読取／人の目で確認・補正／関連資料・改訂履歴</x:v>
      </x:c>
    </x:row>
    <x:row r="8" ht="160" customHeight="1">
      <x:c r="A8" s="7" t="str">
        <x:v>図面検索・見積作成</x:v>
      </x:c>
      <x:c r="B8" s="20" t="str">
        <x:v>匠技研工業</x:v>
      </x:c>
      <x:c r="C8" s="7" t="str">
        <x:v>匠フォース：業務AIエージェント</x:v>
      </x:c>
      <x:c r="D8" s="7" t="str">
        <x:v>S3011</x:v>
      </x:c>
      <x:c r="E8" s="7" t="str">
        <x:v>図面と原価情報から見積書案を作る</x:v>
      </x:c>
      <x:c r="F8" s="7" t="str">
        <x:v>過去図面と原価を探し、案件ごとに見積を組み立てる負担。</x:v>
      </x:c>
      <x:c r="G8" s="7" t="str">
        <x:v>図面認識・類似案件参照・原価計算から見積書案を作る。</x:v>
      </x:c>
      <x:c r="H8" s="7" t="str">
        <x:v>AIエージェントを明記</x:v>
      </x:c>
      <x:c r="I8" s="7" t="str">
        <x:v>担当者が根拠を確認・修正・承認。社外自動送信は未確認。</x:v>
      </x:c>
      <x:c r="J8" s="7" t="str">
        <x:v>2024比較不能。2026/7の企業発表で一連の処理を具体化。</x:v>
      </x:c>
      <x:c r="K8" s="7" t="str">
        <x:v>B01-2</x:v>
      </x:c>
      <x:c r="L8" s="7" t="str">
        <x:v>EOV-V041-2026-1
EDP-05</x:v>
      </x:c>
      <x:c r="M8" s="7" t="str">
        <x:v>EOV-V041-2026-1: https://www.jimtof.org/search/jp/ESdetails?e=i_4zCxJP258
該当箇所: main &gt; div.col-md-8.mb-5 の出展紹介、見出し「主な出展物」直後
EDP-05: https://prtimes.jp/main/html/rd/p/000000031.000057137.html
該当箇所: 見積金額算出／人の修正による再学習／引合受領から見積書作成</x:v>
      </x:c>
    </x:row>
    <x:row r="9" ht="160" customHeight="1">
      <x:c r="A9" s="7" t="str">
        <x:v>図面検索・見積作成</x:v>
      </x:c>
      <x:c r="B9" s="20" t="str">
        <x:v>ものレボ</x:v>
      </x:c>
      <x:c r="C9" s="7" t="str">
        <x:v>MonoRevo：類似図面検索・自動見積</x:v>
      </x:c>
      <x:c r="D9" s="7" t="str">
        <x:v>W3042</x:v>
      </x:c>
      <x:c r="E9" s="7" t="str">
        <x:v>過去図面を探し見積を作る</x:v>
      </x:c>
      <x:c r="F9" s="7" t="str">
        <x:v>過去図面と原価を探し、案件ごとに見積を組み立てる負担。</x:v>
      </x:c>
      <x:c r="G9" s="7" t="str">
        <x:v>類似図面検索と自動見積を説明。</x:v>
      </x:c>
      <x:c r="H9" s="7" t="str">
        <x:v>AIを明記</x:v>
      </x:c>
      <x:c r="I9" s="7" t="str">
        <x:v>見積前提の設定・確定者、計算ロジックは未確認。</x:v>
      </x:c>
      <x:c r="J9" s="7" t="str">
        <x:v>2024個別比較不能。</x:v>
      </x:c>
      <x:c r="K9" s="7" t="str">
        <x:v>B01-3</x:v>
      </x:c>
      <x:c r="L9" s="7" t="str">
        <x:v>EOV-V014-2026-1</x:v>
      </x:c>
      <x:c r="M9" s="7" t="str">
        <x:v>EOV-V014-2026-1: https://www.jimtof.org/search/jp/ESdetails?e=sccKfxE4bYo
該当箇所: main &gt; div.col-md-8.mb-5 の出展紹介、見出し「主な出展物」直後</x:v>
      </x:c>
    </x:row>
    <x:row r="10" ht="160" customHeight="1">
      <x:c r="A10" s="7" t="str">
        <x:v>工程・CAMプログラムの作成</x:v>
      </x:c>
      <x:c r="B10" s="20" t="str">
        <x:v>Hexagon Manufacturing Intelligence</x:v>
      </x:c>
      <x:c r="C10" s="7" t="str">
        <x:v>ESPRIT EDGE ProPlanAI</x:v>
      </x:c>
      <x:c r="D10" s="7" t="str">
        <x:v>E2013</x:v>
      </x:c>
      <x:c r="E10" s="7" t="str">
        <x:v>新しい部品の加工工程を考える</x:v>
      </x:c>
      <x:c r="F10" s="7" t="str">
        <x:v>工具・機械・段取り制約を織り込む工程作成の技能依存。</x:v>
      </x:c>
      <x:c r="G10" s="7" t="str">
        <x:v>過去ジョブと形状特徴から工程を予測するProPlanAI。</x:v>
      </x:c>
      <x:c r="H10" s="7" t="str">
        <x:v>AI予測を明記</x:v>
      </x:c>
      <x:c r="I10" s="7" t="str">
        <x:v>過去データを準備。確認画面はあるが最終NC採用権限は未公表。</x:v>
      </x:c>
      <x:c r="J10" s="7" t="str">
        <x:v>2024比較不能。2025の旋削betaから2026の商用範囲拡張を確認。</x:v>
      </x:c>
      <x:c r="K10" s="7" t="str">
        <x:v>B02-1</x:v>
      </x:c>
      <x:c r="L10" s="7" t="str">
        <x:v>EOV-V007-2026-2
EOV-W02</x:v>
      </x:c>
      <x:c r="M10" s="7" t="str">
        <x:v>EOV-V007-2026-2: https://www.jimtof.org/search/jp/ESdetails?e=6l20Qo0pjl4
該当箇所: main &gt; div.col-md-8.mb-5 の出展紹介、見出し「主な出展物」直後
EOV-W02: https://hexagon.com/products/esprit-edge/release-highlights
該当箇所: 2025.2 PROPLANAI、2026.1 ProPlanAI for Turning, Mill-Turn &amp; Swiss</x:v>
      </x:c>
    </x:row>
    <x:row r="11" ht="160" customHeight="1">
      <x:c r="A11" s="7" t="str">
        <x:v>工程・CAMプログラムの作成</x:v>
      </x:c>
      <x:c r="B11" s="20" t="str">
        <x:v>ジェービーエムエンジニアリング</x:v>
      </x:c>
      <x:c r="C11" s="7" t="str">
        <x:v>Mastercam＋CAMAssist</x:v>
      </x:c>
      <x:c r="D11" s="7" t="str">
        <x:v>E2002</x:v>
      </x:c>
      <x:c r="E11" s="7" t="str">
        <x:v>部品形状から加工方法・工具経路を作る</x:v>
      </x:c>
      <x:c r="F11" s="7" t="str">
        <x:v>工具・機械・段取り制約を織り込む工程作成の技能依存。</x:v>
      </x:c>
      <x:c r="G11" s="7" t="str">
        <x:v>工具・材料・機械等の条件から加工戦略・経路・条件案を生成。</x:v>
      </x:c>
      <x:c r="H11" s="7" t="str">
        <x:v>AI CAMを明記</x:v>
      </x:c>
      <x:c r="I11" s="7" t="str">
        <x:v>人が前提を設定し、戦略案を確認・調整してCAMへ送る。</x:v>
      </x:c>
      <x:c r="J11" s="7" t="str">
        <x:v>Mastercam対応は2024/7に発表済み。2026の出展記述が具体化。</x:v>
      </x:c>
      <x:c r="K11" s="7" t="str">
        <x:v>B02-2</x:v>
      </x:c>
      <x:c r="L11" s="7" t="str">
        <x:v>EOV-V008-2024-1
EOV-V008-2024-2
EOV-V008-2026-1
EDP-09
EDP-10
ERF-03</x:v>
      </x:c>
      <x:c r="M11" s="7" t="str">
        <x:v>EOV-V008-2024-1: https://www.jimtof.org/2024/search/jp/ESdetails?e=G-8gydwhMvE
該当箇所: main &gt; div.col-md-8.mb-5 の出展紹介、見出し「主な出展物」直後
EOV-V008-2024-2: https://www.jimtof.org/2024/search/jp/ESdetails?e=ZBxZW2vyjUw
該当箇所: main &gt; div.col-md-8.mb-5 の出展紹介、見出し「主な出展物」直後
EOV-V008-2026-1: https://www.jimtof.org/search/jp/ESdetails?e=VrAjMTKmxdw
該当箇所: main &gt; div.col-md-8.mb-5 の出展紹介、見出し「主な出展物」直後
EDP-09: https://www.cloudnc.com/ja/mastercam
該当箇所: 仕組みステップ1〜4／FAQの対象加工・顧客データ学習の否定
EDP-10: https://www.cloudnc.com/news-room/cam-assist-the-first-ai-plug-in-for-cam-is-now-available-for-mastercam
該当箇所: July 25, 2024／3軸・3+2軸向け。北米販売開始の説明
ERF-03: https://www.cloudnc.com/ja/mastercam
該当箇所: 仕組みStep 2–4／FAQ：顧客データで学習しない、加工性評価、編集可能CAM</x:v>
      </x:c>
    </x:row>
    <x:row r="12" ht="160" customHeight="1">
      <x:c r="A12" s="7" t="str">
        <x:v>工程・CAMプログラムの作成</x:v>
      </x:c>
      <x:c r="B12" s="20" t="str">
        <x:v>タクテックス株式会社</x:v>
      </x:c>
      <x:c r="C12" s="7" t="str">
        <x:v>CAM Assist for SolidCAM／SolidShop</x:v>
      </x:c>
      <x:c r="D12" s="7" t="str">
        <x:v>S1016</x:v>
      </x:c>
      <x:c r="E12" s="7" t="str">
        <x:v>3軸・3+2軸の加工経路を作る</x:v>
      </x:c>
      <x:c r="F12" s="7" t="str">
        <x:v>工具・機械・段取り制約を織り込む工程作成の技能依存。</x:v>
      </x:c>
      <x:c r="G12" s="7" t="str">
        <x:v>SolidCAM向けに3軸・3+2軸の戦略と経路案を生成。</x:v>
      </x:c>
      <x:c r="H12" s="7" t="str">
        <x:v>AI CAMを明記</x:v>
      </x:c>
      <x:c r="I12" s="7" t="str">
        <x:v>工具・保持等を設定し、生成案を編集・採用。最終制御権は人。</x:v>
      </x:c>
      <x:c r="J12" s="7" t="str">
        <x:v>2024はSolidCAM等。2026はAI支援を追加記載。</x:v>
      </x:c>
      <x:c r="K12" s="7" t="str">
        <x:v>B02-3</x:v>
      </x:c>
      <x:c r="L12" s="7" t="str">
        <x:v>EEX-EXH-2026-0436fc7b61f51a8e
EEX-EXH-2024-eb84f3b7fa9cf6db
EDP-07
EDP-08
ERF-04</x:v>
      </x:c>
      <x:c r="M12" s="7" t="str">
        <x:v>EEX-EXH-2026-0436fc7b61f51a8e: https://www.jimtof.org/search/jp/ESdetails?e=2TVzwvOqLxI
該当箇所: 出展紹介・主な出展物。追加カードの原典抜粋で検索
EEX-EXH-2024-eb84f3b7fa9cf6db: https://www.jimtof.org/2024/search/jp/ESdetails?e=p_i9WuUhNRg
該当箇所: 出展紹介・主な出展物。追加カードの原典抜粋で検索
EDP-07: https://www.cloudnc.com/ja/solidcam
該当箇所: 仕組みステップ1〜4／FAQの対象加工・通信・戦略生成
EDP-08: https://help.solidcam.com/topics/solutions/cloudnc-cam-assist.htm
該当箇所: 形状・工具・材種・段取りの入力／プログラマーの修正・検証・NC出力
ERF-04: https://help.solidcam.com/topics/solutions/cloudnc-cam-assist.htm
該当箇所: L11–19／プログラマーがreview・refine、既存のsimulation・verification・NC生成</x:v>
      </x:c>
    </x:row>
    <x:row r="13" ht="160" customHeight="1">
      <x:c r="A13" s="7" t="str">
        <x:v>NC送り最適化・加工中の適応制御</x:v>
      </x:c>
      <x:c r="B13" s="20" t="str">
        <x:v>CGTech</x:v>
      </x:c>
      <x:c r="C13" s="7" t="str">
        <x:v>Vericut Force／Optimizer</x:v>
      </x:c>
      <x:c r="D13" s="7" t="str">
        <x:v>S3014</x:v>
      </x:c>
      <x:c r="E13" s="7" t="str">
        <x:v>加工前にNCの送り速度を調整する</x:v>
      </x:c>
      <x:c r="F13" s="7" t="str">
        <x:v>負荷変動による過負荷と、余裕のある区間の加工時間。</x:v>
      </x:c>
      <x:c r="G13" s="7" t="str">
        <x:v>Forceは切削物理と力・動力制約を使い加工前に送りを最適化。</x:v>
      </x:c>
      <x:c r="H13" s="7" t="str">
        <x:v>Forceの物理モデルとAI訴求を分離</x:v>
      </x:c>
      <x:c r="I13" s="7" t="str">
        <x:v>材料・工具・限界条件とNC採用が必要〈分析〉。運用詳細は未確認。</x:v>
      </x:c>
      <x:c r="J13" s="7" t="str">
        <x:v>Forceは2024掲載済み。2026のAI訴求とOptimizerの方式差は未確認。</x:v>
      </x:c>
      <x:c r="K13" s="7" t="str">
        <x:v>B03-1</x:v>
      </x:c>
      <x:c r="L13" s="7" t="str">
        <x:v>EOV-V009-2024-1
EOV-V009-2026-1
RPT-S04</x:v>
      </x:c>
      <x:c r="M13" s="7" t="str">
        <x:v>EOV-V009-2024-1: https://www.jimtof.org/2024/search/jp/ESdetails?e=AxDUk3YbQDI
該当箇所: main &gt; div.col-md-8.mb-5 の出展紹介、見出し「主な出展物」直後
EOV-V009-2026-1: https://www.jimtof.org/search/jp/ESdetails?e=41U8xW4UkcM
該当箇所: main &gt; div.col-md-8.mb-5 の出展紹介、見出し「主な出展物」直後
RPT-S04: https://archive.vericut.com/force-faq/
該当箇所: Force physics-based optimization</x:v>
      </x:c>
    </x:row>
    <x:row r="14" ht="160" customHeight="1">
      <x:c r="A14" s="7" t="str">
        <x:v>NC送り最適化・加工中の適応制御</x:v>
      </x:c>
      <x:c r="B14" s="20" t="str">
        <x:v>Third Wave Systems Japan</x:v>
      </x:c>
      <x:c r="C14" s="7" t="str">
        <x:v>Production Module／AdvantEdge</x:v>
      </x:c>
      <x:c r="D14" s="7" t="str">
        <x:v>E1064</x:v>
      </x:c>
      <x:c r="E14" s="7" t="str">
        <x:v>加工負荷を予測しNC送りを最適化する</x:v>
      </x:c>
      <x:c r="F14" s="7" t="str">
        <x:v>負荷変動による過負荷と、余裕のある区間の加工時間。</x:v>
      </x:c>
      <x:c r="G14" s="7" t="str">
        <x:v>Production ModuleはNCレベルの負荷解析。刃先FEMのAdvantEdgeとは別。</x:v>
      </x:c>
      <x:c r="H14" s="7" t="str">
        <x:v>学習AIの使用は未確認</x:v>
      </x:c>
      <x:c r="I14" s="7" t="str">
        <x:v>モデル・材料・工具の設定と採用判断が必要〈分析〉。</x:v>
      </x:c>
      <x:c r="J14" s="7" t="str">
        <x:v>2024展示比較不能。工具たわみ等は2019年にも公式説明。</x:v>
      </x:c>
      <x:c r="K14" s="7" t="str">
        <x:v>B03-2</x:v>
      </x:c>
      <x:c r="L14" s="7" t="str">
        <x:v>RPT-EXH-2026-3f24aaee60d77db1
RPT-S05</x:v>
      </x:c>
      <x:c r="M14" s="7" t="str">
        <x:v>RPT-EXH-2026-3f24aaee60d77db1: https://www.jimtof.org/search/jp/ESdetails?e=L43LSAjxuyc
該当箇所: main &gt; div.container &gt; div.row &gt; div.col-md-8.mb-5; 見出し「主な出展物」と直後のp
RPT-S05: https://thirdwavesys.com/latest-news/production-module-v8-2-release/
該当箇所: 工具たわみ・entry/exit feedrate constraints</x:v>
      </x:c>
    </x:row>
    <x:row r="15" ht="160" customHeight="1">
      <x:c r="A15" s="7" t="str">
        <x:v>NC送り最適化・加工中の適応制御</x:v>
      </x:c>
      <x:c r="B15" s="20" t="str">
        <x:v>西部商工</x:v>
      </x:c>
      <x:c r="C15" s="7" t="str">
        <x:v>ACM</x:v>
      </x:c>
      <x:c r="D15" s="7" t="str">
        <x:v>S3020</x:v>
      </x:c>
      <x:c r="E15" s="7" t="str">
        <x:v>加工中の負荷に応じ送りを自動調整する</x:v>
      </x:c>
      <x:c r="F15" s="7" t="str">
        <x:v>負荷変動による過負荷と、余裕のある区間の加工時間。</x:v>
      </x:c>
      <x:c r="G15" s="7" t="str">
        <x:v>ACMは実測主軸負荷を使い加工中の送りを自動調整。</x:v>
      </x:c>
      <x:c r="H15" s="7" t="str">
        <x:v>AI/機械学習は未確認</x:v>
      </x:c>
      <x:c r="I15" s="7" t="str">
        <x:v>負荷限界の設定者・停止復帰の手順は未確認。</x:v>
      </x:c>
      <x:c r="J15" s="7" t="str">
        <x:v>2024も負荷監視と送り制御を記載。基本方式は継続。</x:v>
      </x:c>
      <x:c r="K15" s="7" t="str">
        <x:v>B03-3</x:v>
      </x:c>
      <x:c r="L15" s="7" t="str">
        <x:v>RPT-EXH-2026-107042c6cf64ba96
RPT-EXH-2024-151b23d9e05ccb13</x:v>
      </x:c>
      <x:c r="M15" s="7" t="str">
        <x:v>RPT-EXH-2026-107042c6cf64ba96: https://www.jimtof.org/search/jp/ESdetails?e=OC6R-wdDduM
該当箇所: main &gt; div.container &gt; div.row &gt; div.col-md-8.mb-5; 見出し「主な出展物」と直後のp
RPT-EXH-2024-151b23d9e05ccb13: https://www.jimtof.org/2024/search/jp/ESdetails?e=YRTw8XJWi9g
該当箇所: main &gt; div.container &gt; div.row &gt; div.col-md-8.mb-5; 見出し「主な出展物」と直後のp</x:v>
      </x:c>
    </x:row>
    <x:row r="16" ht="160" customHeight="1">
      <x:c r="A16" s="7" t="str">
        <x:v>PLC・HMI・電気設計の支援</x:v>
      </x:c>
      <x:c r="B16" s="20" t="str">
        <x:v>ベッコフオートメーション</x:v>
      </x:c>
      <x:c r="C16" s="7" t="str">
        <x:v>TwinCAT CoAgent for Engineering：PLC</x:v>
      </x:c>
      <x:c r="D16" s="7" t="str">
        <x:v>E2028</x:v>
      </x:c>
      <x:c r="E16" s="7" t="str">
        <x:v>設備のPLC制御プログラムを作る</x:v>
      </x:c>
      <x:c r="F16" s="7" t="str">
        <x:v>要求から制御コード・画面・設計情報へ落とす手間。</x:v>
      </x:c>
      <x:c r="G16" s="7" t="str">
        <x:v>要求とプロジェクト文脈からPLCコード案を提案。</x:v>
      </x:c>
      <x:c r="H16" s="7" t="str">
        <x:v>生成AI支援を明記</x:v>
      </x:c>
      <x:c r="I16" s="7" t="str">
        <x:v>専門家が確認・確定・実行承認。書込みや起動の個別権限は未確認。</x:v>
      </x:c>
      <x:c r="J16" s="7" t="str">
        <x:v>PLCコード支援は2023発表済み。2026初の方式ではない。</x:v>
      </x:c>
      <x:c r="K16" s="7" t="str">
        <x:v>B04-1</x:v>
      </x:c>
      <x:c r="L16" s="7" t="str">
        <x:v>EOV-V005-2026-1
EAT-N03
EAT-N05
EDP-03
ERF-01</x:v>
      </x:c>
      <x:c r="M16" s="7" t="str">
        <x:v>EOV-V005-2026-1: https://www.jimtof.org/search/jp/ESdetails?e=K7DqahO2h08
該当箇所: main &gt; div.col-md-8.mb-5 の出展紹介、見出し「主な出展物」直後
EAT-N03: https://www.beckhoff.com/ko-kr/products/automation/twincat/texxxx-twincat-3-engineering/te1700.html
該当箇所: Features／Product status
EAT-N05: https://www.beckhoff.com/ko-kr/products/automation/twincat-projects-with-ai-supported-engineering/
該当箇所: CoAgents for development and machine operation
EDP-03: https://www.beckhoff.com/en-en/company/press/twincat-chat-using-innovative-chatbot-technology-in-twincat-engineering-2023-04.html
該当箇所: TwinCAT XAE／コード作成・追加・最適化・文書化
ERF-01: https://www.beckhoff.com/en-gb/company/news/from-chatbot-to-intelligent-agent.html
該当箇所: 2025/6/13／Placing people at the heart of automation；PLC・I/O・HMI、専門家がreview・confirm・approve</x:v>
      </x:c>
    </x:row>
    <x:row r="17" ht="160" customHeight="1">
      <x:c r="A17" s="7" t="str">
        <x:v>PLC・HMI・電気設計の支援</x:v>
      </x:c>
      <x:c r="B17" s="20" t="str">
        <x:v>ベッコフオートメーション</x:v>
      </x:c>
      <x:c r="C17" s="7" t="str">
        <x:v>TwinCAT CoAgent for Engineering：I/O・HMI</x:v>
      </x:c>
      <x:c r="D17" s="7" t="str">
        <x:v>E2028</x:v>
      </x:c>
      <x:c r="E17" s="7" t="str">
        <x:v>設備の入出力設定と操作画面を作る</x:v>
      </x:c>
      <x:c r="F17" s="7" t="str">
        <x:v>要求から制御コード・画面・設計情報へ落とす手間。</x:v>
      </x:c>
      <x:c r="G17" s="7" t="str">
        <x:v>I/O構成とHMI生成・操作を支援するEngineering機能。</x:v>
      </x:c>
      <x:c r="H17" s="7" t="str">
        <x:v>生成AI支援を明記</x:v>
      </x:c>
      <x:c r="I17" s="7" t="str">
        <x:v>専門家のレビュー方針。構成誤りの検証・差戻しは未確認。</x:v>
      </x:c>
      <x:c r="J17" s="7" t="str">
        <x:v>I/O・HMI支援は2025/6にも公式説明。</x:v>
      </x:c>
      <x:c r="K17" s="7" t="str">
        <x:v>B04-2</x:v>
      </x:c>
      <x:c r="L17" s="7" t="str">
        <x:v>EOV-V005-2026-1
EAT-N03
EAT-N05
EDP-03
ERF-01</x:v>
      </x:c>
      <x:c r="M17" s="7" t="str">
        <x:v>EOV-V005-2026-1: https://www.jimtof.org/search/jp/ESdetails?e=K7DqahO2h08
該当箇所: main &gt; div.col-md-8.mb-5 の出展紹介、見出し「主な出展物」直後
EAT-N03: https://www.beckhoff.com/ko-kr/products/automation/twincat/texxxx-twincat-3-engineering/te1700.html
該当箇所: Features／Product status
EAT-N05: https://www.beckhoff.com/ko-kr/products/automation/twincat-projects-with-ai-supported-engineering/
該当箇所: CoAgents for development and machine operation
EDP-03: https://www.beckhoff.com/en-en/company/press/twincat-chat-using-innovative-chatbot-technology-in-twincat-engineering-2023-04.html
該当箇所: TwinCAT XAE／コード作成・追加・最適化・文書化
ERF-01: https://www.beckhoff.com/en-gb/company/news/from-chatbot-to-intelligent-agent.html
該当箇所: 2025/6/13／Placing people at the heart of automation；PLC・I/O・HMI、専門家がreview・confirm・approve</x:v>
      </x:c>
    </x:row>
    <x:row r="18" ht="160" customHeight="1">
      <x:c r="A18" s="7" t="str">
        <x:v>PLC・HMI・電気設計の支援</x:v>
      </x:c>
      <x:c r="B18" s="20" t="str">
        <x:v>EPLAN</x:v>
      </x:c>
      <x:c r="C18" s="7" t="str">
        <x:v>Eplan Copilot</x:v>
      </x:c>
      <x:c r="D18" s="7" t="str">
        <x:v>S1067</x:v>
      </x:c>
      <x:c r="E18" s="7" t="str">
        <x:v>電気設計の情報・操作手順を調べる</x:v>
      </x:c>
      <x:c r="F18" s="7" t="str">
        <x:v>要求から制御コード・画面・設計情報へ落とす手間。</x:v>
      </x:c>
      <x:c r="G18" s="7" t="str">
        <x:v>Eplan Copilotが文脈に応じた回答・推奨・手順を生成。</x:v>
      </x:c>
      <x:c r="H18" s="7" t="str">
        <x:v>AI Copilotを明記</x:v>
      </x:c>
      <x:c r="I18" s="7" t="str">
        <x:v>意思決定は人。設計変更の自動採用は現機能と確認できない。</x:v>
      </x:c>
      <x:c r="J18" s="7" t="str">
        <x:v>2024の盤設計・データ連携に対し、2026はCopilotを記載。</x:v>
      </x:c>
      <x:c r="K18" s="7" t="str">
        <x:v>B04-3</x:v>
      </x:c>
      <x:c r="L18" s="7" t="str">
        <x:v>EOV-V006-2024-1
EOV-V006-2026-1
EAT-N06</x:v>
      </x:c>
      <x:c r="M18" s="7" t="str">
        <x:v>EOV-V006-2024-1: https://www.jimtof.org/2024/search/jp/ESdetails?e=50efK4rQsHs
該当箇所: main &gt; div.col-md-8.mb-5 の出展紹介、見出し「主な出展物」直後
EOV-V006-2026-1: https://www.jimtof.org/search/jp/ESdetails?e=FHsQAvmFusY
該当箇所: main &gt; div.col-md-8.mb-5 の出展紹介、見出し「主な出展物」直後
EAT-N06: https://www.eplan.com/us-en/about-us/innovations/eplan-copilot/
該当箇所: Based on a described task／Looking ahead／conceptual phase</x:v>
      </x:c>
    </x:row>
    <x:row r="19" ht="160" customHeight="1">
      <x:c r="A19" s="7" t="str">
        <x:v>熱変位補正・びびり抑制</x:v>
      </x:c>
      <x:c r="B19" s="20" t="str">
        <x:v>オークマ</x:v>
      </x:c>
      <x:c r="C19" s="7" t="str">
        <x:v>熱変位制御・AI知能化</x:v>
      </x:c>
      <x:c r="D19" s="7" t="str">
        <x:v>E3028</x:v>
      </x:c>
      <x:c r="E19" s="7" t="str">
        <x:v>温度変化による加工位置のずれを抑える</x:v>
      </x:c>
      <x:c r="F19" s="7" t="str">
        <x:v>温度変化や振動に伴う精度・面品位のばらつき。</x:v>
      </x:c>
      <x:c r="G19" s="7" t="str">
        <x:v>熱を単純化する構造と熱変位制御を組み合わせる。</x:v>
      </x:c>
      <x:c r="H19" s="7" t="str">
        <x:v>熱補正へのAI適用は未確認</x:v>
      </x:c>
      <x:c r="I19" s="7" t="str">
        <x:v>校正・補正限界・条件変化時の人の関与は未確認。</x:v>
      </x:c>
      <x:c r="J19" s="7" t="str">
        <x:v>熱安定化は既存技術。2026のAI訴求だけで補正全体をAIとしない。</x:v>
      </x:c>
      <x:c r="K19" s="7" t="str">
        <x:v>B05-1</x:v>
      </x:c>
      <x:c r="L19" s="7" t="str">
        <x:v>EOV-V003-2024-1
EOV-V003-2026-1
RPT-S02</x:v>
      </x:c>
      <x:c r="M19" s="7" t="str">
        <x:v>EOV-V003-2024-1: https://www.jimtof.org/2024/search/jp/ESdetails?e=iFfGVH0vPS8
該当箇所: main &gt; div.col-md-8.mb-5 の出展紹介、見出し「主な出展物」直後
EOV-V003-2026-1: https://www.jimtof.org/search/jp/ESdetails?e=30li0vWcseI
該当箇所: main &gt; div.col-md-8.mb-5 の出展紹介、見出し「主な出展物」直後
RPT-S02: https://www.okuma.co.jp/thermo-aniv/
該当箇所: サーモフレンドリーコンセプトの説明・沿革</x:v>
      </x:c>
    </x:row>
    <x:row r="20" ht="160" customHeight="1">
      <x:c r="A20" s="7" t="str">
        <x:v>熱変位補正・びびり抑制</x:v>
      </x:c>
      <x:c r="B20" s="20" t="str">
        <x:v>ヤマザキマザック</x:v>
      </x:c>
      <x:c r="C20" s="7" t="str">
        <x:v>Ai Thermal Shield（製品資料による比較）</x:v>
      </x:c>
      <x:c r="D20" s="7" t="str">
        <x:v>E1001</x:v>
      </x:c>
      <x:c r="E20" s="7" t="str">
        <x:v>加工後測定も使い熱変位補正を調整する</x:v>
      </x:c>
      <x:c r="F20" s="7" t="str">
        <x:v>温度変化や振動に伴う精度・面品位のばらつき。</x:v>
      </x:c>
      <x:c r="G20" s="7" t="str">
        <x:v>温度・回転等を考慮。加工後測定の学習で熱変位補正を最適化。</x:v>
      </x:c>
      <x:c r="H20" s="7" t="str">
        <x:v>学習を明記／展示搭載未確認</x:v>
      </x:c>
      <x:c r="I20" s="7" t="str">
        <x:v>測定準備・更新採否・補正限界の設定者は未確認。</x:v>
      </x:c>
      <x:c r="J20" s="7" t="str">
        <x:v>製品資料の比較例。同機能の2026展示搭載・年度差は未確認。</x:v>
      </x:c>
      <x:c r="K20" s="7" t="str">
        <x:v>B05-2</x:v>
      </x:c>
      <x:c r="L20" s="7" t="str">
        <x:v>RPT-S03
EOV-V004-2024-1
EOV-V004-2026-1
EAT-N08</x:v>
      </x:c>
      <x:c r="M20" s="7" t="str">
        <x:v>RPT-S03: https://www.mazak.com/uk-en/technology/accuracy/
該当箇所: Ai Thermal Shield／Smooth Thermal Shield
EOV-V004-2024-1: https://www.jimtof.org/2024/search/jp/ESdetails?e=q0OrZBKM3uQ
該当箇所: main &gt; div.col-md-8.mb-5 の出展紹介、見出し「主な出展物」直後
EOV-V004-2026-1: https://www.jimtof.org/search/jp/ESdetails?e=PJEgqNYlWes
該当箇所: main &gt; div.col-md-8.mb-5 の出展紹介、見出し「主な出展物」直後
EAT-N08: https://www.mazak.com/jp-en/news-media/upcoming-events/jimtof2026/
該当箇所: Machines &amp; Automation Systems／Automation Systems</x:v>
      </x:c>
    </x:row>
    <x:row r="21" ht="160" customHeight="1">
      <x:c r="A21" s="7" t="str">
        <x:v>熱変位補正・びびり抑制</x:v>
      </x:c>
      <x:c r="B21" s="20" t="str">
        <x:v>オークマ</x:v>
      </x:c>
      <x:c r="C21" s="7" t="str">
        <x:v>加工ナビM-i／M-gⅡ（製品資料による比較）</x:v>
      </x:c>
      <x:c r="D21" s="7" t="str">
        <x:v>E3028</x:v>
      </x:c>
      <x:c r="E21" s="7" t="str">
        <x:v>びびり振動に応じ主軸回転数を調整する</x:v>
      </x:c>
      <x:c r="F21" s="7" t="str">
        <x:v>温度変化や振動に伴う精度・面品位のばらつき。</x:v>
      </x:c>
      <x:c r="G21" s="7" t="str">
        <x:v>M-iは振動計測から主軸速度を自動変更。M-gⅡは速度候補を提示。</x:v>
      </x:c>
      <x:c r="H21" s="7" t="str">
        <x:v>自動制御／学習AIは未確認</x:v>
      </x:c>
      <x:c r="I21" s="7" t="str">
        <x:v>M-iは設定後に自動制御。M-gⅡは人が候補を選ぶ。</x:v>
      </x:c>
      <x:c r="J21" s="7" t="str">
        <x:v>既存製品技術の比較例。2024/2026の機能増分は未確認。</x:v>
      </x:c>
      <x:c r="K21" s="7" t="str">
        <x:v>B05-3</x:v>
      </x:c>
      <x:c r="L21" s="7" t="str">
        <x:v>RPT-S01
EOV-V003-2024-1
EOV-V003-2026-1</x:v>
      </x:c>
      <x:c r="M21" s="7" t="str">
        <x:v>RPT-S01: https://www.okuma.co.jp/solution_technology/process/
該当箇所: 加工ナビ M-i／M-gⅡ
EOV-V003-2024-1: https://www.jimtof.org/2024/search/jp/ESdetails?e=iFfGVH0vPS8
該当箇所: main &gt; div.col-md-8.mb-5 の出展紹介、見出し「主な出展物」直後
EOV-V003-2026-1: https://www.jimtof.org/search/jp/ESdetails?e=30li0vWcseI
該当箇所: main &gt; div.col-md-8.mb-5 の出展紹介、見出し「主な出展物」直後</x:v>
      </x:c>
    </x:row>
    <x:row r="22" ht="160" customHeight="1">
      <x:c r="A22" s="7" t="str">
        <x:v>計測から加工へのフィードバック</x:v>
      </x:c>
      <x:c r="B22" s="20" t="str">
        <x:v>レニショー</x:v>
      </x:c>
      <x:c r="C22" s="7" t="str">
        <x:v>Renishaw Central＋IPC</x:v>
      </x:c>
      <x:c r="D22" s="7" t="str">
        <x:v>E7089</x:v>
      </x:c>
      <x:c r="E22" s="7" t="str">
        <x:v>測定した寸法を加工補正へ戻す</x:v>
      </x:c>
      <x:c r="F22" s="7" t="str">
        <x:v>検査結果を次の加工に戻す待ち時間と補正のばらつき。</x:v>
      </x:c>
      <x:c r="G22" s="7" t="str">
        <x:v>Renishaw Central＋IPCで工具オフセットや機械変数を更新。</x:v>
      </x:c>
      <x:c r="H22" s="7" t="str">
        <x:v>自動補正／AI使用は未確認</x:v>
      </x:c>
      <x:c r="I22" s="7" t="str">
        <x:v>計測不確かさ、補正上限、異常値の抑止条件は未確認。</x:v>
      </x:c>
      <x:c r="J22" s="7" t="str">
        <x:v>Centralは2024掲載済み。2026も継続。</x:v>
      </x:c>
      <x:c r="K22" s="7" t="str">
        <x:v>B06-1</x:v>
      </x:c>
      <x:c r="L22" s="7" t="str">
        <x:v>EOV-V018-2024-1
EOV-V018-2026-1
EOV-W03</x:v>
      </x:c>
      <x:c r="M22" s="7" t="str">
        <x:v>EOV-V018-2024-1: https://www.jimtof.org/2024/search/jp/ESdetails?e=ekM3exgIAtc
該当箇所: main &gt; div.col-md-8.mb-5 の出展紹介、見出し「主な出展物」直後
EOV-V018-2026-1: https://www.jimtof.org/search/jp/ESdetails?e=pYGmVz5GC1c
該当箇所: main &gt; div.col-md-8.mb-5 の出展紹介、見出し「主な出展物」直後
EOV-W03: https://www.renishaw.com/jp/smart-manufacturing-data-platform-for-industrial-process-control--47853
該当箇所: メカニズム、現場でのクローズドループ、導入効果</x:v>
      </x:c>
    </x:row>
    <x:row r="23" ht="160" customHeight="1">
      <x:c r="A23" s="7" t="str">
        <x:v>計測から加工へのフィードバック</x:v>
      </x:c>
      <x:c r="B23" s="20" t="str">
        <x:v>Wintech Automation</x:v>
      </x:c>
      <x:c r="C23" s="7" t="str">
        <x:v>HGM-DX：測定フィードバック研削</x:v>
      </x:c>
      <x:c r="D23" s="7" t="str">
        <x:v>W3051</x:v>
      </x:c>
      <x:c r="E23" s="7" t="str">
        <x:v>測定値を研削加工の補正へ戻す</x:v>
      </x:c>
      <x:c r="F23" s="7" t="str">
        <x:v>検査結果を次の加工に戻す待ち時間と補正のばらつき。</x:v>
      </x:c>
      <x:c r="G23" s="7" t="str">
        <x:v>HGM-DXは測定値を研削機へ返し加工公差を自動補正。</x:v>
      </x:c>
      <x:c r="H23" s="7" t="str">
        <x:v>自動補正／AI使用は未確認</x:v>
      </x:c>
      <x:c r="I23" s="7" t="str">
        <x:v>補正上限と誤計測時の対応は未確認。</x:v>
      </x:c>
      <x:c r="J23" s="7" t="str">
        <x:v>2024は製造・検査自動化。2026は測定→研削を具体記載。</x:v>
      </x:c>
      <x:c r="K23" s="7" t="str">
        <x:v>B06-2</x:v>
      </x:c>
      <x:c r="L23" s="7" t="str">
        <x:v>EOV-V034-2024-1
EOV-V034-2026-1</x:v>
      </x:c>
      <x:c r="M23" s="7" t="str">
        <x:v>EOV-V034-2024-1: https://www.jimtof.org/2024/search/jp/ESdetails?e=-09Q4AWJx1E
該当箇所: main &gt; div.col-md-8.mb-5 の出展紹介、見出し「主な出展物」直後
EOV-V034-2026-1: https://www.jimtof.org/search/jp/ESdetails?e=lMk3zNvQJbg
該当箇所: main &gt; div.col-md-8.mb-5 の出展紹介、見出し「主な出展物」直後</x:v>
      </x:c>
    </x:row>
    <x:row r="24" ht="160" customHeight="1">
      <x:c r="A24" s="7" t="str">
        <x:v>計測から加工へのフィードバック</x:v>
      </x:c>
      <x:c r="B24" s="20" t="str">
        <x:v>株式会社サイバーRC</x:v>
      </x:c>
      <x:c r="C24" s="7" t="str">
        <x:v>GH5：工具の3D画像認識・AI補正ホーニング</x:v>
      </x:c>
      <x:c r="D24" s="7" t="str">
        <x:v>E7074</x:v>
      </x:c>
      <x:c r="E24" s="7" t="str">
        <x:v>工具刃先の幅・角度を狙い値へ加工する</x:v>
      </x:c>
      <x:c r="F24" s="7" t="str">
        <x:v>検査結果を次の加工に戻す待ち時間と補正のばらつき。</x:v>
      </x:c>
      <x:c r="G24" s="7" t="str">
        <x:v>GH5は機内3D画像で刃先を測り、幅・角度の目標へAI補正。</x:v>
      </x:c>
      <x:c r="H24" s="7" t="str">
        <x:v>AI制御を明記／方式非開示</x:v>
      </x:c>
      <x:c r="I24" s="7" t="str">
        <x:v>目標値は人が設定。過研磨・測定不能時の停止復帰は未確認。</x:v>
      </x:c>
      <x:c r="J24" s="7" t="str">
        <x:v>2024のGM5等から、2026はGH5の測定・加工一体化を記載。</x:v>
      </x:c>
      <x:c r="K24" s="7" t="str">
        <x:v>B06-3</x:v>
      </x:c>
      <x:c r="L24" s="7" t="str">
        <x:v>EEX-EXH-2026-a0cbad27ea34d7c4
EEX-EXH-2024-76ac534a229f7c29
EDP-02</x:v>
      </x:c>
      <x:c r="M24" s="7" t="str">
        <x:v>EEX-EXH-2026-a0cbad27ea34d7c4: https://www.jimtof.org/search/jp/ESdetails?e=8ealehgmk8o
該当箇所: 出展紹介・主な出展物。追加カードの原典抜粋で検索
EEX-EXH-2024-76ac534a229f7c29: https://www.jimtof.org/2024/search/jp/ESdetails?e=wk2AEX5rHpw
該当箇所: 出展紹介・主な出展物。追加カードの原典抜粋で検索
EDP-02: https://cyber-rc.com/wp-content/uploads/2025/10/%E7%B7%8F%E5%90%88%E3%82%AB%E3%82%BF%E3%83%AD%E3%82%B0420-x-297-mm%E6%A8%AA%E4%B8%A6%E3%81%B3-.pdf
該当箇所: GRISTAR HONING 5 AXIS／幅・角度設定、Robot Eye、自動調整</x:v>
      </x:c>
    </x:row>
    <x:row r="25" ht="160" customHeight="1">
      <x:c r="A25" s="7" t="str">
        <x:v>外観検査・撮像と追加学習</x:v>
      </x:c>
      <x:c r="B25" s="20" t="str">
        <x:v>HACARUS</x:v>
      </x:c>
      <x:c r="C25" s="7" t="str">
        <x:v>HACARUS Check ZERO</x:v>
      </x:c>
      <x:c r="D25" s="7" t="str">
        <x:v>S1031</x:v>
      </x:c>
      <x:c r="E25" s="7" t="str">
        <x:v>製品表面の傷・欠け等を判定する</x:v>
      </x:c>
      <x:c r="F25" s="7" t="str">
        <x:v>少量不良データ、撮像ばらつき、見逃しと過検出。</x:v>
      </x:c>
      <x:c r="G25" s="7" t="str">
        <x:v>ZEROは良品との差で異常を検出し、人の良否注釈で追加調整。</x:v>
      </x:c>
      <x:c r="H25" s="7" t="str">
        <x:v>AI異常検知を明記</x:v>
      </x:c>
      <x:c r="I25" s="7" t="str">
        <x:v>人が画像・注釈を準備。更新モデル採用と出荷判定の権限は未確認。</x:v>
      </x:c>
      <x:c r="J25" s="7" t="str">
        <x:v>追加学習は2025/7発表済み。2026だけの新機能としない。</x:v>
      </x:c>
      <x:c r="K25" s="7" t="str">
        <x:v>B07-1</x:v>
      </x:c>
      <x:c r="L25" s="7" t="str">
        <x:v>EOV-V021-2026-1
EOV-W06
EDP-14
EDP-15
ERF-05</x:v>
      </x:c>
      <x:c r="M25" s="7" t="str">
        <x:v>EOV-V021-2026-1: https://www.jimtof.org/search/jp/ESdetails?e=oatArsOZ-Wc
該当箇所: main &gt; div.col-md-8.mb-5 の出展紹介、見出し「主な出展物」直後
EOV-W06: https://hacarus.com/ja/technology/hacarus-check-series/
該当箇所: 2026.04.06本文
EDP-14: https://hacarus.com/ja/press-release/20250707-news/
該当箇所: 2025/7/9販売／良品学習とアノテーション追加学習／判定UI
EDP-15: https://check.hacarus.com/ja/
該当箇所: Check ZERO／デュアルチューニング／機器構成
ERF-05: https://check.hacarus.com/ja/aisoftware/
該当箇所: 特徴／異常箇所表示・良否アノテーション追加学習</x:v>
      </x:c>
    </x:row>
    <x:row r="26" ht="160" customHeight="1">
      <x:c r="A26" s="7" t="str">
        <x:v>外観検査・撮像と追加学習</x:v>
      </x:c>
      <x:c r="B26" s="20" t="str">
        <x:v>日東商事</x:v>
      </x:c>
      <x:c r="C26" s="7" t="str">
        <x:v>HACARUS Check：協働ロボット多面検査</x:v>
      </x:c>
      <x:c r="D26" s="7" t="str">
        <x:v>S1031</x:v>
      </x:c>
      <x:c r="E26" s="7" t="str">
        <x:v>ワークを多方向から撮り外観を検査する</x:v>
      </x:c>
      <x:c r="F26" s="7" t="str">
        <x:v>少量不良データ、撮像ばらつき、見逃しと過検出。</x:v>
      </x:c>
      <x:c r="G26" s="7" t="str">
        <x:v>協働ロボットで多角度撮像し、AIで傷・欠けを判定。</x:v>
      </x:c>
      <x:c r="H26" s="7" t="str">
        <x:v>AI検査＋ロボット撮像</x:v>
      </x:c>
      <x:c r="I26" s="7" t="str">
        <x:v>姿勢教示・再撮像・不良排出の権限は未確認。</x:v>
      </x:c>
      <x:c r="J26" s="7" t="str">
        <x:v>日東商事2024の放電加工機展示から、AI検査を追加記載。</x:v>
      </x:c>
      <x:c r="K26" s="7" t="str">
        <x:v>B07-2</x:v>
      </x:c>
      <x:c r="L26" s="7" t="str">
        <x:v>EOV-V022-2024-1
EOV-V022-2026-1</x:v>
      </x:c>
      <x:c r="M26" s="7" t="str">
        <x:v>EOV-V022-2024-1: https://www.jimtof.org/2024/search/jp/ESdetails?e=S23RMUbJOQs
該当箇所: main &gt; div.col-md-8.mb-5 の出展紹介、見出し「主な出展物」直後
EOV-V022-2026-1: https://www.jimtof.org/search/jp/ESdetails?e=GozGZRxlviw
該当箇所: main &gt; div.col-md-8.mb-5 の出展紹介、見出し「主な出展物」直後</x:v>
      </x:c>
    </x:row>
    <x:row r="27" ht="160" customHeight="1">
      <x:c r="A27" s="7" t="str">
        <x:v>外観検査・撮像と追加学習</x:v>
      </x:c>
      <x:c r="B27" s="20" t="str">
        <x:v>ブルーム-ノボテスト</x:v>
      </x:c>
      <x:c r="C27" s="7" t="str">
        <x:v>FormControl X／DIGILOG</x:v>
      </x:c>
      <x:c r="D27" s="7" t="str">
        <x:v>E7084</x:v>
      </x:c>
      <x:c r="E27" s="7" t="str">
        <x:v>機上のワーク形状と工具を測る</x:v>
      </x:c>
      <x:c r="F27" s="7" t="str">
        <x:v>少量不良データ、撮像ばらつき、見逃しと過検出。</x:v>
      </x:c>
      <x:c r="G27" s="7" t="str">
        <x:v>機上3D測定と工具計測・欠け検知・補正を組み合わせる。</x:v>
      </x:c>
      <x:c r="H27" s="7" t="str">
        <x:v>計測／AI使用は未確認</x:v>
      </x:c>
      <x:c r="I27" s="7" t="str">
        <x:v>校正・熱状態・機種適合の条件は未確認。</x:v>
      </x:c>
      <x:c r="J27" s="7" t="str">
        <x:v>2024のFormControl X等を継続し、2026はLC54等を追加。</x:v>
      </x:c>
      <x:c r="K27" s="7" t="str">
        <x:v>B07-3</x:v>
      </x:c>
      <x:c r="L27" s="7" t="str">
        <x:v>EOV-V019-2024-1
EOV-V019-2026-1</x:v>
      </x:c>
      <x:c r="M27" s="7" t="str">
        <x:v>EOV-V019-2024-1: https://www.jimtof.org/2024/search/jp/ESdetails?e=Zz8BlB0Ylio
該当箇所: main &gt; div.col-md-8.mb-5 の出展紹介、見出し「主な出展物」直後
EOV-V019-2026-1: https://www.jimtof.org/search/jp/ESdetails?e=_njqMb9vBpc
該当箇所: main &gt; div.col-md-8.mb-5 の出展紹介、見出し「主な出展物」直後</x:v>
      </x:c>
    </x:row>
    <x:row r="28" ht="160" customHeight="1">
      <x:c r="A28" s="7" t="str">
        <x:v>工具摩耗の判定・交換判断</x:v>
      </x:c>
      <x:c r="B28" s="20" t="str">
        <x:v>モリマシナリー</x:v>
      </x:c>
      <x:c r="C28" s="7" t="str">
        <x:v>ツールコラージュ</x:v>
      </x:c>
      <x:c r="D28" s="7" t="str">
        <x:v>S3048</x:v>
      </x:c>
      <x:c r="E28" s="7" t="str">
        <x:v>刃先の欠け・摩耗を判定し記録する</x:v>
      </x:c>
      <x:c r="F28" s="7" t="str">
        <x:v>工具を早く捨てすぎず、欠損や品質悪化を避ける判断。</x:v>
      </x:c>
      <x:c r="G28" s="7" t="str">
        <x:v>刃先の診断箇所を認知し、欠け・摩耗をAI判定・記録。</x:v>
      </x:c>
      <x:c r="H28" s="7" t="str">
        <x:v>AI画像判定を明記</x:v>
      </x:c>
      <x:c r="I28" s="7" t="str">
        <x:v>対象工具と撮像条件を準備。継続使用の最終決定者は未確認。</x:v>
      </x:c>
      <x:c r="J28" s="7" t="str">
        <x:v>AI摩耗判定は2024にも説明済み。2026は継続。</x:v>
      </x:c>
      <x:c r="K28" s="7" t="str">
        <x:v>B08-1</x:v>
      </x:c>
      <x:c r="L28" s="7" t="str">
        <x:v>EOV-V024-2024-1
EOV-V024-2026-1
EDP-12</x:v>
      </x:c>
      <x:c r="M28" s="7" t="str">
        <x:v>EOV-V024-2024-1: https://www.jimtof.org/2024/search/jp/ESdetails?e=yEoPl5sH6Sg
該当箇所: main &gt; div.col-md-8.mb-5 の出展紹介、見出し「主な出展物」直後
EOV-V024-2026-1: https://www.jimtof.org/search/jp/ESdetails?e=ZvT3Lci-hnM
該当箇所: main &gt; div.col-md-8.mb-5 の出展紹介、見出し「主な出展物」直後
EDP-12: https://mori-machinery.com/en/product/tool-sommelier?post_id=1066
該当箇所: 刃先撮像・欠け摩耗自動検出／FAQの工具・径制約</x:v>
      </x:c>
    </x:row>
    <x:row r="29" ht="160" customHeight="1">
      <x:c r="A29" s="7" t="str">
        <x:v>工具摩耗の判定・交換判断</x:v>
      </x:c>
      <x:c r="B29" s="20" t="str">
        <x:v>ハイデンハイン</x:v>
      </x:c>
      <x:c r="C29" s="7" t="str">
        <x:v>VT122＋VTC 6.0</x:v>
      </x:c>
      <x:c r="D29" s="7" t="str">
        <x:v>E7043</x:v>
      </x:c>
      <x:c r="E29" s="7" t="str">
        <x:v>工具画像から摩耗状態を診断する</x:v>
      </x:c>
      <x:c r="F29" s="7" t="str">
        <x:v>工具を早く捨てすぎず、欠損や品質悪化を避ける判断。</x:v>
      </x:c>
      <x:c r="G29" s="7" t="str">
        <x:v>VT122にVTC 6.0のAI摩耗診断・工具長機能を記載。</x:v>
      </x:c>
      <x:c r="H29" s="7" t="str">
        <x:v>AI摩耗診断を明記</x:v>
      </x:c>
      <x:c r="I29" s="7" t="str">
        <x:v>判定閾値と自動交換への接続は未確認。</x:v>
      </x:c>
      <x:c r="J29" s="7" t="str">
        <x:v>2024はVT122検査。2026はAI摩耗診断を追加記載。</x:v>
      </x:c>
      <x:c r="K29" s="7" t="str">
        <x:v>B08-2</x:v>
      </x:c>
      <x:c r="L29" s="7" t="str">
        <x:v>EOV-V023-2024-1
EOV-V023-2026-1</x:v>
      </x:c>
      <x:c r="M29" s="7" t="str">
        <x:v>EOV-V023-2024-1: https://www.jimtof.org/2024/search/jp/ESdetails?e=GFSwCXSxe9o
該当箇所: main &gt; div.col-md-8.mb-5 の出展紹介、見出し「主な出展物」直後
EOV-V023-2026-1: https://www.jimtof.org/search/jp/ESdetails?e=iohDR5yR9VA
該当箇所: main &gt; div.col-md-8.mb-5 の出展紹介、見出し「主な出展物」直後</x:v>
      </x:c>
    </x:row>
    <x:row r="30" ht="160" customHeight="1">
      <x:c r="A30" s="7" t="str">
        <x:v>工具摩耗の判定・交換判断</x:v>
      </x:c>
      <x:c r="B30" s="20" t="str">
        <x:v>三菱電機</x:v>
      </x:c>
      <x:c r="C30" s="7" t="str">
        <x:v>NC MachiningAID（2024）／2026 CNC省人化</x:v>
      </x:c>
      <x:c r="D30" s="7" t="str">
        <x:v>S2003</x:v>
      </x:c>
      <x:c r="E30" s="7" t="str">
        <x:v>加工異常・工具摩耗・作業ミスを検知する</x:v>
      </x:c>
      <x:c r="F30" s="7" t="str">
        <x:v>工具を早く捨てすぎず、欠損や品質悪化を避ける判断。</x:v>
      </x:c>
      <x:c r="G30" s="7" t="str">
        <x:v>2024のMachiningAIDは加工異常・工具摩耗・作業ミスをAI検知。</x:v>
      </x:c>
      <x:c r="H30" s="7" t="str">
        <x:v>2024はAI明記／2026個別不明</x:v>
      </x:c>
      <x:c r="I30" s="7" t="str">
        <x:v>2026の継承機能と自動停止・交換権限は未確認。</x:v>
      </x:c>
      <x:c r="J30" s="7" t="str">
        <x:v>2026はAI省人化の総論。個別機能の進化は比較不能。</x:v>
      </x:c>
      <x:c r="K30" s="7" t="str">
        <x:v>B08-3</x:v>
      </x:c>
      <x:c r="L30" s="7" t="str">
        <x:v>EAT-V043-2024-1
EAT-V043-2026-1</x:v>
      </x:c>
      <x:c r="M30" s="7" t="str">
        <x:v>EAT-V043-2024-1: https://www.jimtof.org/2024/search/jp/ESdetails?e=30li0vWcseI
該当箇所: 出展紹介・主な出展物（カードの製品名・機能語で検索）
EAT-V043-2026-1: https://www.jimtof.org/search/jp/ESdetails?e=AjLnzm01WWU
該当箇所: 出展紹介・主な出展物（カードの製品名・機能語で検索）</x:v>
      </x:c>
    </x:row>
    <x:row r="31" ht="160" customHeight="1">
      <x:c r="A31" s="7" t="str">
        <x:v>工具摩耗の判定・交換判断</x:v>
      </x:c>
      <x:c r="B31" s="20" t="str">
        <x:v>モリマシナリー</x:v>
      </x:c>
      <x:c r="C31" s="7" t="str">
        <x:v>ツールコラージュアナライザー</x:v>
      </x:c>
      <x:c r="D31" s="7" t="str">
        <x:v>S3048</x:v>
      </x:c>
      <x:c r="E31" s="7" t="str">
        <x:v>切削工具をいつ交換するか</x:v>
      </x:c>
      <x:c r="F31" s="7" t="str">
        <x:v>工具を早く捨てすぎず、欠損や品質悪化を避ける判断。</x:v>
      </x:c>
      <x:c r="G31" s="7" t="str">
        <x:v>摩耗幅のデータを蓄積・学習し、工具寿命と交換時期を提案する。</x:v>
      </x:c>
      <x:c r="H31" s="7" t="str">
        <x:v>寿命予測を説明／実機性能は未確認</x:v>
      </x:c>
      <x:c r="I31" s="7" t="str">
        <x:v>人が工具・加工条件と提案の適用を確認する運用は要確認。</x:v>
      </x:c>
      <x:c r="J31" s="7" t="str">
        <x:v>2026は寿命予測と交換提案を具体掲載。ただし研究発表は2023にもあり、新方式の誕生とは扱わない。</x:v>
      </x:c>
      <x:c r="K31" s="7" t="str">
        <x:v>B08-4</x:v>
      </x:c>
      <x:c r="L31" s="7" t="str">
        <x:v>EOV-V024-2024-1
EOV-V024-2026-1
EOV-W08</x:v>
      </x:c>
      <x:c r="M31" s="7" t="str">
        <x:v>EOV-V024-2024-1: https://www.jimtof.org/2024/search/jp/ESdetails?e=yEoPl5sH6Sg
該当箇所: main &gt; div.col-md-8.mb-5 の出展紹介、見出し「主な出展物」直後
EOV-V024-2026-1: https://www.jimtof.org/search/jp/ESdetails?e=ZvT3Lci-hnM
該当箇所: main &gt; div.col-md-8.mb-5 の出展紹介、見出し「主な出展物」直後
EOV-W08: https://mori-machinery.com/wp-content/uploads/2023/06/%E7%86%9F%E7%B7%B4%E8%80%85%E3%81%AE%E7%B5%8C%E9%A8%93%E7%9F%A5%E3%82%92%E3%82%82%E3%81%A8%E3%81%AB%E5%88%87%E5%89%8A%E5%B7%A5%E5%85%B7%E3%81%AE%E6%AC%A0%E3%81%91%E3%83%BB%E6%91%A9%E8%80%97%E3%83%BB%E5%AF%BF%E5%91%BD%E3%82%92%E6%8E%A8%E5%AE%9A%E3%81%99%E3%82%8BAI%E3%82%92%E9%96%8B%E7%99%BA.pdf
該当箇所: 2023年6月2日、成果と今後の展望</x:v>
      </x:c>
    </x:row>
    <x:row r="32" ht="160" customHeight="1">
      <x:c r="A32" s="7" t="str">
        <x:v>工具摩耗の判定・交換判断</x:v>
      </x:c>
      <x:c r="B32" s="20" t="str">
        <x:v>興和オプトロニクス</x:v>
      </x:c>
      <x:c r="C32" s="7" t="str">
        <x:v>RW耐環境ビジョンユニット</x:v>
      </x:c>
      <x:c r="D32" s="7" t="str">
        <x:v>S3104</x:v>
      </x:c>
      <x:c r="E32" s="7" t="str">
        <x:v>加工機内の工具折損・摩耗を見つける</x:v>
      </x:c>
      <x:c r="F32" s="7" t="str">
        <x:v>工具を早く捨てすぎず、欠損や品質悪化を避ける判断。</x:v>
      </x:c>
      <x:c r="G32" s="7" t="str">
        <x:v>水・油・ミスト環境で撮像し、AIで工具折損・摩耗や切粉の異常蓄積を検知するとの説明。</x:v>
      </x:c>
      <x:c r="H32" s="7" t="str">
        <x:v>AI画像解析を明記</x:v>
      </x:c>
      <x:c r="I32" s="7" t="str">
        <x:v>対象工具、判定の閾値、検知後の停止・交換の分担は未確認。</x:v>
      </x:c>
      <x:c r="J32" s="7" t="str">
        <x:v>2024同名原典なし。2026の耐環境撮像とAI検知は確認、登場時期は比較不能。</x:v>
      </x:c>
      <x:c r="K32" s="7" t="str">
        <x:v>B08-5</x:v>
      </x:c>
      <x:c r="L32" s="7" t="str">
        <x:v>EOV-V042-2026-1
EDP-33</x:v>
      </x:c>
      <x:c r="M32" s="7" t="str">
        <x:v>EOV-V042-2026-1: https://www.jimtof.org/search/jp/ESdetails?e=v6nw4APC-vQ
該当箇所: main &gt; div.col-md-8.mb-5 の出展紹介、見出し「主な出展物」直後
EDP-33: https://optical.kowa-opt.co.jp/camera-rw/
該当箇所: ビジョンプロセッサ併用の不良ヒートマップ・切粉巻付きアラート・工具欠損検出</x:v>
      </x:c>
    </x:row>
    <x:row r="33" ht="160" customHeight="1">
      <x:c r="A33" s="7" t="str">
        <x:v>工具摩耗の判定・交換判断</x:v>
      </x:c>
      <x:c r="B33" s="20" t="str">
        <x:v>マーポス</x:v>
      </x:c>
      <x:c r="C33" s="7" t="str">
        <x:v>ARTIS／BLU／VTS</x:v>
      </x:c>
      <x:c r="D33" s="7" t="str">
        <x:v>E7087</x:v>
      </x:c>
      <x:c r="E33" s="7" t="str">
        <x:v>工具寸法と加工状態を測り・監視する</x:v>
      </x:c>
      <x:c r="F33" s="7" t="str">
        <x:v>工具を早く捨てすぎず、欠損や品質悪化を避ける判断。</x:v>
      </x:c>
      <x:c r="G33" s="7" t="str">
        <x:v>カメラ・レーザーの工具測定と、工具・機械・加工プロセスの監視を展示。</x:v>
      </x:c>
      <x:c r="H33" s="7" t="str">
        <x:v>計測・工程監視／AI摩耗判定は未確認</x:v>
      </x:c>
      <x:c r="I33" s="7" t="str">
        <x:v>交換・停止を決める基準と、各機能のAI使用は未確認。</x:v>
      </x:c>
      <x:c r="J33" s="7" t="str">
        <x:v>ARTIS・VTS等は2024にも掲載。2026の展示名だけでは機能の増分を断定できない。</x:v>
      </x:c>
      <x:c r="K33" s="7" t="str">
        <x:v>B08-6</x:v>
      </x:c>
      <x:c r="L33" s="7" t="str">
        <x:v>EOV-V020-2024-1
EOV-V020-2026-1</x:v>
      </x:c>
      <x:c r="M33" s="7" t="str">
        <x:v>EOV-V020-2024-1: https://www.jimtof.org/2024/search/jp/ESdetails?e=K8FKaawJkn0
該当箇所: main &gt; div.col-md-8.mb-5 の出展紹介、見出し「主な出展物」直後
EOV-V020-2026-1: https://www.jimtof.org/search/jp/ESdetails?e=tThKOA-gm8s
該当箇所: main &gt; div.col-md-8.mb-5 の出展紹介、見出し「主な出展物」直後</x:v>
      </x:c>
    </x:row>
    <x:row r="34" ht="160" customHeight="1">
      <x:c r="A34" s="7" t="str">
        <x:v>工具摩耗の判定・交換判断</x:v>
      </x:c>
      <x:c r="B34" s="20" t="str">
        <x:v>Masterlink</x:v>
      </x:c>
      <x:c r="C34" s="7" t="str">
        <x:v>工作機械センシングの知能化による生産性向上：</x:v>
      </x:c>
      <x:c r="D34" s="7" t="str">
        <x:v>E1050</x:v>
      </x:c>
      <x:c r="E34" s="7" t="str">
        <x:v>工具の異常を監視する（方式要確認）</x:v>
      </x:c>
      <x:c r="F34" s="7" t="str">
        <x:v>工具を早く捨てすぎず、欠損や品質悪化を避ける判断。</x:v>
      </x:c>
      <x:c r="G34" s="7" t="str">
        <x:v>工具監視、適応加工、予知保全を出展項目として掲載。入力信号と判定方式は未記載。</x:v>
      </x:c>
      <x:c r="H34" s="7" t="str">
        <x:v>工具監視を掲載／AI摩耗診断は未確認</x:v>
      </x:c>
      <x:c r="I34" s="7" t="str">
        <x:v>監視結果から停止・交換へ移す手順、担当者は未確認。</x:v>
      </x:c>
      <x:c r="J34" s="7" t="str">
        <x:v>2024はセンシング・現場管理の総論。2026は工具監視等を列挙。性能差は不明。</x:v>
      </x:c>
      <x:c r="K34" s="7" t="str">
        <x:v>B08-7</x:v>
      </x:c>
      <x:c r="L34" s="7" t="str">
        <x:v>EEX-EXH-2026-19ce238d137fe275
EEX-EXH-2024-a2fae1d1864676d1</x:v>
      </x:c>
      <x:c r="M34" s="7" t="str">
        <x:v>EEX-EXH-2026-19ce238d137fe275: https://www.jimtof.org/search/jp/ESdetails?e=kygm0UxJL-M
該当箇所: 出展紹介・主な出展物。追加カードの原典抜粋で検索
EEX-EXH-2024-a2fae1d1864676d1: https://www.jimtof.org/2024/search/jp/ESdetails?e=58-lhh4o9Oo
該当箇所: 出展紹介・主な出展物。追加カードの原典抜粋で検索</x:v>
      </x:c>
    </x:row>
    <x:row r="35" ht="160" customHeight="1">
      <x:c r="A35" s="7" t="str">
        <x:v>設備・刃具の異常検知と保全</x:v>
      </x:c>
      <x:c r="B35" s="20" t="str">
        <x:v>ムラテックＣＣＳ株式会社</x:v>
      </x:c>
      <x:c r="C35" s="7" t="str">
        <x:v>プライマリドクタサービス：稼働中データのAI診断</x:v>
      </x:c>
      <x:c r="D35" s="7" t="str">
        <x:v>E3031</x:v>
      </x:c>
      <x:c r="E35" s="7" t="str">
        <x:v>設備の電流・振動から劣化を診断する</x:v>
      </x:c>
      <x:c r="F35" s="7" t="str">
        <x:v>故障や工具破損の兆候を捉え、点検・交換につなぐ負担。</x:v>
      </x:c>
      <x:c r="G35" s="7" t="str">
        <x:v>稼働中の電流・振動等を新品状態と比較し劣化・異常を診断。</x:v>
      </x:c>
      <x:c r="H35" s="7" t="str">
        <x:v>AI診断を明記</x:v>
      </x:c>
      <x:c r="I35" s="7" t="str">
        <x:v>計測後の点検・交換の最終決定者、誤警報時の扱いは未確認。</x:v>
      </x:c>
      <x:c r="J35" s="7" t="str">
        <x:v>プライマリドクタのAI診断は2024から継続。</x:v>
      </x:c>
      <x:c r="K35" s="7" t="str">
        <x:v>B09-1</x:v>
      </x:c>
      <x:c r="L35" s="7" t="str">
        <x:v>EEX-EXH-2026-308c5194f12fe009
EEX-EXH-2024-b0a94c1cd407ea8a
EDP-13</x:v>
      </x:c>
      <x:c r="M35" s="7" t="str">
        <x:v>EEX-EXH-2026-308c5194f12fe009: https://www.jimtof.org/search/jp/ESdetails?e=Z_SbvK_hxBY
該当箇所: 出展紹介・主な出展物。追加カードの原典抜粋で検索
EEX-EXH-2024-b0a94c1cd407ea8a: https://www.jimtof.org/2024/search/jp/ESdetails?e=2N7pXq5Aehs
該当箇所: 出展紹介・主な出展物。追加カードの原典抜粋で検索
EDP-13: https://www.muratec.jp/company/ti/rd/detail.php?id=7540
該当箇所: 電流・振動を新品データと比較／補正入力回数・軸負荷による劣化判定</x:v>
      </x:c>
    </x:row>
    <x:row r="36" ht="160" customHeight="1">
      <x:c r="A36" s="7" t="str">
        <x:v>設備・刃具の異常検知と保全</x:v>
      </x:c>
      <x:c r="B36" s="20" t="str">
        <x:v>アズビル（TACO共同出展）</x:v>
      </x:c>
      <x:c r="C36" s="7" t="str">
        <x:v>U4DM01 NC旋盤予兆検知</x:v>
      </x:c>
      <x:c r="D36" s="7" t="str">
        <x:v>W4070</x:v>
      </x:c>
      <x:c r="E36" s="7" t="str">
        <x:v>NC旋盤の刃具破損を検知する</x:v>
      </x:c>
      <x:c r="F36" s="7" t="str">
        <x:v>故障や工具破損の兆候を捉え、点検・交換につなぐ負担。</x:v>
      </x:c>
      <x:c r="G36" s="7" t="str">
        <x:v>U4DM01はNC旋盤の刃具破損検知と後付け適用を説明。</x:v>
      </x:c>
      <x:c r="H36" s="7" t="str">
        <x:v>独自アルゴリズム／AI方式未確認</x:v>
      </x:c>
      <x:c r="I36" s="7" t="str">
        <x:v>2024は設定・学習開始操作あり。停止や交換権限は未確認。</x:v>
      </x:c>
      <x:c r="J36" s="7" t="str">
        <x:v>2024参考U4Dから2026 Coming soon表記。性能差は不明。</x:v>
      </x:c>
      <x:c r="K36" s="7" t="str">
        <x:v>B09-2</x:v>
      </x:c>
      <x:c r="L36" s="7" t="str">
        <x:v>RPT-EXH-2026-2c48cf1373cedc75
RPT-EXH-2024-2caebd449015630d</x:v>
      </x:c>
      <x:c r="M36" s="7" t="str">
        <x:v>RPT-EXH-2026-2c48cf1373cedc75: https://www.jimtof.org/search/jp/ESdetails?e=x6DdroBnfSA
該当箇所: main &gt; div.container &gt; div.row &gt; div.col-md-8.mb-5; 見出し「主な出展物」と直後のp
RPT-EXH-2024-2caebd449015630d: https://www.jimtof.org/2024/search/jp/ESdetails?e=7JiCTnsEx48
該当箇所: main &gt; div.container &gt; div.row &gt; div.col-md-8.mb-5; 見出し「主な出展物」と直後のp</x:v>
      </x:c>
    </x:row>
    <x:row r="37" ht="160" customHeight="1">
      <x:c r="A37" s="7" t="str">
        <x:v>設備・刃具の異常検知と保全</x:v>
      </x:c>
      <x:c r="B37" s="20" t="str">
        <x:v>日本精工</x:v>
      </x:c>
      <x:c r="C37" s="7" t="str">
        <x:v>振動診断AI・遠隔監視</x:v>
      </x:c>
      <x:c r="D37" s="7" t="str">
        <x:v>W2048</x:v>
      </x:c>
      <x:c r="E37" s="7" t="str">
        <x:v>振動から設備状態を診断する</x:v>
      </x:c>
      <x:c r="F37" s="7" t="str">
        <x:v>故障や工具破損の兆候を捉え、点検・交換につなぐ負担。</x:v>
      </x:c>
      <x:c r="G37" s="7" t="str">
        <x:v>2024はAI振動診断と遠隔監視を紹介。</x:v>
      </x:c>
      <x:c r="H37" s="7" t="str">
        <x:v>2024はAI明記／2026個別不明</x:v>
      </x:c>
      <x:c r="I37" s="7" t="str">
        <x:v>2026の個別機能、保全判断への接続は資料不足。</x:v>
      </x:c>
      <x:c r="J37" s="7" t="str">
        <x:v>2026の総論だけでは2024比の増分を判定できない。</x:v>
      </x:c>
      <x:c r="K37" s="7" t="str">
        <x:v>B09-3</x:v>
      </x:c>
      <x:c r="L37" s="7" t="str">
        <x:v>EOV-V032-2024-1
EOV-V032-2026-1</x:v>
      </x:c>
      <x:c r="M37" s="7" t="str">
        <x:v>EOV-V032-2024-1: https://www.jimtof.org/2024/search/jp/ESdetails?e=5maDHvHPff8
該当箇所: main &gt; div.col-md-8.mb-5 の出展紹介、見出し「主な出展物」直後
EOV-V032-2026-1: https://www.jimtof.org/search/jp/ESdetails?e=hzAGGAi5wL4
該当箇所: main &gt; div.col-md-8.mb-5 の出展紹介、見出し「主な出展物」直後</x:v>
      </x:c>
    </x:row>
    <x:row r="38" ht="160" customHeight="1">
      <x:c r="A38" s="7" t="str">
        <x:v>爪・治具・ハンドと位置の段取り</x:v>
      </x:c>
      <x:c r="B38" s="20" t="str">
        <x:v>松本機械工業株式会社</x:v>
      </x:c>
      <x:c r="C38" s="7" t="str">
        <x:v>Smart Terrace Adv／爪・CAPTO工具の交換</x:v>
      </x:c>
      <x:c r="D38" s="7" t="str">
        <x:v>W2070</x:v>
      </x:c>
      <x:c r="E38" s="7" t="str">
        <x:v>爪・工具等を交換して段取りを変える</x:v>
      </x:c>
      <x:c r="F38" s="7" t="str">
        <x:v>多品種で繰り返す機械的交換と再教示の負担。</x:v>
      </x:c>
      <x:c r="G38" s="7" t="str">
        <x:v>Smart Terrace Advは爪等の交換。寸法入力から動作を設定。</x:v>
      </x:c>
      <x:c r="H38" s="7" t="str">
        <x:v>自動化／学習AIは未確認</x:v>
      </x:c>
      <x:c r="I38" s="7" t="str">
        <x:v>人が寸法入力。初期プログラムはメーカーが組込み。</x:v>
      </x:c>
      <x:c r="J38" s="7" t="str">
        <x:v>CAPTO等の交換は2024初披露済み。2026はAdv構成等に注目。</x:v>
      </x:c>
      <x:c r="K38" s="7" t="str">
        <x:v>B10-1</x:v>
      </x:c>
      <x:c r="L38" s="7" t="str">
        <x:v>EEX-EXH-2026-0daa587f8abf6076
EEX-EXH-2024-1dc10e3b594ed9d8
EDP-26
EDP-27
EDP-28</x:v>
      </x:c>
      <x:c r="M38" s="7" t="str">
        <x:v>EEX-EXH-2026-0daa587f8abf6076: https://www.jimtof.org/search/jp/ESdetails?e=bhpEIIjKNb4
該当箇所: 出展紹介・主な出展物。追加カードの原典抜粋で検索
EEX-EXH-2024-1dc10e3b594ed9d8: https://www.jimtof.org/2024/search/jp/ESdetails?e=1cGhqW04Qes
該当箇所: 出展紹介・主な出展物。追加カードの原典抜粋で検索
EDP-26: https://mmkchuck.com/product/7218/
該当箇所: 7つの革新／寸法パラメータ入力・出荷時組込プログラム／レトロフィット
EDP-27: https://mmkchuck.com/news/2024/5903/
該当箇所: 爪・ケレ・計測／展示会初披露のCAPTO・MAC
EDP-28: https://mmkchuck.com/news/2026/7380/
該当箇所: Advハード単体・ストッカー単体販売への対応</x:v>
      </x:c>
    </x:row>
    <x:row r="39" ht="160" customHeight="1">
      <x:c r="A39" s="7" t="str">
        <x:v>爪・治具・ハンドと位置の段取り</x:v>
      </x:c>
      <x:c r="B39" s="20" t="str">
        <x:v>イマオコーポレーション</x:v>
      </x:c>
      <x:c r="C39" s="7" t="str">
        <x:v>ナットランナー治具</x:v>
      </x:c>
      <x:c r="D39" s="7" t="str">
        <x:v>W2001</x:v>
      </x:c>
      <x:c r="E39" s="7" t="str">
        <x:v>加工前にワークを治具へ固定する</x:v>
      </x:c>
      <x:c r="F39" s="7" t="str">
        <x:v>多品種で繰り返す機械的交換と再教示の負担。</x:v>
      </x:c>
      <x:c r="G39" s="7" t="str">
        <x:v>ナットランナーとメカ機構でワークを締結する治具。</x:v>
      </x:c>
      <x:c r="H39" s="7" t="str">
        <x:v>機械的自動化</x:v>
      </x:c>
      <x:c r="I39" s="7" t="str">
        <x:v>人が治具・フック等を設計選定。着座・締結異常の扱いは未確認。</x:v>
      </x:c>
      <x:c r="J39" s="7" t="str">
        <x:v>2024も具体治具あり。2026は種類追加を記載。</x:v>
      </x:c>
      <x:c r="K39" s="7" t="str">
        <x:v>B10-2</x:v>
      </x:c>
      <x:c r="L39" s="7" t="str">
        <x:v>EOV-V025-2024-1
EOV-V025-2026-1
EDP-30
EDP-32</x:v>
      </x:c>
      <x:c r="M39" s="7" t="str">
        <x:v>EOV-V025-2024-1: https://www.jimtof.org/2024/search/jp/ESdetails?e=MTYTZ2Km3zM
該当箇所: main &gt; div.col-md-8.mb-5 の出展紹介、見出し「主な出展物」直後
EOV-V025-2026-1: https://www.jimtof.org/search/jp/ESdetails?e=shuDpJLDn-A
該当箇所: main &gt; div.col-md-8.mb-5 の出展紹介、見出し「主な出展物」直後
EDP-30: https://www.imao.co.jp/products/nutrunnerclamp.html
該当箇所: ロボットのナットランナーでクランプ／配管配線不要／手動も可能
EDP-32: https://www.imao.co.jp/event-20241105-1110-jimtof/jimtof.pdf
該当箇所: ナットランナー治具各型式／人でもロボットでも操作可能</x:v>
      </x:c>
    </x:row>
    <x:row r="40" ht="160" customHeight="1">
      <x:c r="A40" s="7" t="str">
        <x:v>爪・治具・ハンドと位置の段取り</x:v>
      </x:c>
      <x:c r="B40" s="20" t="str">
        <x:v>中村留精密工業</x:v>
      </x:c>
      <x:c r="C40" s="7" t="str">
        <x:v>RoboSync：移設後の位置復旧</x:v>
      </x:c>
      <x:c r="D40" s="7" t="str">
        <x:v>E2027</x:v>
      </x:c>
      <x:c r="E40" s="7" t="str">
        <x:v>移設したロボットの位置を復旧する</x:v>
      </x:c>
      <x:c r="F40" s="7" t="str">
        <x:v>多品種で繰り返す機械的交換と再教示の負担。</x:v>
      </x:c>
      <x:c r="G40" s="7" t="str">
        <x:v>RoboSyncは移設後にマーカーを読み相対位置を補正。</x:v>
      </x:c>
      <x:c r="H40" s="7" t="str">
        <x:v>位置補正／AI使用は未確認</x:v>
      </x:c>
      <x:c r="I40" s="7" t="str">
        <x:v>人の移設・復旧操作を含む。未知トラブルの自律復帰とは別。</x:v>
      </x:c>
      <x:c r="J40" s="7" t="str">
        <x:v>2026は位置復旧を具体説明。同一機能の2024版は未確認。</x:v>
      </x:c>
      <x:c r="K40" s="7" t="str">
        <x:v>B10-3</x:v>
      </x:c>
      <x:c r="L40" s="7" t="str">
        <x:v>EOV-V029-2024-1
EOV-V029-2026-1
EOV-W04</x:v>
      </x:c>
      <x:c r="M40" s="7" t="str">
        <x:v>EOV-V029-2024-1: https://www.jimtof.org/2024/search/jp/ESdetails?e=RYK326OoMn4
該当箇所: main &gt; div.col-md-8.mb-5 の出展紹介、見出し「主な出展物」直後
EOV-V029-2026-1: https://www.jimtof.org/search/jp/ESdetails?e=C7A_2ZTDXNw
該当箇所: main &gt; div.col-md-8.mb-5 の出展紹介、見出し「主な出展物」直後
EOV-W04: https://www.nakamura-tome.co.jp/products/automation/robosync/
該当箇所: 製品の特長 &gt; 簡単復旧、簡単操作</x:v>
      </x:c>
    </x:row>
    <x:row r="41" ht="160" customHeight="1">
      <x:c r="A41" s="7" t="str">
        <x:v>爪・治具・ハンドと位置の段取り</x:v>
      </x:c>
      <x:c r="B41" s="20" t="str">
        <x:v>共立精機株式会社</x:v>
      </x:c>
      <x:c r="C41" s="7" t="str">
        <x:v>全自動計測システム　HP-6040V-FA</x:v>
      </x:c>
      <x:c r="D41" s="7" t="str">
        <x:v>W2025</x:v>
      </x:c>
      <x:c r="E41" s="7" t="str">
        <x:v>工具を測定・調整し、交換する段取り</x:v>
      </x:c>
      <x:c r="F41" s="7" t="str">
        <x:v>多品種で繰り返す機械的交換と再教示の負担。</x:v>
      </x:c>
      <x:c r="G41" s="7" t="str">
        <x:v>工具の交換、突き出し量調整、刃先測定を連続自動化し、インサート交換装置も展示。</x:v>
      </x:c>
      <x:c r="H41" s="7" t="str">
        <x:v>工具段取りの自動化／学習AIは未確認</x:v>
      </x:c>
      <x:c r="I41" s="7" t="str">
        <x:v>工具・チップの補給や品種設定、不良時の復旧は要確認。</x:v>
      </x:c>
      <x:c r="J41" s="7" t="str">
        <x:v>HP-6040V-FAによる工具段取り自動化は2024にも記載。2026は交換工程等を具体説明。</x:v>
      </x:c>
      <x:c r="K41" s="7" t="str">
        <x:v>B10-4</x:v>
      </x:c>
      <x:c r="L41" s="7" t="str">
        <x:v>EEX-EXH-2026-1c8938d47b63e4bb
EEX-EXH-2024-3a9bfb48fcb6542c</x:v>
      </x:c>
      <x:c r="M41" s="7" t="str">
        <x:v>EEX-EXH-2026-1c8938d47b63e4bb: https://www.jimtof.org/search/jp/ESdetails?e=9k7ro8sL0VA
該当箇所: 出展紹介・主な出展物。追加カードの原典抜粋で検索
EEX-EXH-2024-3a9bfb48fcb6542c: https://www.jimtof.org/2024/search/jp/ESdetails?e=xT1gIvXxCpQ
該当箇所: 出展紹介・主な出展物。追加カードの原典抜粋で検索</x:v>
      </x:c>
    </x:row>
    <x:row r="42" ht="160" customHeight="1">
      <x:c r="A42" s="7" t="str">
        <x:v>ワーク・パレット・切粉の搬送</x:v>
      </x:c>
      <x:c r="B42" s="20" t="str">
        <x:v>DMG森精機</x:v>
      </x:c>
      <x:c r="C42" s="7" t="str">
        <x:v>MATRIS WPH 210</x:v>
      </x:c>
      <x:c r="D42" s="7" t="str">
        <x:v>E8005</x:v>
      </x:c>
      <x:c r="E42" s="7" t="str">
        <x:v>ワークとパレットを加工機へ供給する</x:v>
      </x:c>
      <x:c r="F42" s="7" t="str">
        <x:v>品種・量の変化に合わせて人の供給往復を減らす。</x:v>
      </x:c>
      <x:c r="G42" s="7" t="str">
        <x:v>MATRIS WPH 210がワークとパレット両方を供給。</x:v>
      </x:c>
      <x:c r="H42" s="7" t="str">
        <x:v>自動化／AI判断は未確認</x:v>
      </x:c>
      <x:c r="I42" s="7" t="str">
        <x:v>把持・治具・品種切替の事前準備と異常対応は未確認。</x:v>
      </x:c>
      <x:c r="J42" s="7" t="str">
        <x:v>2024のPH Cell等に対しWPH 210を日本初公開と記載。</x:v>
      </x:c>
      <x:c r="K42" s="7" t="str">
        <x:v>B11-1</x:v>
      </x:c>
      <x:c r="L42" s="7" t="str">
        <x:v>EOV-V001-2024-1
EOV-V001-2026-1</x:v>
      </x:c>
      <x:c r="M42" s="7" t="str">
        <x:v>EOV-V001-2024-1: https://www.jimtof.org/2024/search/jp/ESdetails?e=lOXEEpvlXpM
該当箇所: main &gt; div.col-md-8.mb-5 の出展紹介、見出し「主な出展物」直後
EOV-V001-2026-1: https://www.jimtof.org/search/jp/ESdetails?e=zcqDj1lSkGs
該当箇所: main &gt; div.col-md-8.mb-5 の出展紹介、見出し「主な出展物」直後</x:v>
      </x:c>
    </x:row>
    <x:row r="43" ht="160" customHeight="1">
      <x:c r="A43" s="7" t="str">
        <x:v>ワーク・パレット・切粉の搬送</x:v>
      </x:c>
      <x:c r="B43" s="20" t="str">
        <x:v>オークマ</x:v>
      </x:c>
      <x:c r="C43" s="7" t="str">
        <x:v>ARMROID／OMR20</x:v>
      </x:c>
      <x:c r="D43" s="7" t="str">
        <x:v>E3028</x:v>
      </x:c>
      <x:c r="E43" s="7" t="str">
        <x:v>加工機へのワーク搬入出を自動化する</x:v>
      </x:c>
      <x:c r="F43" s="7" t="str">
        <x:v>品種・量の変化に合わせて人の供給往復を減らす。</x:v>
      </x:c>
      <x:c r="G43" s="7" t="str">
        <x:v>ARMROID機内ロボット、OMR20等で工作機械の自動化を構成。</x:v>
      </x:c>
      <x:c r="H43" s="7" t="str">
        <x:v>ロボット自動化</x:v>
      </x:c>
      <x:c r="I43" s="7" t="str">
        <x:v>手動との切替と品種変更の介入範囲は未確認。</x:v>
      </x:c>
      <x:c r="J43" s="7" t="str">
        <x:v>ARMROID・OMR20は2024にも掲載。2026も継続。</x:v>
      </x:c>
      <x:c r="K43" s="7" t="str">
        <x:v>B11-2</x:v>
      </x:c>
      <x:c r="L43" s="7" t="str">
        <x:v>EOV-V003-2024-1
EOV-V003-2026-1</x:v>
      </x:c>
      <x:c r="M43" s="7" t="str">
        <x:v>EOV-V003-2024-1: https://www.jimtof.org/2024/search/jp/ESdetails?e=iFfGVH0vPS8
該当箇所: main &gt; div.col-md-8.mb-5 の出展紹介、見出し「主な出展物」直後
EOV-V003-2026-1: https://www.jimtof.org/search/jp/ESdetails?e=30li0vWcseI
該当箇所: main &gt; div.col-md-8.mb-5 の出展紹介、見出し「主な出展物」直後</x:v>
      </x:c>
    </x:row>
    <x:row r="44" ht="160" customHeight="1">
      <x:c r="A44" s="7" t="str">
        <x:v>ワーク・パレット・切粉の搬送</x:v>
      </x:c>
      <x:c r="B44" s="20" t="str">
        <x:v>株式会社白山機工</x:v>
      </x:c>
      <x:c r="C44" s="7" t="str">
        <x:v>AMRによる切り屑自動回収</x:v>
      </x:c>
      <x:c r="D44" s="7" t="str">
        <x:v>E2007</x:v>
      </x:c>
      <x:c r="E44" s="7" t="str">
        <x:v>加工機から出る切粉容器を回収する</x:v>
      </x:c>
      <x:c r="F44" s="7" t="str">
        <x:v>品種・量の変化に合わせて人の供給往復を減らす。</x:v>
      </x:c>
      <x:c r="G44" s="7" t="str">
        <x:v>AMRで切粉容器を回収。実演と模型を併記。</x:v>
      </x:c>
      <x:c r="H44" s="7" t="str">
        <x:v>搬送自動化／AI配車は未確認</x:v>
      </x:c>
      <x:c r="I44" s="7" t="str">
        <x:v>満杯・こぼれ・ドッキング失敗・容器交換の対応は未確認。</x:v>
      </x:c>
      <x:c r="J44" s="7" t="str">
        <x:v>2024のろ過・集中処理から、2026はAMR回収を追加記載。</x:v>
      </x:c>
      <x:c r="K44" s="7" t="str">
        <x:v>B11-3</x:v>
      </x:c>
      <x:c r="L44" s="7" t="str">
        <x:v>EEX-EXH-2026-d8a50e23a9101b11
EEX-EXH-2024-89cb7807f64be75b
EDP-29</x:v>
      </x:c>
      <x:c r="M44" s="7" t="str">
        <x:v>EEX-EXH-2026-d8a50e23a9101b11: https://www.jimtof.org/search/jp/ESdetails?e=FNFR7REQOl4
該当箇所: 出展紹介・主な出展物。追加カードの原典抜粋で検索
EEX-EXH-2024-89cb7807f64be75b: https://www.jimtof.org/2024/search/jp/ESdetails?e=krDglZoYKFc
該当箇所: 出展紹介・主な出展物。追加カードの原典抜粋で検索
EDP-29: https://www.hakusankiko.co.jp/news/event/8837/
該当箇所: AMR切り屑回収システムを実演・模型で紹介</x:v>
      </x:c>
    </x:row>
    <x:row r="45" ht="160" customHeight="1">
      <x:c r="A45" s="7" t="str">
        <x:v>認識を伴うピック・付帯加工・除去</x:v>
      </x:c>
      <x:c r="B45" s="20" t="str">
        <x:v>TAKISAWA</x:v>
      </x:c>
      <x:c r="C45" s="7" t="str">
        <x:v>TR-20W：主軸の切粉除去</x:v>
      </x:c>
      <x:c r="D45" s="7" t="str">
        <x:v>E3013</x:v>
      </x:c>
      <x:c r="E45" s="7" t="str">
        <x:v>主軸に絡まった切粉を取り除く</x:v>
      </x:c>
      <x:c r="F45" s="7" t="str">
        <x:v>形状や絡まりが変わる物理作業に固定手順で対応しにくい。</x:v>
      </x:c>
      <x:c r="G45" s="7" t="str">
        <x:v>TAKISAWAは切粉の絡まりを判断し主軸の切粉を除去する参考出品。</x:v>
      </x:c>
      <x:c r="H45" s="7" t="str">
        <x:v>フィジカルAI訴求／参考出品</x:v>
      </x:c>
      <x:c r="I45" s="7" t="str">
        <x:v>許可動作、除去失敗の検出・再試行・人への引継ぎは未確認。</x:v>
      </x:c>
      <x:c r="J45" s="7" t="str">
        <x:v>2024 TR-20Wは搬入出。2026は切粉除去を追加記載。</x:v>
      </x:c>
      <x:c r="K45" s="7" t="str">
        <x:v>B12-1</x:v>
      </x:c>
      <x:c r="L45" s="7" t="str">
        <x:v>EOV-V030-2024-1
EOV-V030-2026-1
EAT-N01
EAT-N02
ERF-13</x:v>
      </x:c>
      <x:c r="M45" s="7" t="str">
        <x:v>EOV-V030-2024-1: https://www.jimtof.org/2024/search/jp/ESdetails?e=K00DRD-BngA
該当箇所: main &gt; div.col-md-8.mb-5 の出展紹介、見出し「主な出展物」直後
EOV-V030-2026-1: https://www.jimtof.org/search/jp/ESdetails?e=3dTDRAMwZpM
該当箇所: main &gt; div.col-md-8.mb-5 の出展紹介、見出し「主な出展物」直後
EAT-N01: https://www.nidec.com/jp/products/machine-tools/contents/machine-tool-jimtof2026/
該当箇所: TR-20W：フィジカルAI搭載のロボットシステム（参考出品）
EAT-N02: https://www.nidec.com/jp/product/news/2024/news1101-03/
該当箇所: 2024年11月1日／MGC300の出展説明
ERF-13: https://www.nidec.com/jp/products/machine-tools/contents/machine-tool-jimtof2026/
該当箇所: TAKISAWA／TR-20W、主軸の切粉認識・判断・除去、参考出品</x:v>
      </x:c>
    </x:row>
    <x:row r="46" ht="160" customHeight="1">
      <x:c r="A46" s="7" t="str">
        <x:v>認識を伴うピック・付帯加工・除去</x:v>
      </x:c>
      <x:c r="B46" s="20" t="str">
        <x:v>カネテック株式会社</x:v>
      </x:c>
      <x:c r="C46" s="7" t="str">
        <x:v>マグネットピンセット：AI・2Dカメラ・協働ロボット</x:v>
      </x:c>
      <x:c r="D46" s="7" t="str">
        <x:v>W2013</x:v>
      </x:c>
      <x:c r="E46" s="7" t="str">
        <x:v>ばら積みの小径ねじ・小部品を拾う</x:v>
      </x:c>
      <x:c r="F46" s="7" t="str">
        <x:v>形状や絡まりが変わる物理作業に固定手順で対応しにくい。</x:v>
      </x:c>
      <x:c r="G46" s="7" t="str">
        <x:v>カメラ・協働ロボット・磁気ピンセットで小径ねじ等をピック。</x:v>
      </x:c>
      <x:c r="H46" s="7" t="str">
        <x:v>AIを明記／担当詳細不明</x:v>
      </x:c>
      <x:c r="I46" s="7" t="str">
        <x:v>複数個吸着・空振り等の処理、AI担当の詳細は未公開。</x:v>
      </x:c>
      <x:c r="J46" s="7" t="str">
        <x:v>同種構成は2024あり。2026はAIを明記、性能増分は不明。</x:v>
      </x:c>
      <x:c r="K46" s="7" t="str">
        <x:v>B12-2</x:v>
      </x:c>
      <x:c r="L46" s="7" t="str">
        <x:v>EEX-EXH-2026-30b70a74241de123
EEX-EXH-2024-45415d070f47dc6e
EDP-01</x:v>
      </x:c>
      <x:c r="M46" s="7" t="str">
        <x:v>EEX-EXH-2026-30b70a74241de123: https://www.jimtof.org/search/jp/ESdetails?e=ekM3exgIAtc
該当箇所: 出展紹介・主な出展物。追加カードの原典抜粋で検索
EEX-EXH-2024-45415d070f47dc6e: https://www.jimtof.org/2024/search/jp/ESdetails?e=ot0Fx36wI0g
該当箇所: 出展紹介・主な出展物。追加カードの原典抜粋で検索
EDP-01: https://kanetec.co.jp/lp/MagnetPinset%40LP.html
該当箇所: 小径ネジの課題／JIMTOF2024出展／ネジ整列器</x:v>
      </x:c>
    </x:row>
    <x:row r="47" ht="160" customHeight="1">
      <x:c r="A47" s="7" t="str">
        <x:v>認識を伴うピック・付帯加工・除去</x:v>
      </x:c>
      <x:c r="B47" s="20" t="str">
        <x:v>東京エレクトロンデバイス株式会社</x:v>
      </x:c>
      <x:c r="C47" s="7" t="str">
        <x:v>3D形状認識・教示不要の面取り／皿もみ</x:v>
      </x:c>
      <x:c r="D47" s="7" t="str">
        <x:v>E7073</x:v>
      </x:c>
      <x:c r="E47" s="7" t="str">
        <x:v>不定形ワークの面取り・皿もみを行う</x:v>
      </x:c>
      <x:c r="F47" s="7" t="str">
        <x:v>形状や絡まりが変わる物理作業に固定手順で対応しにくい。</x:v>
      </x:c>
      <x:c r="G47" s="7" t="str">
        <x:v>3Dスキャンから不定形ワークを認識し面取り等の軌道を生成。</x:v>
      </x:c>
      <x:c r="H47" s="7" t="str">
        <x:v>3D認識・軌道生成／方式詳細不明</x:v>
      </x:c>
      <x:c r="I47" s="7" t="str">
        <x:v>加工条件設定、干渉確認、誤認識時の停止・品質承認は未公開。</x:v>
      </x:c>
      <x:c r="J47" s="7" t="str">
        <x:v>2024同名比較不能。2026の具体タスクは確認。</x:v>
      </x:c>
      <x:c r="K47" s="7" t="str">
        <x:v>B12-3</x:v>
      </x:c>
      <x:c r="L47" s="7" t="str">
        <x:v>EEX-EXH-2026-8c08de1ffed47316
EEX-WTED</x:v>
      </x:c>
      <x:c r="M47" s="7" t="str">
        <x:v>EEX-EXH-2026-8c08de1ffed47316: https://www.jimtof.org/search/jp/ESdetails?e=c4cChQniAm8
該当箇所: 出展紹介・主な出展物。追加カードの原典抜粋で検索
EEX-WTED: https://www.inrevium.com/news-event/event/p7331/
該当箇所: 展示会概要・出展製品／2026年5月13日の製品説明</x:v>
      </x:c>
    </x:row>
    <x:row r="48" ht="160" customHeight="1">
      <x:c r="A48" s="7" t="str">
        <x:v>認識を伴うピック・付帯加工・除去</x:v>
      </x:c>
      <x:c r="B48" s="20" t="str">
        <x:v>株式会社ジーベックテクノロジー</x:v>
      </x:c>
      <x:c r="C48" s="7" t="str">
        <x:v>XEBEC CPS オートホルダー</x:v>
      </x:c>
      <x:c r="D48" s="7" t="str">
        <x:v>WA006</x:v>
      </x:c>
      <x:c r="E48" s="7" t="str">
        <x:v>バリ取り中のブラシ摩耗を補う</x:v>
      </x:c>
      <x:c r="F48" s="7" t="str">
        <x:v>形状や絡まりが変わる物理作業に固定手順で対応しにくい。</x:v>
      </x:c>
      <x:c r="G48" s="7" t="str">
        <x:v>ブラシ摩耗に応じて突出し量を自動調整するホルダーを、ロボットのギヤバリ取りに組み合わせる。</x:v>
      </x:c>
      <x:c r="H48" s="7" t="str">
        <x:v>機構による自動調整／AI使用は未確認</x:v>
      </x:c>
      <x:c r="I48" s="7" t="str">
        <x:v>加工条件・ブラシ選定と、不良時の調整は要確認。</x:v>
      </x:c>
      <x:c r="J48" s="7" t="str">
        <x:v>2024はバリ取り自動化工具を紹介。2026は摩耗に伴う人の調整を減らす構成を具体記載。</x:v>
      </x:c>
      <x:c r="K48" s="7" t="str">
        <x:v>B12-4</x:v>
      </x:c>
      <x:c r="L48" s="7" t="str">
        <x:v>EEX-EXH-2026-ba283a239e52d644
EEX-EXH-2024-1632c66ef4d28e78</x:v>
      </x:c>
      <x:c r="M48" s="7" t="str">
        <x:v>EEX-EXH-2026-ba283a239e52d644: https://www.jimtof.org/search/jp/ESdetails?e=jbu03Ik4s00
該当箇所: 出展紹介・主な出展物。追加カードの原典抜粋で検索
EEX-EXH-2024-1632c66ef4d28e78: https://www.jimtof.org/2024/search/jp/ESdetails?e=mnvwVRInyM8
該当箇所: 出展紹介・主な出展物。追加カードの原典抜粋で検索</x:v>
      </x:c>
    </x:row>
    <x:row r="49" ht="160" customHeight="1">
      <x:c r="A49" s="7" t="str">
        <x:v>現場エージェント・遠隔介入</x:v>
      </x:c>
      <x:c r="B49" s="20" t="str">
        <x:v>ベッコフオートメーション</x:v>
      </x:c>
      <x:c r="C49" s="7" t="str">
        <x:v>TwinCAT CoAgent for Operations</x:v>
      </x:c>
      <x:c r="D49" s="7" t="str">
        <x:v>E2028</x:v>
      </x:c>
      <x:c r="E49" s="7" t="str">
        <x:v>機械のアラーム原因と対処方法を調べる</x:v>
      </x:c>
      <x:c r="F49" s="7" t="str">
        <x:v>停止や例外発生時、情報を集めて対処を判断する負担。</x:v>
      </x:c>
      <x:c r="G49" s="7" t="str">
        <x:v>Operationsは機械データと文書から原因仮説・対処案を作る。</x:v>
      </x:c>
      <x:c r="H49" s="7" t="str">
        <x:v>AIエージェント／提供段階に留意</x:v>
      </x:c>
      <x:c r="I49" s="7" t="str">
        <x:v>専門家が制御権保持。毎回承認・書込権限・失敗復帰は未公開。</x:v>
      </x:c>
      <x:c r="J49" s="7" t="str">
        <x:v>2024比較不能。製品発表・投入時期要問合せ。</x:v>
      </x:c>
      <x:c r="K49" s="7" t="str">
        <x:v>B13-1</x:v>
      </x:c>
      <x:c r="L49" s="7" t="str">
        <x:v>EOV-V005-2026-1
EAT-N04
EAT-N05
EDP-03
ERF-02</x:v>
      </x:c>
      <x:c r="M49" s="7" t="str">
        <x:v>EOV-V005-2026-1: https://www.jimtof.org/search/jp/ESdetails?e=K7DqahO2h08
該当箇所: main &gt; div.col-md-8.mb-5 の出展紹介、見出し「主な出展物」直後
EAT-N04: https://www.beckhoff.com/ko-kr/products/automation/twincat/tfxxxx-twincat-3-functions/tf1xxx-system/tf1700.html
該当箇所: Properties／Product status
EAT-N05: https://www.beckhoff.com/ko-kr/products/automation/twincat-projects-with-ai-supported-engineering/
該当箇所: CoAgents for development and machine operation
EDP-03: https://www.beckhoff.com/en-en/company/press/twincat-chat-using-innovative-chatbot-technology-in-twincat-engineering-2023-04.html
該当箇所: TwinCAT XAE／コード作成・追加・最適化・文書化
ERF-02: https://www.beckhoff.com/en-en/products/automation/twincat/tfxxxx-twincat-3-functions/tf1xxx-system/tf1700.html
該当箇所: Properties／direct system access；Product status／market release on request</x:v>
      </x:c>
    </x:row>
    <x:row r="50" ht="160" customHeight="1">
      <x:c r="A50" s="7" t="str">
        <x:v>現場エージェント・遠隔介入</x:v>
      </x:c>
      <x:c r="B50" s="20" t="str">
        <x:v>ソフィックス</x:v>
      </x:c>
      <x:c r="C50" s="7" t="str">
        <x:v>SOFIXCAN Fleeter＋AI Forecast：ミニ工場</x:v>
      </x:c>
      <x:c r="D50" s="7" t="str">
        <x:v>E1067</x:v>
      </x:c>
      <x:c r="E50" s="7" t="str">
        <x:v>設備・搬送を連携し予測を活用する</x:v>
      </x:c>
      <x:c r="F50" s="7" t="str">
        <x:v>停止や例外発生時、情報を集めて対処を判断する負担。</x:v>
      </x:c>
      <x:c r="G50" s="7" t="str">
        <x:v>AI Forecastの予測とFleeterの機器連携をミニ工場で紹介。</x:v>
      </x:c>
      <x:c r="H50" s="7" t="str">
        <x:v>予測と連携を分離／一体自律は未確認</x:v>
      </x:c>
      <x:c r="I50" s="7" t="str">
        <x:v>予測から指令への権限、通信・搬送失敗時の復帰は未公開。</x:v>
      </x:c>
      <x:c r="J50" s="7" t="str">
        <x:v>Fleeterミニ工場は2025にも予告済み。2026初とはしない。</x:v>
      </x:c>
      <x:c r="K50" s="7" t="str">
        <x:v>B13-2</x:v>
      </x:c>
      <x:c r="L50" s="7" t="str">
        <x:v>EOV-V015-2024-1
EOV-V015-2026-1
EDP-21
EDP-22
EDP-23</x:v>
      </x:c>
      <x:c r="M50" s="7" t="str">
        <x:v>EOV-V015-2024-1: https://www.jimtof.org/2024/search/jp/ESdetails?e=WNiUW-E-atY
該当箇所: main &gt; div.col-md-8.mb-5 の出展紹介、見出し「主な出展物」直後
EOV-V015-2026-1: https://www.jimtof.org/search/jp/ESdetails?e=rYRhOM0muPQ
該当箇所: main &gt; div.col-md-8.mb-5 の出展紹介、見出し「主な出展物」直後
EDP-21: https://www.sofix.co.jp/products/sofixcan_ai_forecast/
該当箇所: 時系列データ予測／形状領域予測／顧客別予測システム開発
EDP-22: https://www.sofix.co.jp/products/sofixcan_fleeter/
該当箇所: 上位システム命令をトリガーに各機器を制御／通信モジュール追加
EDP-23: https://www.sofix.co.jp/
該当箇所: 2026/9/29告知／2025/11/4国際ロボット展でもミニ工場を予告</x:v>
      </x:c>
    </x:row>
    <x:row r="51" ht="160" customHeight="1">
      <x:c r="A51" s="7" t="str">
        <x:v>現場エージェント・遠隔介入</x:v>
      </x:c>
      <x:c r="B51" s="20" t="str">
        <x:v>パナソニックプロダクションエンジニアリング</x:v>
      </x:c>
      <x:c r="C51" s="7" t="str">
        <x:v>X-Area Remote</x:v>
      </x:c>
      <x:c r="D51" s="7" t="str">
        <x:v>W3086</x:v>
      </x:c>
      <x:c r="E51" s="7" t="str">
        <x:v>停止した搬送車を人が遠隔で復帰させる</x:v>
      </x:c>
      <x:c r="F51" s="7" t="str">
        <x:v>停止や例外発生時、情報を集めて対処を判断する負担。</x:v>
      </x:c>
      <x:c r="G51" s="7" t="str">
        <x:v>X-Area Remote実証では停止車両を人が遠隔操作して回避。</x:v>
      </x:c>
      <x:c r="H51" s="7" t="str">
        <x:v>AI支援型との説明／回避操作は人</x:v>
      </x:c>
      <x:c r="I51" s="7" t="str">
        <x:v>運行担当者が介入。実証はセーフティドライバー搭乗。</x:v>
      </x:c>
      <x:c r="J51" s="7" t="str">
        <x:v>2026/7実証で人の担当を具体確認。2024個別比較不能。</x:v>
      </x:c>
      <x:c r="K51" s="7" t="str">
        <x:v>B13-3</x:v>
      </x:c>
      <x:c r="L51" s="7" t="str">
        <x:v>EOV-V016-2026-1
EOV-W05
EOV-W09
EDP-24</x:v>
      </x:c>
      <x:c r="M51" s="7" t="str">
        <x:v>EOV-V016-2026-1: https://www.jimtof.org/search/jp/ESdetails?e=5mrMofo3nN8
該当箇所: main &gt; div.col-md-8.mb-5 の出展紹介、見出し「主な出展物」直後
EOV-W05: https://www.panasonic.com/jp/company/ppe/products/x-area.html
該当箇所: サービス概要、システム構成
EOV-W09: https://tech.panasonic.com/jp/td/news/20221124.html
該当箇所: 2022/11/24 NEWS &amp; TOPICS
EDP-24: https://news.panasonic.com/jp/press/jn260713-1
該当箇所: 障害物停止時に自動運転から人の遠隔操作へ切替／担当者とセーフティドライバー</x:v>
      </x:c>
    </x:row>
    <x:row r="52" ht="160" customHeight="1">
      <x:c r="A52" s="7" t="str">
        <x:v>工場データ・計画・資源の連携</x:v>
      </x:c>
      <x:c r="B52" s="20" t="str">
        <x:v>WinTool AG</x:v>
      </x:c>
      <x:c r="C52" s="7" t="str">
        <x:v>WinTool：工具情報と現物・工程資源の連携</x:v>
      </x:c>
      <x:c r="D52" s="7" t="str">
        <x:v>E1049</x:v>
      </x:c>
      <x:c r="E52" s="7" t="str">
        <x:v>工具情報・所在・在庫を工程と結ぶ</x:v>
      </x:c>
      <x:c r="F52" s="7" t="str">
        <x:v>現物・工具マスター・進捗が分断し変更に追従しにくい。</x:v>
      </x:c>
      <x:c r="G52" s="7" t="str">
        <x:v>WinToolは工具情報と工程資源を連携。在庫ルールで購買要求。</x:v>
      </x:c>
      <x:c r="H52" s="7" t="str">
        <x:v>DX＋ルール自動化</x:v>
      </x:c>
      <x:c r="I52" s="7" t="str">
        <x:v>管理者承認後ERPへ送信。AIによる自律発注とは記載なし。</x:v>
      </x:c>
      <x:c r="J52" s="7" t="str">
        <x:v>工具・CAM・在庫連携は2024から継続。2026は資源の一貫性を強調。</x:v>
      </x:c>
      <x:c r="K52" s="7" t="str">
        <x:v>B14-1</x:v>
      </x:c>
      <x:c r="L52" s="7" t="str">
        <x:v>EEX-EXH-2026-4fb92ba6b82546d7
EEX-EXH-2024-3f1fa1966a57e011
EDP-18
EDP-19</x:v>
      </x:c>
      <x:c r="M52" s="7" t="str">
        <x:v>EEX-EXH-2026-4fb92ba6b82546d7: https://www.jimtof.org/search/jp/ESdetails?e=sSFZV23clJo
該当箇所: 出展紹介・主な出展物。追加カードの原典抜粋で検索
EEX-EXH-2024-3f1fa1966a57e011: https://www.jimtof.org/2024/search/jp/ESdetails?e=-n22F1d_CDc
該当箇所: 出展紹介・主な出展物。追加カードの原典抜粋で検索
EDP-18: https://www.wintool.com/en/tool-management-software/cnc-inventory-manager/erp-integration
該当箇所: 最低在庫で購買要求を生成し、管理者承認後にERPへ自動送信
EDP-19: https://www.wintool.com/software/cnc-prozessverwaltung
該当箇所: 工具積卸リスト・在庫確認・プリセッター指示・NCと測定値の転送</x:v>
      </x:c>
    </x:row>
    <x:row r="53" ht="160" customHeight="1">
      <x:c r="A53" s="7" t="str">
        <x:v>工場データ・計画・資源の連携</x:v>
      </x:c>
      <x:c r="B53" s="20" t="str">
        <x:v>Smart Craft</x:v>
      </x:c>
      <x:c r="C53" s="7" t="str">
        <x:v>Smart Craft MES</x:v>
      </x:c>
      <x:c r="D53" s="7" t="str">
        <x:v>S3002</x:v>
      </x:c>
      <x:c r="E53" s="7" t="str">
        <x:v>作業記録・指示・製造履歴を管理する</x:v>
      </x:c>
      <x:c r="F53" s="7" t="str">
        <x:v>現物・工具マスター・進捗が分断し変更に追従しにくい。</x:v>
      </x:c>
      <x:c r="G53" s="7" t="str">
        <x:v>Smart Craft MESは記録・指示・履歴を一元管理しAPI連携。</x:v>
      </x:c>
      <x:c r="H53" s="7" t="str">
        <x:v>DX／AI判断は未確認</x:v>
      </x:c>
      <x:c r="I53" s="7" t="str">
        <x:v>AI分析の内容や判断権限、入力作業の残りは未確認。</x:v>
      </x:c>
      <x:c r="J53" s="7" t="str">
        <x:v>2024個別比較不能。</x:v>
      </x:c>
      <x:c r="K53" s="7" t="str">
        <x:v>B14-2</x:v>
      </x:c>
      <x:c r="L53" s="7" t="str">
        <x:v>EOV-V013-2026-1</x:v>
      </x:c>
      <x:c r="M53" s="7" t="str">
        <x:v>EOV-V013-2026-1: https://www.jimtof.org/search/jp/ESdetails?e=WqjRB6DEqN0
該当箇所: main &gt; div.col-md-8.mb-5 の出展紹介、見出し「主な出展物」直後</x:v>
      </x:c>
    </x:row>
    <x:row r="54" ht="160" customHeight="1">
      <x:c r="A54" s="7" t="str">
        <x:v>工場データ・計画・資源の連携</x:v>
      </x:c>
      <x:c r="B54" s="20" t="str">
        <x:v>ものレボ</x:v>
      </x:c>
      <x:c r="C54" s="7" t="str">
        <x:v>MonoRevo：工程計画・スケジューリング</x:v>
      </x:c>
      <x:c r="D54" s="7" t="str">
        <x:v>W3042</x:v>
      </x:c>
      <x:c r="E54" s="7" t="str">
        <x:v>工程の順番と生産予定を組む</x:v>
      </x:c>
      <x:c r="F54" s="7" t="str">
        <x:v>現物・工具マスター・進捗が分断し変更に追従しにくい。</x:v>
      </x:c>
      <x:c r="G54" s="7" t="str">
        <x:v>MonoRevoは工程設計・計画・進捗をまとめ自動計画を支援。</x:v>
      </x:c>
      <x:c r="H54" s="7" t="str">
        <x:v>自動計画／AI方式は未確認</x:v>
      </x:c>
      <x:c r="I54" s="7" t="str">
        <x:v>計画制約・再計画確定者・例外対応は未確認。</x:v>
      </x:c>
      <x:c r="J54" s="7" t="str">
        <x:v>2024個別比較不能。2026は自動スケジューリングを記載。</x:v>
      </x:c>
      <x:c r="K54" s="7" t="str">
        <x:v>B14-3</x:v>
      </x:c>
      <x:c r="L54" s="7" t="str">
        <x:v>EOV-V014-2026-1</x:v>
      </x:c>
      <x:c r="M54" s="7" t="str">
        <x:v>EOV-V014-2026-1: https://www.jimtof.org/search/jp/ESdetails?e=sccKfxE4bYo
該当箇所: main &gt; div.col-md-8.mb-5 の出展紹介、見出し「主な出展物」直後</x:v>
      </x:c>
    </x:row>
    <x:row r="55" ht="160" customHeight="1">
      <x:c r="A55" s="7" t="str">
        <x:v>AIモデル作成・機器接続の基盤</x:v>
      </x:c>
      <x:c r="B55" s="20" t="str">
        <x:v>ベッコフオートメーション</x:v>
      </x:c>
      <x:c r="C55" s="7" t="str">
        <x:v>TwinCAT Machine Learning Creator</x:v>
      </x:c>
      <x:c r="D55" s="7" t="str">
        <x:v>E2028</x:v>
      </x:c>
      <x:c r="E55" s="7" t="str">
        <x:v>現場データから判定モデルを作る</x:v>
      </x:c>
      <x:c r="F55" s="7" t="str">
        <x:v>データの意味づけと、作ったAIを現場へつなぐ負担。</x:v>
      </x:c>
      <x:c r="G55" s="7" t="str">
        <x:v>ML Creatorは学習・モデル選択を自動化し、解析とONNX出力を支援。</x:v>
      </x:c>
      <x:c r="H55" s="7" t="str">
        <x:v>AutoMLを明記</x:v>
      </x:c>
      <x:c r="I55" s="7" t="str">
        <x:v>人がデータ・注釈・目的を準備。実機採用基準は要確認。</x:v>
      </x:c>
      <x:c r="J55" s="7" t="str">
        <x:v>データ分割・ONNX統合は2024公式資料にも記載。</x:v>
      </x:c>
      <x:c r="K55" s="7" t="str">
        <x:v>B15-1</x:v>
      </x:c>
      <x:c r="L55" s="7" t="str">
        <x:v>EOV-V005-2026-1
EOV-W01
EDP-04</x:v>
      </x:c>
      <x:c r="M55" s="7" t="str">
        <x:v>EOV-V005-2026-1: https://www.jimtof.org/search/jp/ESdetails?e=K7DqahO2h08
該当箇所: main &gt; div.col-md-8.mb-5 の出展紹介、見出し「主な出展物」直後
EOV-W01: https://www.beckhoff.com/en-za/products/automation/twincat/texxxx-twincat-3-engineering/te3850.html
該当箇所: 製品説明冒頭、Product status
EDP-04: https://www.beckhoff.com/media/downloads/information-media/pc-control/pcc_0224_e.pdf
該当箇所: TE3850／訓練・テストデータ分割、モデル解析、ONNX出力</x:v>
      </x:c>
    </x:row>
    <x:row r="56" ht="160" customHeight="1">
      <x:c r="A56" s="7" t="str">
        <x:v>AIモデル作成・機器接続の基盤</x:v>
      </x:c>
      <x:c r="B56" s="20" t="str">
        <x:v>たけびし</x:v>
      </x:c>
      <x:c r="C56" s="7" t="str">
        <x:v>OPC UA情報モデルとエージェント連携</x:v>
      </x:c>
      <x:c r="D56" s="7" t="str">
        <x:v>S3015</x:v>
      </x:c>
      <x:c r="E56" s="7" t="str">
        <x:v>設備データをAIが扱える形で渡す</x:v>
      </x:c>
      <x:c r="F56" s="7" t="str">
        <x:v>データの意味づけと、作ったAIを現場へつなぐ負担。</x:v>
      </x:c>
      <x:c r="G56" s="7" t="str">
        <x:v>OPC UA情報モデルで機器情報をエージェントへ連携する構想。</x:v>
      </x:c>
      <x:c r="H56" s="7" t="str">
        <x:v>DX接続基盤／自身のAI判断なし</x:v>
      </x:c>
      <x:c r="I56" s="7" t="str">
        <x:v>公開するデータ・メソッド、書込権限、承認と復帰は未確認。</x:v>
      </x:c>
      <x:c r="J56" s="7" t="str">
        <x:v>2024は多ベンダー接続。2026はAI連携シナリオを追加。</x:v>
      </x:c>
      <x:c r="K56" s="7" t="str">
        <x:v>B15-2</x:v>
      </x:c>
      <x:c r="L56" s="7" t="str">
        <x:v>EOV-V011-2024-1
EOV-V011-2026-1
EDP-06</x:v>
      </x:c>
      <x:c r="M56" s="7" t="str">
        <x:v>EOV-V011-2024-1: https://www.jimtof.org/2024/search/jp/ESdetails?e=SiZMI-OH8_k
該当箇所: main &gt; div.col-md-8.mb-5 の出展紹介、見出し「主な出展物」直後
EOV-V011-2026-1: https://www.jimtof.org/search/jp/ESdetails?e=Qh27DAtEkbw
該当箇所: main &gt; div.col-md-8.mb-5 の出展紹介、見出し「主な出展物」直後
EDP-06: https://opcconnect.opcfoundation.org/2026/06/toward-realizing-ai-utilization-in-manufacturing-exploring-the-potential-of-integrating-the-opc-ua-information-model-with-ai-agents/
該当箇所: A New Approach to Connecting AI Agents／MCP Adapterはplanning to provide</x:v>
      </x:c>
    </x:row>
    <x:row r="57" ht="160" customHeight="1">
      <x:c r="A57" s="7" t="str">
        <x:v>AIモデル作成・機器接続の基盤</x:v>
      </x:c>
      <x:c r="B57" s="20" t="str">
        <x:v>シーイーシー</x:v>
      </x:c>
      <x:c r="C57" s="7" t="str">
        <x:v>Facteye／Resolana</x:v>
      </x:c>
      <x:c r="D57" s="7" t="str">
        <x:v>E2006</x:v>
      </x:c>
      <x:c r="E57" s="7" t="str">
        <x:v>既設設備の情報を集め品質と結ぶ</x:v>
      </x:c>
      <x:c r="F57" s="7" t="str">
        <x:v>データの意味づけと、作ったAIを現場へつなぐ負担。</x:v>
      </x:c>
      <x:c r="G57" s="7" t="str">
        <x:v>既設設備のデータ収集・可視化を品質やAI利用へ接続。</x:v>
      </x:c>
      <x:c r="H57" s="7" t="str">
        <x:v>DX基盤＋AI利用</x:v>
      </x:c>
      <x:c r="I57" s="7" t="str">
        <x:v>自動制御や工場全体最適化の実装は未確認。</x:v>
      </x:c>
      <x:c r="J57" s="7" t="str">
        <x:v>収集・対話AIは2024にも説明。2026は連携課題を具体化。</x:v>
      </x:c>
      <x:c r="K57" s="7" t="str">
        <x:v>B15-3</x:v>
      </x:c>
      <x:c r="L57" s="7" t="str">
        <x:v>EOV-V012-2024-1
EOV-V012-2026-1</x:v>
      </x:c>
      <x:c r="M57" s="7" t="str">
        <x:v>EOV-V012-2024-1: https://www.jimtof.org/2024/search/jp/ESdetails?e=WS9ql5D41fQ
該当箇所: main &gt; div.col-md-8.mb-5 の出展紹介、見出し「主な出展物」直後
EOV-V012-2026-1: https://www.jimtof.org/search/jp/ESdetails?e=tW-C9oF94EQ
該当箇所: main &gt; div.col-md-8.mb-5 の出展紹介、見出し「主な出展物」直後</x:v>
      </x:c>
    </x:row>
    <x:row r="58" ht="160" customHeight="1">
      <x:c r="A58" s="7" t="str">
        <x:v>デジタルツイン・物理学習用データ</x:v>
      </x:c>
      <x:c r="B58" s="20" t="str">
        <x:v>ファナック</x:v>
      </x:c>
      <x:c r="C58" s="7" t="str">
        <x:v>FANUC Smart Digital Twin</x:v>
      </x:c>
      <x:c r="D58" s="7" t="str">
        <x:v>S2001</x:v>
      </x:c>
      <x:c r="E58" s="7" t="str">
        <x:v>加工前に機械の動きを確かめる</x:v>
      </x:c>
      <x:c r="F58" s="7" t="str">
        <x:v>仮想上での確認・学習と実機の結果をつなぐための準備。</x:v>
      </x:c>
      <x:c r="G58" s="7" t="str">
        <x:v>Smart Digital Twinで加工前の挙動確認を支援。</x:v>
      </x:c>
      <x:c r="H58" s="7" t="str">
        <x:v>仮想検証／AIの使用は未確認</x:v>
      </x:c>
      <x:c r="I58" s="7" t="str">
        <x:v>モデルと実機の一致や、検証対象外事象の扱いは未確認。</x:v>
      </x:c>
      <x:c r="J58" s="7" t="str">
        <x:v>同名ツインは2024から継続。</x:v>
      </x:c>
      <x:c r="K58" s="7" t="str">
        <x:v>B16-1</x:v>
      </x:c>
      <x:c r="L58" s="7" t="str">
        <x:v>EOV-V002-2024-1
EOV-V002-2026-1</x:v>
      </x:c>
      <x:c r="M58" s="7" t="str">
        <x:v>EOV-V002-2024-1: https://www.jimtof.org/2024/search/jp/ESdetails?e=N0RgOmmcwZw
該当箇所: main &gt; div.col-md-8.mb-5 の出展紹介、見出し「主な出展物」直後
EOV-V002-2026-1: https://www.jimtof.org/search/jp/ESdetails?e=q0OrZBKM3uQ
該当箇所: main &gt; div.col-md-8.mb-5 の出展紹介、見出し「主な出展物」直後</x:v>
      </x:c>
    </x:row>
    <x:row r="59" ht="160" customHeight="1">
      <x:c r="A59" s="7" t="str">
        <x:v>デジタルツイン・物理学習用データ</x:v>
      </x:c>
      <x:c r="B59" s="20" t="str">
        <x:v>シーメンス株式会社</x:v>
      </x:c>
      <x:c r="C59" s="7" t="str">
        <x:v>Digital Thread：工作機械ツイン・工程内品質保証</x:v>
      </x:c>
      <x:c r="D59" s="7" t="str">
        <x:v>E3006</x:v>
      </x:c>
      <x:c r="E59" s="7" t="str">
        <x:v>加工の仮想検証・計測連携を確認する</x:v>
      </x:c>
      <x:c r="F59" s="7" t="str">
        <x:v>仮想上での確認・学習と実機の結果をつなぐための準備。</x:v>
      </x:c>
      <x:c r="G59" s="7" t="str">
        <x:v>Tokn工作機械ツイン、Equator品質保証、ヒューマノイドを別展示。</x:v>
      </x:c>
      <x:c r="H59" s="7" t="str">
        <x:v>加工検証と物理AI実証を分離</x:v>
      </x:c>
      <x:c r="I59" s="7" t="str">
        <x:v>海外HMND実証とJIMTOFの機体・タスクの同一性は未確認。</x:v>
      </x:c>
      <x:c r="J59" s="7" t="str">
        <x:v>Toknの仮想訓練は2024完了の公式事例あり。</x:v>
      </x:c>
      <x:c r="K59" s="7" t="str">
        <x:v>B16-2</x:v>
      </x:c>
      <x:c r="L59" s="7" t="str">
        <x:v>EEX-EXH-2026-9b991dd8132f51dc
EEX-EXH-2024-558faea07a73f5d8
EDP-16
EDP-17</x:v>
      </x:c>
      <x:c r="M59" s="7" t="str">
        <x:v>EEX-EXH-2026-9b991dd8132f51dc: https://www.jimtof.org/search/jp/ESdetails?e=EBIotJu7lrg
該当箇所: 出展紹介・主な出展物。追加カードの原典抜粋で検索
EEX-EXH-2024-558faea07a73f5d8: https://www.jimtof.org/2024/search/jp/ESdetails?e=nYvFR1vpbuE
該当箇所: 出展紹介・主な出展物。追加カードの原典抜粋で検索
EDP-16: https://references.siemens.com/en/reference/heller-tokn-digital-twin?id=41137
該当箇所: Completion: 2024／仮想SINUMERIK ONEと3D機械モデルによる訓練
EDP-17: https://press.siemens.com/jp/ja/pressrelease/pr-20260416
該当箇所: HMND 01 Alphaのトート把持・搬送・配置／Jetson Thor・Isaac Sim/Lab</x:v>
      </x:c>
    </x:row>
    <x:row r="60" ht="160" customHeight="1">
      <x:c r="A60" s="7" t="str">
        <x:v>デジタルツイン・物理学習用データ</x:v>
      </x:c>
      <x:c r="B60" s="20" t="str">
        <x:v>NdotLight Co., Ltd.</x:v>
      </x:c>
      <x:c r="C60" s="7" t="str">
        <x:v>TRINIX：CADから物理シミュレーション用データ生成</x:v>
      </x:c>
      <x:c r="D60" s="7" t="str">
        <x:v>S4004</x:v>
      </x:c>
      <x:c r="E60" s="7" t="str">
        <x:v>物理シミュレーション用の3Dデータを作る</x:v>
      </x:c>
      <x:c r="F60" s="7" t="str">
        <x:v>仮想上での確認・学習と実機の結果をつなぐための準備。</x:v>
      </x:c>
      <x:c r="G60" s="7" t="str">
        <x:v>TRINIXはCADから形状・物理属性等を生成し検証・自己修正を説明。</x:v>
      </x:c>
      <x:c r="H60" s="7" t="str">
        <x:v>AI生成／実機誤差は未確認</x:v>
      </x:c>
      <x:c r="I60" s="7" t="str">
        <x:v>実測値と推定値の区別、人の承認、収束しない時の対応は未公開。</x:v>
      </x:c>
      <x:c r="J60" s="7" t="str">
        <x:v>2024同名比較不能。DexBenchは共同開発告知で完成済み標準とはしない。</x:v>
      </x:c>
      <x:c r="K60" s="7" t="str">
        <x:v>B16-3</x:v>
      </x:c>
      <x:c r="L60" s="7" t="str">
        <x:v>EEX-EXH-2026-016097f87d1914b2
EEX-WNDOT
ERF-06
ERF-07
ERF-08
ERF-09</x:v>
      </x:c>
      <x:c r="M60" s="7" t="str">
        <x:v>EEX-EXH-2026-016097f87d1914b2: https://www.jimtof.org/search/jp/ESdetails?e=6Ds1v9hxvrY
該当箇所: 出展紹介・主な出展物。追加カードの原典抜粋で検索
EEX-WNDOT: https://ndotlight.com/newsroom/ndotlight-proposes-a-new-3d-data-standard-for-the-physical-ai-era-with-trinix
該当箇所: 展示会概要・出展製品／2026年5月13日の製品説明
ERF-06: https://ndotlight.com/
該当箇所: Physics Injection／Self-corrective Closed Loop／FAQ
ERF-07: https://docs.omniverse.nvidia.com/simready/latest/simready-faq.html
該当箇所: What Is the Difference…Foundation；How Do I Validate My Composed Scene…（L526–538）
ERF-08: https://docs.omniverse.nvidia.com/simready/latest/simready-asset-creation/physics-best-practices.html
該当箇所: Typical USDPhysics Components／Collider、Mass、materialの摩擦・密度・反発
ERF-09: https://ndotlight.com/newsroom/ndotlight-to-co-develop-dexbench-a-global-standard-for-humanoid-evaluation-with-nvidia-and-rlwrld
該当箇所: 2026/8/7／SimReady環境・操作評価・sim-to-real gap低減の共同開発</x:v>
      </x:c>
    </x:row>
    <x:row r="61" ht="160" customHeight="1">
      <x:c r="A61" s="7" t="str">
        <x:v>展示段階と自律化の境界</x:v>
      </x:c>
      <x:c r="B61" s="20" t="str">
        <x:v>ファナック</x:v>
      </x:c>
      <x:c r="C61" s="7" t="str">
        <x:v>生成AIによるロボット駆動</x:v>
      </x:c>
      <x:c r="D61" s="7" t="str">
        <x:v>S2001</x:v>
      </x:c>
      <x:c r="E61" s="7" t="str">
        <x:v>指示からロボットを動かす（具体作業未公表）</x:v>
      </x:c>
      <x:c r="F61" s="7" t="str">
        <x:v>人型やAIという名称だけでは任せられる仕事を判断できない。</x:v>
      </x:c>
      <x:c r="G61" s="7" t="str">
        <x:v>ファナックは生成AIによるロボット駆動事例を展示予定。</x:v>
      </x:c>
      <x:c r="H61" s="7" t="str">
        <x:v>生成AIを明記／担当範囲未確認</x:v>
      </x:c>
      <x:c r="I61" s="7" t="str">
        <x:v>機体・対象タスク・教示・停止・承認の具体範囲は未確認。</x:v>
      </x:c>
      <x:c r="J61" s="7" t="str">
        <x:v>2024はAIバラ積み等。2026は生成AI駆動を追加記載。</x:v>
      </x:c>
      <x:c r="K61" s="7" t="str">
        <x:v>B17-1</x:v>
      </x:c>
      <x:c r="L61" s="7" t="str">
        <x:v>EOV-V002-2024-1
EOV-V002-2026-1</x:v>
      </x:c>
      <x:c r="M61" s="7" t="str">
        <x:v>EOV-V002-2024-1: https://www.jimtof.org/2024/search/jp/ESdetails?e=N0RgOmmcwZw
該当箇所: main &gt; div.col-md-8.mb-5 の出展紹介、見出し「主な出展物」直後
EOV-V002-2026-1: https://www.jimtof.org/search/jp/ESdetails?e=q0OrZBKM3uQ
該当箇所: main &gt; div.col-md-8.mb-5 の出展紹介、見出し「主な出展物」直後</x:v>
      </x:c>
    </x:row>
    <x:row r="62" ht="160" customHeight="1">
      <x:c r="A62" s="7" t="str">
        <x:v>展示段階と自律化の境界</x:v>
      </x:c>
      <x:c r="B62" s="20" t="str">
        <x:v>東京貿易テクノシステム</x:v>
      </x:c>
      <x:c r="C62" s="7" t="str">
        <x:v>RBY Series 双腕移動ヒューマノイド</x:v>
      </x:c>
      <x:c r="D62" s="7" t="str">
        <x:v>E7038</x:v>
      </x:c>
      <x:c r="E62" s="7" t="str">
        <x:v>双腕人型ロボットを遠隔操作・教示する</x:v>
      </x:c>
      <x:c r="F62" s="7" t="str">
        <x:v>人型やAIという名称だけでは任せられる仕事を判断できない。</x:v>
      </x:c>
      <x:c r="G62" s="7" t="str">
        <x:v>RBY双腕移動ヒューマノイドはテレオペと作業教示の参考出展。</x:v>
      </x:c>
      <x:c r="H62" s="7" t="str">
        <x:v>人型機体／自律AIは未確認</x:v>
      </x:c>
      <x:c r="I62" s="7" t="str">
        <x:v>人が遠隔操作・教示。自律作業の範囲は未確認。</x:v>
      </x:c>
      <x:c r="J62" s="7" t="str">
        <x:v>2024の個別差は未照合。</x:v>
      </x:c>
      <x:c r="K62" s="7" t="str">
        <x:v>B17-2</x:v>
      </x:c>
      <x:c r="L62" s="7" t="str">
        <x:v>RPT-EXH-2026-d7b599b5d3045611
RPT-EXH-2024-5cbad6b0326d2bee</x:v>
      </x:c>
      <x:c r="M62" s="7" t="str">
        <x:v>RPT-EXH-2026-d7b599b5d3045611: https://www.jimtof.org/search/jp/ESdetails?e=q65eJorv2LU
該当箇所: main &gt; div.container &gt; div.row &gt; div.col-md-8.mb-5; 見出し「主な出展物」と直後のp
RPT-EXH-2024-5cbad6b0326d2bee: https://www.jimtof.org/2024/search/jp/ESdetails?e=RD73EqDannI
該当箇所: main &gt; div.container &gt; div.row &gt; div.col-md-8.mb-5; 見出し「主な出展物」と直後のp</x:v>
      </x:c>
    </x:row>
    <x:row r="63" ht="160" customHeight="1">
      <x:c r="A63" s="7" t="str">
        <x:v>展示段階と自律化の境界</x:v>
      </x:c>
      <x:c r="B63" s="20" t="str">
        <x:v>神崎高級工機</x:v>
      </x:c>
      <x:c r="C63" s="7" t="str">
        <x:v>FD100 ギヤチェッカー</x:v>
      </x:c>
      <x:c r="D63" s="7" t="str">
        <x:v>E1071</x:v>
      </x:c>
      <x:c r="E63" s="7" t="str">
        <x:v>歯車の加工前状態を測り段取りを助ける</x:v>
      </x:c>
      <x:c r="F63" s="7" t="str">
        <x:v>人型やAIという名称だけでは任せられる仕事を判断できない。</x:v>
      </x:c>
      <x:c r="G63" s="7" t="str">
        <x:v>FD100に歯合わせ・前加工計測。計測による条件最適化は開発中。</x:v>
      </x:c>
      <x:c r="H63" s="7" t="str">
        <x:v>自動化／条件最適化は開発中</x:v>
      </x:c>
      <x:c r="I63" s="7" t="str">
        <x:v>最適化方式と人の承認、自動反映範囲は未公表。</x:v>
      </x:c>
      <x:c r="J63" s="7" t="str">
        <x:v>2024の構造改善等に対し段取りを具体化。開発中を実用済みとしない。</x:v>
      </x:c>
      <x:c r="K63" s="7" t="str">
        <x:v>B17-3</x:v>
      </x:c>
      <x:c r="L63" s="7" t="str">
        <x:v>RPT-EXH-2026-91aa8dd094a4a7b2
RPT-EXH-2024-50a402f6bcce2ab8</x:v>
      </x:c>
      <x:c r="M63" s="7" t="str">
        <x:v>RPT-EXH-2026-91aa8dd094a4a7b2: https://www.jimtof.org/search/jp/ESdetails?e=bpuT_4Xpv_c
該当箇所: main &gt; div.container &gt; div.row &gt; div.col-md-8.mb-5; 見出し「主な出展物」と直後のp
RPT-EXH-2024-50a402f6bcce2ab8: https://www.jimtof.org/2024/search/jp/ESdetails?e=C7Uh8Jc1Y2s
該当箇所: main &gt; div.container &gt; div.row &gt; div.col-md-8.mb-5; 見出し「主な出展物」と直後のp</x:v>
      </x:c>
    </x:row>
    <x:row r="69" ht="30" customHeight="1">
      <x:c r="A69" s="17" t="str">
        <x:v>以前の研究候補：大テーマの下位課題として保存〈仮説〉</x:v>
      </x:c>
    </x:row>
    <x:row r="71" ht="40" customHeight="1">
      <x:c r="A71" s="19" t="str">
        <x:v>個別課題</x:v>
      </x:c>
      <x:c r="B71" s="19" t="str">
        <x:v>関連する開発の大テーマ</x:v>
      </x:c>
      <x:c r="C71" s="19" t="str">
        <x:v>残る仮説</x:v>
      </x:c>
      <x:c r="D71" s="19" t="str">
        <x:v>確認した既存機能</x:v>
      </x:c>
      <x:c r="E71" s="19" t="str">
        <x:v>取り組み案</x:v>
      </x:c>
      <x:c r="F71" s="19" t="str">
        <x:v>着手・見送り条件</x:v>
      </x:c>
      <x:c r="G71" s="19" t="str">
        <x:v>評価指標</x:v>
      </x:c>
      <x:c r="H71" s="19" t="str">
        <x:v>現時点の扱い</x:v>
      </x:c>
      <x:c r="I71" s="19" t="str">
        <x:v>根拠テーマ</x:v>
      </x:c>
    </x:row>
    <x:row r="72" ht="170" customHeight="1">
      <x:c r="A72" s="7" t="str">
        <x:v>生成工程の変更影響と確認の支援</x:v>
      </x:c>
      <x:c r="B72" s="7" t="str">
        <x:v>加工知識を扱う生産準備AI</x:v>
      </x:c>
      <x:c r="C72" s="7" t="str">
        <x:v>工具・保持・機械の変更時、既存検証で覆えない影響の説明と確認が残る可能性。</x:v>
      </x:c>
      <x:c r="D72" s="7" t="str">
        <x:v>Vericutは2024に版違い・オフセットのpre-checkを説明。CAMには加工性評価や編集もある。</x:v>
      </x:c>
      <x:c r="E72" s="7" t="str">
        <x:v>既存CAM/NC検証の出力と変更情報を対応づけ、未検証範囲を人へ示す。</x:v>
      </x:c>
      <x:c r="F72" s="7" t="str">
        <x:v>最初は既存機能の実演を確認。未対応の変更例とデータが得られなければ見送る。</x:v>
      </x:c>
      <x:c r="G72" s="7" t="str">
        <x:v>危険な変更の見逃し、再確認時間、追加の設定工数</x:v>
      </x:c>
      <x:c r="H72" s="7" t="str">
        <x:v>現地確認を優先／研究着手は未決定</x:v>
      </x:c>
      <x:c r="I72" s="7" t="str">
        <x:v>B02 / B03 / B04</x:v>
      </x:c>
    </x:row>
    <x:row r="73" ht="170" customHeight="1">
      <x:c r="A73" s="7" t="str">
        <x:v>条件変化時の補正・判定の保留と引継ぎ</x:v>
      </x:c>
      <x:c r="B73" s="7" t="str">
        <x:v>品質と工具状態を見ながら調整する自律加工</x:v>
      </x:c>
      <x:c r="C73" s="7" t="str">
        <x:v>工具・熱状態・測定条件が変わるとき、補正を続けてよい条件の整理が課題になる可能性。</x:v>
      </x:c>
      <x:c r="D73" s="7" t="str">
        <x:v>熱補正・IPC・良品学習・追加学習は既存。メーカー標準の異常値処理の範囲は未確認。</x:v>
      </x:c>
      <x:c r="E73" s="7" t="str">
        <x:v>既存の補正・検査を比較対象に、条件変化の識別と保留・再計測・人への引継ぎを評価。</x:v>
      </x:c>
      <x:c r="F73" s="7" t="str">
        <x:v>誤差と異常データが取れ、標準機能の未対応が確認できた場合のみ着手。</x:v>
      </x:c>
      <x:c r="G73" s="7" t="str">
        <x:v>過補正、見逃し/過検出、保留率、再調整時間</x:v>
      </x:c>
      <x:c r="H73" s="7" t="str">
        <x:v>現地確認を優先／適用工程を1つに限定</x:v>
      </x:c>
      <x:c r="I73" s="7" t="str">
        <x:v>B05 / B06 / B07 / B08 / B09</x:v>
      </x:c>
    </x:row>
    <x:row r="74" ht="170" customHeight="1">
      <x:c r="A74" s="7" t="str">
        <x:v>変動する物理作業の完了確認・失敗引継ぎ</x:v>
      </x:c>
      <x:c r="B74" s="7" t="str">
        <x:v>多品種の付帯作業を担うフィジカルAI</x:v>
      </x:c>
      <x:c r="C74" s="7" t="str">
        <x:v>把持や切粉除去の成功動作に比べ、完了と失敗を認識し引き継ぐ範囲に差がある可能性。</x:v>
      </x:c>
      <x:c r="D74" s="7" t="str">
        <x:v>画像認識・自動交換・位置復旧は既存。参考出品の失敗処理は公開不足。</x:v>
      </x:c>
      <x:c r="E74" s="7" t="str">
        <x:v>切粉除去等の1作業で、認識・動作・完了確認と再試行/停止/人の介入を比較する。</x:v>
      </x:c>
      <x:c r="F74" s="7" t="str">
        <x:v>許容動作、停止条件、実機・ワークが得られること。既存機能で足りれば研究しない。</x:v>
      </x:c>
      <x:c r="G74" s="7" t="str">
        <x:v>未完了の見逃し、介入回数、復帰時間、品種変更の準備工数</x:v>
      </x:c>
      <x:c r="H74" s="7" t="str">
        <x:v>現地確認を優先／汎用ロボット開発には広げない</x:v>
      </x:c>
      <x:c r="I74" s="7" t="str">
        <x:v>B10 / B11 / B12 / B17</x:v>
      </x:c>
    </x:row>
    <x:row r="75" ht="170" customHeight="1">
      <x:c r="A75" s="7" t="str">
        <x:v>限定されたエージェント指令の実行管理</x:v>
      </x:c>
      <x:c r="B75" s="7" t="str">
        <x:v>現場の変化に対応する工場運用AI</x:v>
      </x:c>
      <x:c r="C75" s="7" t="str">
        <x:v>提案を指令へ移す時に、設備状態・権限・実行結果の整合が課題になる可能性。</x:v>
      </x:c>
      <x:c r="D75" s="7" t="str">
        <x:v>人の承認、ERPワークフロー、OPC UA接続は既存。許可・二重実行防止の範囲は未公開。</x:v>
      </x:c>
      <x:c r="E75" s="7" t="str">
        <x:v>1種類の指令で状態確認・承認・結果照合を扱い、通信断後の再送を含め比較。</x:v>
      </x:c>
      <x:c r="F75" s="7" t="str">
        <x:v>API、権限モデル、状態取得が確認できるまで保留。</x:v>
      </x:c>
      <x:c r="G75" s="7" t="str">
        <x:v>誤指令、重複実行、未完了の見逃し、承認待ち時間</x:v>
      </x:c>
      <x:c r="H75" s="7" t="str">
        <x:v>条件付き候補</x:v>
      </x:c>
      <x:c r="I75" s="7" t="str">
        <x:v>B13 / B14 / B15</x:v>
      </x:c>
    </x:row>
    <x:row r="76" ht="170" customHeight="1">
      <x:c r="A76" s="7" t="str">
        <x:v>物理学習用データの実機との差の評価</x:v>
      </x:c>
      <x:c r="B76" s="7" t="str">
        <x:v>多品種の付帯作業を担うフィジカルAI</x:v>
      </x:c>
      <x:c r="C76" s="7" t="str">
        <x:v>生成した形状・摩擦等の属性が実機成功に与える差を、既存検証で覆えない可能性。</x:v>
      </x:c>
      <x:c r="D76" s="7" t="str">
        <x:v>TRINIXの物理属性推論・自己修正、NVIDIA検証、DexBench共同開発告知がある。</x:v>
      </x:c>
      <x:c r="E76" s="7" t="str">
        <x:v>実測属性と生成属性で同一タスクの結果を比較し、誤差に効く項目を特定。</x:v>
      </x:c>
      <x:c r="F76" s="7" t="str">
        <x:v>公開済みベンチ・検証機能の範囲を確認。実機データが取れなければ保留。</x:v>
      </x:c>
      <x:c r="G76" s="7" t="str">
        <x:v>タスク成功の差、属性誤差、修正回数、測定準備時間</x:v>
      </x:c>
      <x:c r="H76" s="7" t="str">
        <x:v>条件付き候補</x:v>
      </x:c>
      <x:c r="I76" s="7" t="str">
        <x:v>B16</x:v>
      </x:c>
    </x:row>
  </x:sheetData>
  <x:pageMargins left="0.7" right="0.7" top="0.75" bottom="0.75" header="0.3" footer="0.3"/>
  <x:tableParts count="2">
    <x:tablePart xmlns:r="http://schemas.openxmlformats.org/officeDocument/2006/relationships" r:id="Rb382f28c5e1f4545"/>
    <x:tablePart xmlns:r="http://schemas.openxmlformats.org/officeDocument/2006/relationships" r:id="R53f7b1cff010467e"/>
  </x:tableParts>
</x:worksheet>
</file>

<file path=xl/worksheets/sheet3.xml><?xml version="1.0" encoding="utf-8"?>
<x:worksheet xmlns:x="http://schemas.openxmlformats.org/spreadsheetml/2006/main">
  <x:sheetPr>
    <x:tabColor rgb="FF225B92"/>
  </x:sheetPr>
  <x:sheetViews>
    <x:sheetView showGridLines="0" workbookViewId="0">
      <x:pane xSplit="1" ySplit="6" topLeftCell="B7" activePane="bottomRight" state="frozen"/>
    </x:sheetView>
  </x:sheetViews>
  <x:sheetFormatPr defaultRowHeight="15"/>
  <x:cols>
    <x:col min="1" max="1" width="23" hidden="0" customWidth="1"/>
    <x:col min="2" max="2" width="36" hidden="0" customWidth="1"/>
    <x:col min="3" max="3" width="67" hidden="0" customWidth="1"/>
    <x:col min="4" max="4" width="75" hidden="0" customWidth="1"/>
    <x:col min="5" max="5" width="16" hidden="0" customWidth="1"/>
    <x:col min="6" max="6" width="12" hidden="0" customWidth="1"/>
    <x:col min="7" max="7" width="110" hidden="0" customWidth="1"/>
    <x:col min="8" max="8" width="14" hidden="0" customWidth="1"/>
  </x:cols>
  <x:sheetData>
    <x:row r="2" ht="30" customHeight="1">
      <x:c r="A2" s="3" t="str">
        <x:v>仕事とニーズから見る技術全体マップ</x:v>
      </x:c>
      <x:c r="B2" s="1"/>
      <x:c r="C2" s="1"/>
      <x:c r="D2" s="1"/>
      <x:c r="E2" s="1"/>
      <x:c r="F2" s="1"/>
      <x:c r="G2" s="1"/>
      <x:c r="H2" s="1"/>
    </x:row>
    <x:row r="3" ht="22" customHeight="1">
      <x:c r="A3" s="5" t="str">
        <x:v>対象の仕事、減らしたい負担、使う技術、関連企業を同じ対応表から集計。1社・1展示が複数のテーマに関係する場合があります。</x:v>
      </x:c>
      <x:c r="B3" s="5"/>
      <x:c r="C3" s="5"/>
      <x:c r="D3" s="5"/>
      <x:c r="E3" s="5"/>
      <x:c r="F3" s="5"/>
      <x:c r="G3" s="5"/>
      <x:c r="H3" s="5"/>
    </x:row>
    <x:row r="4" ht="22" customHeight="1">
      <x:c r="A4" s="5" t="str">
        <x:v>25技術テーマ＋分類保留。全344カードを表示対象に含む。個別企業の年度・出典は隣の「技術別企業・年度比較」で確認。市場シェアではありません。</x:v>
      </x:c>
      <x:c r="B4" s="5"/>
      <x:c r="C4" s="5"/>
      <x:c r="D4" s="5"/>
      <x:c r="E4" s="5"/>
      <x:c r="F4" s="5"/>
      <x:c r="G4" s="5"/>
      <x:c r="H4" s="5"/>
    </x:row>
    <x:row r="5">
      <x:c r="A5" s="1"/>
      <x:c r="B5" s="1"/>
      <x:c r="C5" s="1"/>
      <x:c r="D5" s="1"/>
      <x:c r="E5" s="1"/>
      <x:c r="F5" s="1"/>
      <x:c r="G5" s="1"/>
      <x:c r="H5" s="1"/>
    </x:row>
    <x:row r="6" ht="34" customHeight="1">
      <x:c r="A6" s="11" t="str">
        <x:v>分野</x:v>
      </x:c>
      <x:c r="B6" s="11" t="str">
        <x:v>対象の仕事・技術テーマ</x:v>
      </x:c>
      <x:c r="C6" s="11" t="str">
        <x:v>減らしたい負担〈分析〉</x:v>
      </x:c>
      <x:c r="D6" s="11" t="str">
        <x:v>使われる技術・解決の手段</x:v>
      </x:c>
      <x:c r="E6" s="11" t="str">
        <x:v>関連企業名キー数</x:v>
      </x:c>
      <x:c r="F6" s="11" t="str">
        <x:v>カード数</x:v>
      </x:c>
      <x:c r="G6" s="11" t="str">
        <x:v>企業・該当カード</x:v>
      </x:c>
      <x:c r="H6" s="11" t="str">
        <x:v>テーマID</x:v>
      </x:c>
    </x:row>
    <x:row r="7" ht="145" customHeight="1">
      <x:c r="A7" s="7" t="str">
        <x:v>生産準備</x:v>
      </x:c>
      <x:c r="B7" s="7" t="str">
        <x:v>図面検索・見積作成</x:v>
      </x:c>
      <x:c r="C7" s="7" t="str">
        <x:v>過去図面と原価を探し、案件ごとに見積を組み立てる負担。</x:v>
      </x:c>
      <x:c r="D7" s="7" t="str">
        <x:v>OCR・類似図面検索、過去案件の参照、原価計算。図面管理と購買APIは関連用途として区別。</x:v>
      </x:c>
      <x:c r="E7" s="23" t="n">
        <x:v>6</x:v>
      </x:c>
      <x:c r="F7" s="23" t="n">
        <x:v>6</x:v>
      </x:c>
      <x:c r="G7" s="7" t="str">
        <x:v>ものレボ FC028 / テクノア FC061 / 匠技研工業 FC062 / 株式会社ゴードーソリューション AC074 / 株式会社Fact Base AC195 / 株式会社山善 AC232</x:v>
      </x:c>
      <x:c r="H7" s="7" t="str">
        <x:v>B01</x:v>
      </x:c>
    </x:row>
    <x:row r="8" ht="201" customHeight="1">
      <x:c r="A8" s="7" t="str">
        <x:v>生産準備</x:v>
      </x:c>
      <x:c r="B8" s="7" t="str">
        <x:v>工程・CAMプログラムの作成</x:v>
      </x:c>
      <x:c r="C8" s="7" t="str">
        <x:v>工具・機械・段取り制約を織り込む工程作成の技能依存。</x:v>
      </x:c>
      <x:c r="D8" s="7" t="str">
        <x:v>加工特徴の認識、履歴からの工程予測、工具経路・条件案の生成、CAD/CAMによるプログラミング。</x:v>
      </x:c>
      <x:c r="E8" s="23" t="n">
        <x:v>20</x:v>
      </x:c>
      <x:c r="F8" s="23" t="n">
        <x:v>21</x:v>
      </x:c>
      <x:c r="G8" s="7" t="str">
        <x:v>Hexagon Manufacturing Intelligence FC018 / ジェービーエムエンジニアリング FC020 / オートデスク FC023 / UEL FC060 / 株式会社インテグラ技術研究所 AC024 / 株式会社Aiソリューションズ AC031 / オープン・マインド・テクノロジーズ・ジャパン株式会社 AC047 / キャムタス株式会社 AC061 / 株式会社ゴードーソリューション AC074 / コダマコーポレーション株式会社 AC076 / 株式会社C＆Gシステムズ AC095 / シーメンス株式会社 AC098 / 株式会社セイロジャパン AC117 / 株式会社ゼネテック AC119 / タクテックス株式会社 AC131 / 株式会社フアクト AC194 / 丸紅情報システムズ株式会社 AC215 / Shenzhen JPT Opto-Electronics Co Ltd AC284 / 松浦機械製作所 SUB001 / Walter Maschinenbau SUB002 / シーメンス株式会社 SUB003</x:v>
      </x:c>
      <x:c r="H8" s="7" t="str">
        <x:v>B02</x:v>
      </x:c>
    </x:row>
    <x:row r="9" ht="145" customHeight="1">
      <x:c r="A9" s="7" t="str">
        <x:v>自律加工</x:v>
      </x:c>
      <x:c r="B9" s="7" t="str">
        <x:v>NC送り最適化・加工中の適応制御</x:v>
      </x:c>
      <x:c r="C9" s="7" t="str">
        <x:v>負荷変動による過負荷と、余裕のある区間の加工時間。</x:v>
      </x:c>
      <x:c r="D9" s="7" t="str">
        <x:v>物理シミュレーションによるNC事前最適化、負荷信号に応じた送り制御、切削力の計測。</x:v>
      </x:c>
      <x:c r="E9" s="23" t="n">
        <x:v>9</x:v>
      </x:c>
      <x:c r="F9" s="23" t="n">
        <x:v>11</x:v>
      </x:c>
      <x:c r="G9" s="7" t="str">
        <x:v>ベッコフオートメーション FC015 / CGTech FC022 / 三菱電機 FC064 / Third Wave Systems Japan合同会社 AC082 / 西部商工株式会社 AC115 / 有限会社ツールディスカバリー AC136 / 日本キスラー合同会社 AC175 / 株式会社広築 AC191 / Tongtai Machine Tool Co., Ltd. AC289 / Third Wave Systems Japan RPT001 / 西部商工 RPT002</x:v>
      </x:c>
      <x:c r="H9" s="7" t="str">
        <x:v>B03</x:v>
      </x:c>
    </x:row>
    <x:row r="10" ht="145" customHeight="1">
      <x:c r="A10" s="7" t="str">
        <x:v>生産準備</x:v>
      </x:c>
      <x:c r="B10" s="7" t="str">
        <x:v>PLC・HMI・電気設計の支援</x:v>
      </x:c>
      <x:c r="C10" s="7" t="str">
        <x:v>要求から制御コード・画面・設計情報へ落とす手間。</x:v>
      </x:c>
      <x:c r="D10" s="7" t="str">
        <x:v>対話によるPLCコード・I/O・HMI作成支援、電気設計資産の標準化、回路シミュレーション。</x:v>
      </x:c>
      <x:c r="E10" s="23" t="n">
        <x:v>4</x:v>
      </x:c>
      <x:c r="F10" s="23" t="n">
        <x:v>6</x:v>
      </x:c>
      <x:c r="G10" s="7" t="str">
        <x:v>ベッコフオートメーション FC011 / ベッコフオートメーション FC012 / EPLAN FC016 / EPLAN FC017 / 株式会社伊東商会 AC018 / リタール株式会社 AC240</x:v>
      </x:c>
      <x:c r="H10" s="7" t="str">
        <x:v>B04</x:v>
      </x:c>
    </x:row>
    <x:row r="11" ht="145" customHeight="1">
      <x:c r="A11" s="7" t="str">
        <x:v>自律加工</x:v>
      </x:c>
      <x:c r="B11" s="7" t="str">
        <x:v>熱変位補正・びびり抑制</x:v>
      </x:c>
      <x:c r="C11" s="7" t="str">
        <x:v>温度変化や振動に伴う精度・面品位のばらつき。</x:v>
      </x:c>
      <x:c r="D11" s="7" t="str">
        <x:v>熱変位の構造・制御による抑制、温度を用いる補正、びびりに応じた主軸回転調整。</x:v>
      </x:c>
      <x:c r="E11" s="23" t="n">
        <x:v>2</x:v>
      </x:c>
      <x:c r="F11" s="23" t="n">
        <x:v>3</x:v>
      </x:c>
      <x:c r="G11" s="7" t="str">
        <x:v>オークマ FC009 / ヤマザキマザック RPT006 / オークマ RPT007</x:v>
      </x:c>
      <x:c r="H11" s="7" t="str">
        <x:v>B05</x:v>
      </x:c>
    </x:row>
    <x:row r="12" ht="145" customHeight="1">
      <x:c r="A12" s="7" t="str">
        <x:v>自律加工</x:v>
      </x:c>
      <x:c r="B12" s="7" t="str">
        <x:v>計測から加工へのフィードバック</x:v>
      </x:c>
      <x:c r="C12" s="7" t="str">
        <x:v>検査結果を次の加工に戻す待ち時間と補正のばらつき。</x:v>
      </x:c>
      <x:c r="D12" s="7" t="str">
        <x:v>寸法・刃先形状を計測し、工具オフセットや加工条件へ反映。ルール補正とAI補正を区別。</x:v>
      </x:c>
      <x:c r="E12" s="23" t="n">
        <x:v>6</x:v>
      </x:c>
      <x:c r="F12" s="23" t="n">
        <x:v>6</x:v>
      </x:c>
      <x:c r="G12" s="7" t="str">
        <x:v>レニショー FC033 / Wintech Automation FC054 / 入野機工株式会社 AC021 / 株式会社兼松ケージーケイ AC052 / 株式会社サイバーRC AC085 / PERFECT MACHINE CO., LTD. AC276</x:v>
      </x:c>
      <x:c r="H12" s="7" t="str">
        <x:v>B06</x:v>
      </x:c>
    </x:row>
    <x:row r="13" ht="145" customHeight="1">
      <x:c r="A13" s="7" t="str">
        <x:v>検査・診断</x:v>
      </x:c>
      <x:c r="B13" s="7" t="str">
        <x:v>外観検査・撮像と追加学習</x:v>
      </x:c>
      <x:c r="C13" s="7" t="str">
        <x:v>少量不良データ、撮像ばらつき、見逃しと過検出。</x:v>
      </x:c>
      <x:c r="D13" s="7" t="str">
        <x:v>良品との差を捉える画像学習、多面撮像と搬送、外観判定・数量計数。</x:v>
      </x:c>
      <x:c r="E13" s="23" t="n">
        <x:v>8</x:v>
      </x:c>
      <x:c r="F13" s="23" t="n">
        <x:v>8</x:v>
      </x:c>
      <x:c r="G13" s="7" t="str">
        <x:v>ブルーム-ノボテスト FC034 / HACARUS FC036 / 日東商事 FC037 / サンゲン株式会社 AC088 / 株式会社松楽産業 AC107 / 株式会社トミタ AC154 / ミツテック株式会社 AC221 / BUFFOLI TRANSFER S.p.A. AC252</x:v>
      </x:c>
      <x:c r="H13" s="7" t="str">
        <x:v>B07</x:v>
      </x:c>
    </x:row>
    <x:row r="14" ht="145" customHeight="1">
      <x:c r="A14" s="7" t="str">
        <x:v>検査・診断</x:v>
      </x:c>
      <x:c r="B14" s="7" t="str">
        <x:v>工具摩耗の判定・交換判断</x:v>
      </x:c>
      <x:c r="C14" s="7" t="str">
        <x:v>工具を早く捨てすぎず、欠損や品質悪化を避ける判断。</x:v>
      </x:c>
      <x:c r="D14" s="7" t="str">
        <x:v>刃先画像の診断、加工信号の監視、工具破損検出、摩耗履歴による寿命・交換時期の推定。</x:v>
      </x:c>
      <x:c r="E14" s="23" t="n">
        <x:v>7</x:v>
      </x:c>
      <x:c r="F14" s="23" t="n">
        <x:v>8</x:v>
      </x:c>
      <x:c r="G14" s="7" t="str">
        <x:v>マーポス FC035 / ハイデンハイン FC038 / モリマシナリー FC039 / モリマシナリー FC040 / 興和オプトロニクス FC063 / 三菱電機 FC064 / Dongguan Dongfangqidu Metrology Co Ltd AC257 / Masterlink AC271</x:v>
      </x:c>
      <x:c r="H14" s="7" t="str">
        <x:v>B08</x:v>
      </x:c>
    </x:row>
    <x:row r="15" ht="145" customHeight="1">
      <x:c r="A15" s="7" t="str">
        <x:v>検査・診断</x:v>
      </x:c>
      <x:c r="B15" s="7" t="str">
        <x:v>設備・刃具の異常検知と保全</x:v>
      </x:c>
      <x:c r="C15" s="7" t="str">
        <x:v>故障や工具破損の兆候を捉え、点検・交換につなぐ負担。</x:v>
      </x:c>
      <x:c r="D15" s="7" t="str">
        <x:v>振動・電流・温度の状態監視、異常診断、記録やマニュアルを用いる保全知識支援。</x:v>
      </x:c>
      <x:c r="E15" s="23" t="n">
        <x:v>15</x:v>
      </x:c>
      <x:c r="F15" s="23" t="n">
        <x:v>16</x:v>
      </x:c>
      <x:c r="G15" s="7" t="str">
        <x:v>DMG森精機 FC004 / ベッコフオートメーション FC013 / 日本精工 FC052 / 日本エスケイエフ FC053 / ミロクリエ FC058 / 株式会社赤松電機製作所 AC003 / アズビルTACO株式会社 AC007 / イグス株式会社 AC014 / 株式会社ＫＥＬＫ AC071 / トーヨーエイテック株式会社 AC153 / ハイウィン株式会社 AC183 / 株式会社マザーツール AC210 / ムラテックＣＣＳ株式会社 AC225 / 山口産業株式会社 AC231 / Theta Precision Co., Ltd. AC288 / アズビル（TACO共同出展） RPT003</x:v>
      </x:c>
      <x:c r="H15" s="7" t="str">
        <x:v>B09</x:v>
      </x:c>
    </x:row>
    <x:row r="16" ht="249" customHeight="1">
      <x:c r="A16" s="7" t="str">
        <x:v>段取り・物理作業</x:v>
      </x:c>
      <x:c r="B16" s="7" t="str">
        <x:v>爪・治具・ハンドと位置の段取り</x:v>
      </x:c>
      <x:c r="C16" s="7" t="str">
        <x:v>多品種で繰り返す機械的交換と再教示の負担。</x:v>
      </x:c>
      <x:c r="D16" s="7" t="str">
        <x:v>爪・ハンド・工具・治具の交換機構、位置復旧、プリセット・芯出し・着座確認。</x:v>
      </x:c>
      <x:c r="E16" s="23" t="n">
        <x:v>29</x:v>
      </x:c>
      <x:c r="F16" s="23" t="n">
        <x:v>30</x:v>
      </x:c>
      <x:c r="G16" s="7" t="str">
        <x:v>イマオコーポレーション FC042 / イマオコーポレーション FC043 / 中村留精密工業 FC048 / シマダマシンツール FC051 / 株式会社アルプスツール AC012 / 株式会社イズミコーポレーション AC017 / 株式会社ヴィクストリン AC027 / エスエムダブリューオートブロック株式会社 AC033 / 株式会社Any Design AC036 / NKワークス株式会社 AC037 / 大野精工株式会社 AC045 / 株式会社北川鉄工所 AC057 / 共立精機株式会社 AC063 / 黒田精工株式会社 AC068 / 株式会社コスメック AC075 / 株式会社近藤製作所 AC081 / シュンク・ジャパン株式会社 AC105 / 東洋精機工業株式会社 AC151 / 株式会社ナベヤ AC157 / 株式会社ニイガタマシンテクノ AC163 / ハインブッフ・ジャパン株式会社 AC184 / パスカル株式会社 AC187 / 株式会社ファーステック AC192 / 株式会社FUJI AC198 / 富士精工株式会社 AC201 / 松本機械工業株式会社 AC214 / 株式会社メトロール AC227 / ロームヘルド・ハルダー株式会社 AC243 / AUTOGRIP MACHINERY CO., LTD. AC249 / ProGrit GmbH AC278</x:v>
      </x:c>
      <x:c r="H16" s="7" t="str">
        <x:v>B10</x:v>
      </x:c>
    </x:row>
    <x:row r="17" ht="329" customHeight="1">
      <x:c r="A17" s="7" t="str">
        <x:v>段取り・物理作業</x:v>
      </x:c>
      <x:c r="B17" s="7" t="str">
        <x:v>ワーク・パレット・切粉の搬送</x:v>
      </x:c>
      <x:c r="C17" s="7" t="str">
        <x:v>品種・量の変化に合わせて人の供給往復を減らす。</x:v>
      </x:c>
      <x:c r="D17" s="7" t="str">
        <x:v>ローダー・協働ロボット・AMR・パレットシステムと加工機を組み合わせる。</x:v>
      </x:c>
      <x:c r="E17" s="23" t="n">
        <x:v>43</x:v>
      </x:c>
      <x:c r="F17" s="23" t="n">
        <x:v>44</x:v>
      </x:c>
      <x:c r="G17" s="7" t="str">
        <x:v>DMG森精機 FC001 / DMG森精機 FC002 / オークマ FC008 / ヤマザキマザック FC010 / エヌティーツール FC044 / 牧野フライス製作所 FC046 / 松浦機械製作所 FC047 / シマダマシンツール FC050 / Walter Maschinenbau FC055 / 三菱商事テクノス FC067 / 愛知産業株式会社 AC001 / 株式会社アビコ技術研究所 AC009 / 安藤株式会社 AC013 / 伊藤忠マシンテクノス株式会社 AC019 / FNS株式会社 AC039 / 株式会社MSTコーポレーション AC040 / エンシュウ株式会社 AC041 / キタムラ機械株式会社 AC058 / GROB Japan株式会社 AC069 / 株式会社ゴーショー AC073 / 株式会社SANMATSU AC090 / 山陽マシン株式会社 AC091 / サンワ産業株式会社 AC093 / 三和ロボティクス株式会社 AC094 / 株式会社ソディック AC123 / 株式会社太陽工機 AC129 / 高島産業株式会社 AC130 / 株式会社ツガミ AC139 / 筑波エンジニアリング株式会社 AC140 / 津田駒工業株式会社 AC141 / 西島株式会社 AC164 / ニデックオーケーケー株式会社 AC171 / 日本スピードショア株式会社 AC177 / 日本精機株式会社 AC179 / 株式会社白山機工 AC186 / 株式会社長谷川機械製作所 AC188 / 株式会社ファースト技研 AC193 / 村田機械株式会社 AC224 / 株式会社山善 AC232 / ユナイテッドグラインディング株式会社 AC235 / YKT株式会社 AC246 / LNS Management SA AC269 / Masterlink AC271 / System 3R International AB AC287</x:v>
      </x:c>
      <x:c r="H17" s="7" t="str">
        <x:v>B11</x:v>
      </x:c>
    </x:row>
    <x:row r="18" ht="265" customHeight="1">
      <x:c r="A18" s="7" t="str">
        <x:v>段取り・物理作業</x:v>
      </x:c>
      <x:c r="B18" s="7" t="str">
        <x:v>認識を伴うピック・付帯加工・除去</x:v>
      </x:c>
      <x:c r="C18" s="7" t="str">
        <x:v>形状や絡まりが変わる物理作業に固定手順で対応しにくい。</x:v>
      </x:c>
      <x:c r="D18" s="7" t="str">
        <x:v>画像・3D認識からの動作や軌道生成、力追従、工具の摩耗補償。固定手順の自動化も併記。</x:v>
      </x:c>
      <x:c r="E18" s="23" t="n">
        <x:v>34</x:v>
      </x:c>
      <x:c r="F18" s="23" t="n">
        <x:v>34</x:v>
      </x:c>
      <x:c r="G18" s="7" t="str">
        <x:v>エヌティーツール FC045 / TAKISAWA FC049 / 株式会社アステック AC006 / 株式会社IZUSHI AC016 / 株式会社イワタツール AC022 / 宇治電化学工業株式会社 AC028 / 永興電機工業株式会社 AC030 / カトウ工機株式会社 AC050 / カネテック株式会社 AC051 / 株式会社クロイツ AC066 / 埼玉精機株式会社 AC083 / 株式会社桜井製作所 AC086 / 株式会社サンシン AC089 / 株式会社ジーベックテクノロジー AC097 / 進桜電機株式会社 AC108 / 先生精機株式会社 AC120 / 双和化成株式会社 AC122 / 大同興業株式会社 AC126 / ダイナミックツール株式会社 AC127 / 株式会社チップトン AC133 / 東京エレクトロンデバイス株式会社 AC146 / 南海モルディ株式会社 AC160 / 日本オートマチックマシン株式会社 AC174 / ニューレジストン株式会社 AC181 / 富士精工株式会社 AC201 / マツザワマシナリー株式会社 AC212 / マツモト機械株式会社 AC213 / 株式会社ムラキ AC223 / モバック株式会社 AC229 / 柳瀬株式会社 AC230 / 吉川鐵工株式会社 AC238 / 菱高精機株式会社 AC242 / Gifu Enterprise Co., Ltd AC262 / IMM Maschinenbau GmbH AC264</x:v>
      </x:c>
      <x:c r="H18" s="7" t="str">
        <x:v>B12</x:v>
      </x:c>
    </x:row>
    <x:row r="19" ht="145" customHeight="1">
      <x:c r="A19" s="7" t="str">
        <x:v>工場運用</x:v>
      </x:c>
      <x:c r="B19" s="7" t="str">
        <x:v>現場エージェント・遠隔介入</x:v>
      </x:c>
      <x:c r="C19" s="7" t="str">
        <x:v>停止や例外発生時、情報を集めて対処を判断する負担。</x:v>
      </x:c>
      <x:c r="D19" s="7" t="str">
        <x:v>設備データ・文書を参照する対話支援、予測による運用支援、人が操作する遠隔介入。</x:v>
      </x:c>
      <x:c r="E19" s="23" t="n">
        <x:v>6</x:v>
      </x:c>
      <x:c r="F19" s="23" t="n">
        <x:v>6</x:v>
      </x:c>
      <x:c r="G19" s="7" t="str">
        <x:v>DMG森精機 FC003 / ベッコフオートメーション FC013 / ソフィックス FC030 / パナソニックプロダクションエンジニアリング FC031 / ミロクリエ FC058 / 三菱電機 FC066</x:v>
      </x:c>
      <x:c r="H19" s="7" t="str">
        <x:v>B13</x:v>
      </x:c>
    </x:row>
    <x:row r="20" ht="169" customHeight="1">
      <x:c r="A20" s="7" t="str">
        <x:v>工場運用</x:v>
      </x:c>
      <x:c r="B20" s="7" t="str">
        <x:v>工場データ・計画・資源の連携</x:v>
      </x:c>
      <x:c r="C20" s="7" t="str">
        <x:v>現物・工具マスター・進捗が分断し変更に追従しにくい。</x:v>
      </x:c>
      <x:c r="D20" s="7" t="str">
        <x:v>MES・生産管理・自動日程調整、実績収集、設備稼働の可視化、API連携。</x:v>
      </x:c>
      <x:c r="E20" s="23" t="n">
        <x:v>19</x:v>
      </x:c>
      <x:c r="F20" s="23" t="n">
        <x:v>20</x:v>
      </x:c>
      <x:c r="G20" s="7" t="str">
        <x:v>Smart Craft FC026 / ものレボ FC027 / テクノア FC061 / 三菱電機 FC065 / 株式会社インプローブ AC025 / 株式会社インプローブ AC026 / FNS株式会社 AC039 / エンシュウ株式会社 AC041 / 株式会社ケーエムケーワールド AC070 / 株式会社ゴードーソリューション AC074 / 株式会社C＆Gシステムズ AC095 / 芝浦機械株式会社 AC103 / SHODA株式会社 AC106 / シンクビジョン株式会社 AC109 / トルンプ株式会社 AC156 / 日本ツクリダス株式会社 AC180 / 株式会社マシンソル AC211 / 株式会社三井ハイテック AC220 / ムラテックフロンティア株式会社 AC226 / WinTool AG AC295</x:v>
      </x:c>
      <x:c r="H20" s="7" t="str">
        <x:v>B14</x:v>
      </x:c>
    </x:row>
    <x:row r="21" ht="145" customHeight="1">
      <x:c r="A21" s="7" t="str">
        <x:v>共通基盤</x:v>
      </x:c>
      <x:c r="B21" s="7" t="str">
        <x:v>AIモデル作成・機器接続の基盤</x:v>
      </x:c>
      <x:c r="C21" s="7" t="str">
        <x:v>データの意味づけと、作ったAIを現場へつなぐ負担。</x:v>
      </x:c>
      <x:c r="D21" s="7" t="str">
        <x:v>AutoML、ONNXなどのモデル実装、OPC UA・ゲートウェイ・OCRによる設備接続。</x:v>
      </x:c>
      <x:c r="E21" s="23" t="n">
        <x:v>10</x:v>
      </x:c>
      <x:c r="F21" s="23" t="n">
        <x:v>10</x:v>
      </x:c>
      <x:c r="G21" s="7" t="str">
        <x:v>ベッコフオートメーション FC014 / たけびし FC024 / シーイーシー FC025 / ソフィックス FC029 / ミロクリエ FC059 / ケーメックス・オートメーション FC068 / アナログ・デバイセズ株式会社 AC008 / 有限会社デュブリン・ジャパン・リミテッド AC145 / HAWEジャパン株式会社 AC185 / リタール株式会社 AC240</x:v>
      </x:c>
      <x:c r="H21" s="7" t="str">
        <x:v>B15</x:v>
      </x:c>
    </x:row>
    <x:row r="22" ht="145" customHeight="1">
      <x:c r="A22" s="7" t="str">
        <x:v>共通基盤</x:v>
      </x:c>
      <x:c r="B22" s="7" t="str">
        <x:v>デジタルツイン・物理学習用データ</x:v>
      </x:c>
      <x:c r="C22" s="7" t="str">
        <x:v>仮想上での確認・学習と実機の結果をつなぐための準備。</x:v>
      </x:c>
      <x:c r="D22" s="7" t="str">
        <x:v>工作機械の仮想検証、工場・訓練シミュレーション、CADからの形状・物理属性データ生成。</x:v>
      </x:c>
      <x:c r="E22" s="23" t="n">
        <x:v>7</x:v>
      </x:c>
      <x:c r="F22" s="23" t="n">
        <x:v>7</x:v>
      </x:c>
      <x:c r="G22" s="7" t="str">
        <x:v>ファナック FC007 / 伊藤忠マシンテクノス株式会社 AC019 / Third Wave Systems Japan合同会社 AC082 / シーメンス株式会社 AC098 / ニデックマシンツール株式会社 AC172 / NdotLight Co., Ltd. AC273 / Spatial Corp. AC286</x:v>
      </x:c>
      <x:c r="H22" s="7" t="str">
        <x:v>B16</x:v>
      </x:c>
    </x:row>
    <x:row r="23" ht="145" customHeight="1">
      <x:c r="A23" s="7" t="str">
        <x:v>段取り・物理作業</x:v>
      </x:c>
      <x:c r="B23" s="7" t="str">
        <x:v>展示段階と自律化の境界</x:v>
      </x:c>
      <x:c r="C23" s="7" t="str">
        <x:v>人型やAIという名称だけでは任せられる仕事を判断できない。</x:v>
      </x:c>
      <x:c r="D23" s="7" t="str">
        <x:v>生成AIを使うロボット駆動、ビジョン内蔵協働ロボット、人型・遠隔教示、開発中の最適化。</x:v>
      </x:c>
      <x:c r="E23" s="23" t="n">
        <x:v>6</x:v>
      </x:c>
      <x:c r="F23" s="23" t="n">
        <x:v>7</x:v>
      </x:c>
      <x:c r="G23" s="7" t="str">
        <x:v>ファナック FC005 / ファナック FC006 / 伊藤忠マシンテクノス株式会社 AC019 / THK株式会社 AC143 / 株式会社ナベル AC159 / 東京貿易テクノシステム RPT005 / 神崎高級工機 RPT004</x:v>
      </x:c>
      <x:c r="H23" s="7" t="str">
        <x:v>B17</x:v>
      </x:c>
    </x:row>
    <x:row r="24" ht="201" customHeight="1">
      <x:c r="A24" s="7" t="str">
        <x:v>生産準備</x:v>
      </x:c>
      <x:c r="B24" s="7" t="str">
        <x:v>CAD・金型設計・NC検証</x:v>
      </x:c>
      <x:c r="C24" s="7" t="str">
        <x:v>形状の設計変更や加工前の確認に手間がかかる。</x:v>
      </x:c>
      <x:c r="D24" s="7" t="str">
        <x:v>CAD/CAM統合、ルールによる設計支援、NCシミュレーション。</x:v>
      </x:c>
      <x:c r="E24" s="23" t="n">
        <x:v>23</x:v>
      </x:c>
      <x:c r="F24" s="23" t="n">
        <x:v>23</x:v>
      </x:c>
      <x:c r="G24" s="7" t="str">
        <x:v>ファナック FC007 / EPLAN FC016 / CGTech FC021 / オートデスク FC023 / UEL FC060 / 株式会社伊東商会 AC018 / 株式会社インテグラ技術研究所 AC024 / 株式会社Aiソリューションズ AC031 / キステム株式会社 AC055 / キャムタス株式会社 AC061 / 株式会社ゴードーソリューション AC074 / コダマコーポレーション株式会社 AC076 / Third Wave Systems Japan合同会社 AC082 / 株式会社C＆Gシステムズ AC095 / シーメンス株式会社 AC098 / シンプルテック株式会社 AC111 / 株式会社セイロジャパン AC117 / 株式会社ゼネテック AC119 / 株式会社フアクト AC194 / 丸紅情報システムズ株式会社 AC215 / 株式会社モアソンジャパン AC228 / Dontyne Systems Limited AC258 / Spatial Corp. AC286</x:v>
      </x:c>
      <x:c r="H24" s="7" t="str">
        <x:v>B18</x:v>
      </x:c>
    </x:row>
    <x:row r="25" ht="297" customHeight="1">
      <x:c r="A25" s="7" t="str">
        <x:v>検査・診断</x:v>
      </x:c>
      <x:c r="B25" s="7" t="str">
        <x:v>自動計測・測定計画・品質データ</x:v>
      </x:c>
      <x:c r="C25" s="7" t="str">
        <x:v>測定の段取り・搬送・記録に人手が残り、結果が加工改善につながりにくい。</x:v>
      </x:c>
      <x:c r="D25" s="7" t="str">
        <x:v>自動測定、測定プログラム作成、ロボット計測、品質データの管理。</x:v>
      </x:c>
      <x:c r="E25" s="23" t="n">
        <x:v>34</x:v>
      </x:c>
      <x:c r="F25" s="23" t="n">
        <x:v>34</x:v>
      </x:c>
      <x:c r="G25" s="7" t="str">
        <x:v>Hexagon Manufacturing Intelligence FC019 / ミツトヨ FC032 / ブルーム-ノボテスト FC034 / Innovalia Metrology FC056 / ニコン FC057 / 株式会社宇都宮製作所 AC029 / Orbray株式会社 AC046 / 株式会社キャプテンインダストリーズ AC060 / 共立精機株式会社 AC063 / 黒田精工株式会社 AC068 / コマツNTC株式会社 AC077 / サンゲン株式会社 AC088 / 双日株式会社 AC121 / 株式会社第一測範製作所 AC125 / TPR大阪精密機械株式会社 AC142 / 東京貿易テクノシステム株式会社 AC148 / 東洋精機工業株式会社 AC151 / トライオプティクス・ジャパン株式会社 AC155 / 新潟精機株式会社 AC162 / 日工機材株式会社 AC166 / 日本クリンゲルンベルグ株式会社 AC176 / 株式会社原製作所 AC190 / ベクトリックス株式会社 AC206 / 牧野フライス精機株式会社 AC209 / 丸紅情報システムズ株式会社 AC215 / 三鷹光器株式会社 AC218 / 株式会社三井ハイテック AC220 / 株式会社山善 AC232 / YKT株式会社 AC246 / Dongguan Dongfangqidu Metrology Co Ltd AC257 / Quality Vision International Inc AC279 / Röders GmbH AC280 / WYLER AG AC297 / シーメンス株式会社 SUB003</x:v>
      </x:c>
      <x:c r="H25" s="7" t="str">
        <x:v>B19</x:v>
      </x:c>
    </x:row>
    <x:row r="26" ht="169" customHeight="1">
      <x:c r="A26" s="7" t="str">
        <x:v>段取り・物理作業</x:v>
      </x:c>
      <x:c r="B26" s="7" t="str">
        <x:v>クーラント・潤滑・清掃の省人化</x:v>
      </x:c>
      <x:c r="C26" s="7" t="str">
        <x:v>補充・濃度管理・切粉処理などの保守作業で運転が途切れる。</x:v>
      </x:c>
      <x:c r="D26" s="7" t="str">
        <x:v>自動希釈・補給、ろ過、状態監視、清掃機構。</x:v>
      </x:c>
      <x:c r="E26" s="23" t="n">
        <x:v>20</x:v>
      </x:c>
      <x:c r="F26" s="23" t="n">
        <x:v>20</x:v>
      </x:c>
      <x:c r="G26" s="7" t="str">
        <x:v>エヌティーツール FC045 / 日本エスケイエフ FC053 / 株式会社IZUSHI AC016 / 岩本工業株式会社 AC023 / キソー株式会社 AC056 / 住友精密工業株式会社 AC113 / ダイナミックツール株式会社 AC127 / 中部クリーン株式会社 AC134 / ツールドインターナショナル株式会社 AC137 / 株式会社東陽 AC150 / 日東工器株式会社 AC169 / 日本オイルポンプ株式会社 AC173 / HAWEジャパン株式会社 AC185 / ブリンクマン・ポンプ・ジャパン株式会社 AC203 / 株式会社ブンリ AC205 / 山口産業株式会社 AC231 / 株式会社ユシロ AC234 / リックス株式会社 AC241 / LNS Management SA AC269 / WALRUS PUMP Co., Ltd. AC293</x:v>
      </x:c>
      <x:c r="H26" s="7" t="str">
        <x:v>B20</x:v>
      </x:c>
    </x:row>
    <x:row r="27" ht="281" customHeight="1">
      <x:c r="A27" s="7" t="str">
        <x:v>共通基盤</x:v>
      </x:c>
      <x:c r="B27" s="7" t="str">
        <x:v>安全監視・自動化を支える機器</x:v>
      </x:c>
      <x:c r="C27" s="7" t="str">
        <x:v>無人運転やロボット導入には、安全確保と機器・配線・力の伝達が必要。</x:v>
      </x:c>
      <x:c r="D27" s="7" t="str">
        <x:v>安全センサー、画像による人検出、ハンド・力覚・駆動・接続部品。</x:v>
      </x:c>
      <x:c r="E27" s="23" t="n">
        <x:v>34</x:v>
      </x:c>
      <x:c r="F27" s="23" t="n">
        <x:v>34</x:v>
      </x:c>
      <x:c r="G27" s="7" t="str">
        <x:v>エヌティーツール FC044 / ケーメックス・オートメーション FC068 / テクノダイナミックス FC069 / IDEC株式会社 AC002 / アズビルTACO株式会社 AC007 / アナログ・デバイセズ株式会社 AC008 / 株式会社ヴィクストリン AC027 / 永興電機工業株式会社 AC030 / Quod6株式会社 AC064 / 株式会社国盛化学 AC065 / 株式会社クロイツ AC066 / 株式会社グローバル・パーツ AC067 / コアーテック株式会社 AC072 / 株式会社Cominix AC078 / 株式会社小森安全機研究所 AC079 / 埼玉精機株式会社 AC083 / 住友精密工業株式会社 AC113 / ツールドインターナショナル株式会社 AC137 / THK株式会社 AC143 / 有限会社デュブリン・ジャパン・リミテッド AC145 / 鍋屋バイテック会社 AC158 / 株式会社日研工作所 AC165 / 株式会社ニッセイ AC168 / 日東工器株式会社 AC169 / 日本キスラー合同会社 AC175 / 株式会社ネオフレックス AC182 / 株式会社初田製作所 AC189 / ヘラマンタイトン株式会社 AC208 / 株式会社マザーツール AC210 / ミネベアミツミ株式会社 AC222 / ユキワ精工株式会社 AC233 / リタール株式会社 AC240 / BizLink Special Cables (Changzhou) Co., Ltd. AC250 / Chen Ying Oil Machine Co., Ltd. AC254</x:v>
      </x:c>
      <x:c r="H27" s="7" t="str">
        <x:v>B21</x:v>
      </x:c>
    </x:row>
    <x:row r="28" ht="400" customHeight="1">
      <x:c r="A28" s="7" t="str">
        <x:v>段取り・物理作業</x:v>
      </x:c>
      <x:c r="B28" s="7" t="str">
        <x:v>自動加工セル・工程集約</x:v>
      </x:c>
      <x:c r="C28" s="7" t="str">
        <x:v>設備間の持替えや繰返し作業が、人手・待ち時間・品質差につながる。</x:v>
      </x:c>
      <x:c r="D28" s="7" t="str">
        <x:v>自動加工サイクル、工程集約、ローダー・加工・計測を組み合わせるセル。</x:v>
      </x:c>
      <x:c r="E28" s="23" t="n">
        <x:v>68</x:v>
      </x:c>
      <x:c r="F28" s="23" t="n">
        <x:v>68</x:v>
      </x:c>
      <x:c r="G28" s="7" t="str">
        <x:v>愛知産業株式会社 AC001 / 株式会社アマダ AC010 / 株式会社アマダプレスシステム AC011 / 株式会社池貝 AC015 / 入野機工株式会社 AC021 / 株式会社エグロ AC032 / 株式会社エス・ティ・シー AC034 / エンシュウ株式会社 AC041 / 株式会社オーエム製作所 AC043 / 株式会社大宮マシナリー AC048 / 株式会社岡本工作機械製作所 AC049 / 株式会社神崎高級工機製作所 AC054 / 株式会社北村製作所 AC059 / GROB Japan株式会社 AC069 / コマツNTC株式会社 AC077 / 株式会社桜井製作所 AC086 / 株式会社シーケービー AC096 / 株式会社ジェイテクト AC100 / 株式会社シギヤ精機製作所 AC101 / シチズンマシナリー株式会社 AC102 / 新日本工機株式会社 AC110 / セイコーインスツル株式会社 AC114 / 西部電機株式会社 AC116 / 清和ジーテック株式会社 AC118 / 株式会社ソディック AC123 / 株式会社太陽工機 AC129 / 株式会社ツガミ AC139 / 株式会社東振テクニカル AC149 / 東洋精機工業株式会社 AC151 / トルンプ株式会社 AC156 / 南海モルディ株式会社 AC160 / 株式会社日進ProSOL AC167 / 日藤ポリゴン株式会社 AC170 / ニデックオーケーケー株式会社 AC171 / 日本オートマチックマシン株式会社 AC174 / 日本精機株式会社 AC179 / 株式会社長谷川機械製作所 AC188 / 株式会社ファースト技研 AC193 / フォルマー・ジャパン株式会社 AC197 / 株式会社FUJI AC198 / 株式会社富士機工 AC199 / 牧野フライス精機株式会社 AC209 / マツザワマシナリー株式会社 AC212 / マツモト機械株式会社 AC213 / 三井精機工業株式会社 AC219 / 株式会社三井ハイテック AC220 / 村田機械株式会社 AC224 / ユナイテッドグラインディング株式会社 AC235 / ユナイテッドマシニング株式会社 AC236 / 吉川鐵工株式会社 AC238 / 碌々スマートテクノロジー株式会社 AC244 / Rollomatic Japan株式会社 AC245 / 株式会社和井田製作所 AC247 / Agie Charmilles SA AC248 / Blohm Jung GmbH AC251 / BUFFOLI TRANSFER S.p.A. AC252 / DGDY SHEET METAL MACHINERY CO.,LTD AC256 / FAPTECH (HANGZHOU) CO.,LTD. AC260 / KAI HUNG MACHINERY CO., LTD. AC268 / Matrix Precision Co., Ltd AC272 / NINGBO BLIN MACHINERY CO LTD AC275 / PERFECT MACHINE CO., LTD. AC276 / Röders GmbH AC280 / Schwäbische Werkzeugmaschinen GmbH AC282 / Tongtai Machine Tool Co., Ltd. AC289 / United Machining Mill AG - MIKRON MILL AC291 / United Machining Solutions Management AG AC292 / YANGZHOU METALFORMING MACHINE TOOL CO.,LTD AC298</x:v>
      </x:c>
      <x:c r="H28" s="7" t="str">
        <x:v>B22</x:v>
      </x:c>
    </x:row>
    <x:row r="29" ht="145" customHeight="1">
      <x:c r="A29" s="7" t="str">
        <x:v>工場運用</x:v>
      </x:c>
      <x:c r="B29" s="7" t="str">
        <x:v>工具データ・在庫・購買</x:v>
      </x:c>
      <x:c r="C29" s="7" t="str">
        <x:v>工具を探す・登録する・補充する手間や、在庫情報の分断がある。</x:v>
      </x:c>
      <x:c r="D29" s="7" t="str">
        <x:v>工具データベース、プリセット・在庫管理、貸出記録、ルールによる購買。</x:v>
      </x:c>
      <x:c r="E29" s="23" t="n">
        <x:v>10</x:v>
      </x:c>
      <x:c r="F29" s="23" t="n">
        <x:v>11</x:v>
      </x:c>
      <x:c r="G29" s="7" t="str">
        <x:v>モリマシナリー FC041 / エバ工業株式会社 AC038 / オーエスジー株式会社 AC042 / 京セラ株式会社 AC062 / CIMSOURCE Japan株式会社 AC104 / 有限会社曽根田工業 AC124 / ZOLLER Japan株式会社 AC138 / 株式会社ミスミ AC216 / 株式会社ミスミ AC217 / INCOS INC AC265 / WinTool AG AC295</x:v>
      </x:c>
      <x:c r="H29" s="7" t="str">
        <x:v>B23</x:v>
      </x:c>
    </x:row>
    <x:row r="30" ht="145" customHeight="1">
      <x:c r="A30" s="7" t="str">
        <x:v>生産準備</x:v>
      </x:c>
      <x:c r="B30" s="7" t="str">
        <x:v>図面・設計データの管理と連携</x:v>
      </x:c>
      <x:c r="C30" s="7" t="str">
        <x:v>図面・工具・品質・工程情報が別々に保存され、再利用しにくい。</x:v>
      </x:c>
      <x:c r="D30" s="7" t="str">
        <x:v>図面・文書管理、CADデータ変換、標準工具データ、設計と品質の連携。</x:v>
      </x:c>
      <x:c r="E30" s="23" t="n">
        <x:v>13</x:v>
      </x:c>
      <x:c r="F30" s="23" t="n">
        <x:v>13</x:v>
      </x:c>
      <x:c r="G30" s="7" t="str">
        <x:v>EPLAN FC016 / オートデスク FC023 / Smart Craft FC026 / 株式会社ゴードーソリューション AC074 / CIMSOURCE Japan株式会社 AC104 / トーチョーマーキングシステムズ株式会社 AC152 / 株式会社Fact Base AC195 / ベクトル株式会社 AC207 / 株式会社モアソンジャパン AC228 / 株式会社山善 AC232 / Quality Vision International Inc AC279 / Spatial Corp. AC286 / WinTool AG AC295</x:v>
      </x:c>
      <x:c r="H30" s="7" t="str">
        <x:v>B24</x:v>
      </x:c>
    </x:row>
    <x:row r="31" ht="145" customHeight="1">
      <x:c r="A31" s="7" t="str">
        <x:v>工場運用</x:v>
      </x:c>
      <x:c r="B31" s="7" t="str">
        <x:v>作業分析・技能継承・教育</x:v>
      </x:c>
      <x:c r="C31" s="7" t="str">
        <x:v>作業を記録・分析し、改善点や技能を共有する負担がある。</x:v>
      </x:c>
      <x:c r="D31" s="7" t="str">
        <x:v>動画の作業分節、視線分析、訓練用シミュレーション、運用支援。</x:v>
      </x:c>
      <x:c r="E31" s="23" t="n">
        <x:v>3</x:v>
      </x:c>
      <x:c r="F31" s="23" t="n">
        <x:v>3</x:v>
      </x:c>
      <x:c r="G31" s="7" t="str">
        <x:v>シーメンス株式会社 AC098 / 株式会社ブロードリーフ AC204 / Rollomatic Japan株式会社 AC245</x:v>
      </x:c>
      <x:c r="H31" s="7" t="str">
        <x:v>B25</x:v>
      </x:c>
    </x:row>
    <x:row r="32" ht="145" customHeight="1">
      <x:c r="A32" s="7" t="str">
        <x:v>分類保留</x:v>
      </x:c>
      <x:c r="B32" s="7" t="str">
        <x:v>用途の詳細が未確認の候補</x:v>
      </x:c>
      <x:c r="C32" s="7" t="str">
        <x:v>取得した説明だけでは、関連する個別タスクを確定できない。</x:v>
      </x:c>
      <x:c r="D32" s="7" t="str">
        <x:v>分類保留。AI・自動化という語だけで具体的な方式を割り当てない。</x:v>
      </x:c>
      <x:c r="E32" s="23" t="n">
        <x:v>7</x:v>
      </x:c>
      <x:c r="F32" s="23" t="n">
        <x:v>7</x:v>
      </x:c>
      <x:c r="G32" s="7" t="str">
        <x:v>株式会社旭商工社 AC005 / 川重テクノロジー株式会社 AC053 / JFEエンジニアリング株式会社 AC099 / スター精密株式会社 AC112 / 株式会社タンガロイ AC132 / 日本3Dプリンター株式会社 AC178 / Profiroll Technologies GmbH AC277</x:v>
      </x:c>
      <x:c r="H32" s="7" t="str">
        <x:v>B00</x:v>
      </x:c>
    </x:row>
  </x:sheetData>
  <x:pageMargins left="0.7" right="0.7" top="0.75" bottom="0.75" header="0.3" footer="0.3"/>
  <x:tableParts count="1">
    <x:tablePart xmlns:r="http://schemas.openxmlformats.org/officeDocument/2006/relationships" r:id="R793fcaf5e05c40fa"/>
  </x:tableParts>
</x:worksheet>
</file>

<file path=xl/worksheets/sheet4.xml><?xml version="1.0" encoding="utf-8"?>
<x:worksheet xmlns:x="http://schemas.openxmlformats.org/spreadsheetml/2006/main">
  <x:sheetPr>
    <x:tabColor rgb="FF225B92"/>
  </x:sheetPr>
  <x:sheetViews>
    <x:sheetView showGridLines="0" workbookViewId="0">
      <x:pane xSplit="3" ySplit="6" topLeftCell="D7" activePane="bottomRight" state="frozen"/>
    </x:sheetView>
  </x:sheetViews>
  <x:sheetFormatPr defaultRowHeight="15"/>
  <x:cols>
    <x:col min="1" max="1" width="23" hidden="0" customWidth="1"/>
    <x:col min="2" max="2" width="34" hidden="0" customWidth="1"/>
    <x:col min="3" max="3" width="31" hidden="0" customWidth="1"/>
    <x:col min="4" max="4" width="52" hidden="0" customWidth="1"/>
    <x:col min="5" max="5" width="15" hidden="0" customWidth="1"/>
    <x:col min="6" max="6" width="52" hidden="0" customWidth="1"/>
    <x:col min="7" max="7" width="70" hidden="0" customWidth="1"/>
    <x:col min="8" max="8" width="65" hidden="0" customWidth="1"/>
    <x:col min="9" max="9" width="70" hidden="0" customWidth="1"/>
    <x:col min="10" max="10" width="70" hidden="0" customWidth="1"/>
    <x:col min="11" max="11" width="65" hidden="0" customWidth="1"/>
    <x:col min="12" max="12" width="32" hidden="0" customWidth="1"/>
    <x:col min="13" max="13" width="26" hidden="0" customWidth="1"/>
    <x:col min="14" max="14" width="50" hidden="0" customWidth="1"/>
    <x:col min="15" max="15" width="58" hidden="0" customWidth="1"/>
    <x:col min="16" max="16" width="56" hidden="0" customWidth="1"/>
    <x:col min="17" max="17" width="16" hidden="0" customWidth="1"/>
    <x:col min="18" max="18" width="75" hidden="0" customWidth="1"/>
    <x:col min="19" max="19" width="75" hidden="0" customWidth="1"/>
    <x:col min="20" max="20" width="100" hidden="0" customWidth="1"/>
  </x:cols>
  <x:sheetData>
    <x:row r="2" ht="30" customHeight="1">
      <x:c r="A2" s="3" t="str">
        <x:v>技術別に企業・展示を探し、2024／2026年を対照する</x:v>
      </x:c>
      <x:c r="B2" s="1"/>
      <x:c r="C2" s="1"/>
      <x:c r="D2" s="1"/>
      <x:c r="E2" s="1"/>
      <x:c r="F2" s="1"/>
      <x:c r="G2" s="1"/>
      <x:c r="H2" s="1"/>
      <x:c r="I2" s="1"/>
      <x:c r="J2" s="1"/>
      <x:c r="K2" s="1"/>
      <x:c r="L2" s="1"/>
      <x:c r="M2" s="1"/>
      <x:c r="N2" s="1"/>
      <x:c r="O2" s="1"/>
      <x:c r="P2" s="1"/>
      <x:c r="Q2" s="1"/>
      <x:c r="R2" s="1"/>
      <x:c r="S2" s="1"/>
      <x:c r="T2" s="1"/>
    </x:row>
    <x:row r="3" ht="22" customHeight="1">
      <x:c r="A3" s="5" t="str">
        <x:v>344カード／309企業名キー。テーマ重複を含む456対応行。AI見積の直接事例と図面管理等の関連用途を区別。</x:v>
      </x:c>
      <x:c r="B3" s="5"/>
      <x:c r="C3" s="5"/>
      <x:c r="D3" s="5"/>
      <x:c r="E3" s="5"/>
      <x:c r="F3" s="5"/>
      <x:c r="G3" s="5"/>
      <x:c r="H3" s="5"/>
      <x:c r="I3" s="5"/>
      <x:c r="J3" s="5"/>
      <x:c r="K3" s="5"/>
      <x:c r="L3" s="5"/>
      <x:c r="M3" s="5"/>
      <x:c r="N3" s="5"/>
      <x:c r="O3" s="5"/>
      <x:c r="P3" s="5"/>
      <x:c r="Q3" s="5"/>
      <x:c r="R3" s="5"/>
      <x:c r="S3" s="5"/>
      <x:c r="T3" s="5"/>
    </x:row>
    <x:row r="4" ht="22" customHeight="1">
      <x:c r="A4" s="5" t="str">
        <x:v>10/19分類整理。57事例の詳細比較と一次分類を区別。両年原典があっても機能差未判定の場合あり。2024未掲載を新規発明としない。</x:v>
      </x:c>
      <x:c r="B4" s="5"/>
      <x:c r="C4" s="5"/>
      <x:c r="D4" s="5"/>
      <x:c r="E4" s="5"/>
      <x:c r="F4" s="5"/>
      <x:c r="G4" s="5"/>
      <x:c r="H4" s="5"/>
      <x:c r="I4" s="5"/>
      <x:c r="J4" s="5"/>
      <x:c r="K4" s="5"/>
      <x:c r="L4" s="5"/>
      <x:c r="M4" s="5"/>
      <x:c r="N4" s="5"/>
      <x:c r="O4" s="5"/>
      <x:c r="P4" s="5"/>
      <x:c r="Q4" s="5"/>
      <x:c r="R4" s="5"/>
      <x:c r="S4" s="5"/>
      <x:c r="T4" s="5"/>
    </x:row>
    <x:row r="5">
      <x:c r="A5" s="1"/>
      <x:c r="B5" s="1"/>
      <x:c r="C5" s="1"/>
      <x:c r="D5" s="1"/>
      <x:c r="E5" s="1"/>
      <x:c r="F5" s="1"/>
      <x:c r="G5" s="1"/>
      <x:c r="H5" s="1"/>
      <x:c r="I5" s="1"/>
      <x:c r="J5" s="1"/>
      <x:c r="K5" s="1"/>
      <x:c r="L5" s="1"/>
      <x:c r="M5" s="1"/>
      <x:c r="N5" s="1"/>
      <x:c r="O5" s="1"/>
      <x:c r="P5" s="1"/>
      <x:c r="Q5" s="1"/>
      <x:c r="R5" s="1"/>
      <x:c r="S5" s="1"/>
      <x:c r="T5" s="1"/>
    </x:row>
    <x:row r="6" ht="34" customHeight="1">
      <x:c r="A6" s="11" t="str">
        <x:v>分野</x:v>
      </x:c>
      <x:c r="B6" s="11" t="str">
        <x:v>対象の仕事・技術テーマ</x:v>
      </x:c>
      <x:c r="C6" s="11" t="str">
        <x:v>企業名</x:v>
      </x:c>
      <x:c r="D6" s="11" t="str">
        <x:v>製品・展示</x:v>
      </x:c>
      <x:c r="E6" s="11" t="str">
        <x:v>2026ブース</x:v>
      </x:c>
      <x:c r="F6" s="11" t="str">
        <x:v>対象の仕事〈用途整理〉</x:v>
      </x:c>
      <x:c r="G6" s="11" t="str">
        <x:v>使う技術・公式説明の要約または抜粋</x:v>
      </x:c>
      <x:c r="H6" s="11" t="str">
        <x:v>減らしたい負担〈分析〉</x:v>
      </x:c>
      <x:c r="I6" s="11" t="str">
        <x:v>2024年の説明・基準点</x:v>
      </x:c>
      <x:c r="J6" s="11" t="str">
        <x:v>2026年の説明・展示予定</x:v>
      </x:c>
      <x:c r="K6" s="11" t="str">
        <x:v>差分の読み方〈分析〉</x:v>
      </x:c>
      <x:c r="L6" s="11" t="str">
        <x:v>比較段階</x:v>
      </x:c>
      <x:c r="M6" s="11" t="str">
        <x:v>整理の深さ</x:v>
      </x:c>
      <x:c r="N6" s="11" t="str">
        <x:v>関連用途の境界</x:v>
      </x:c>
      <x:c r="O6" s="11" t="str">
        <x:v>人の役割・未確認</x:v>
      </x:c>
      <x:c r="P6" s="11" t="str">
        <x:v>展示確度・段階</x:v>
      </x:c>
      <x:c r="Q6" s="11" t="str">
        <x:v>カードID</x:v>
      </x:c>
      <x:c r="R6" s="11" t="str">
        <x:v>2026公式出展ページURL</x:v>
      </x:c>
      <x:c r="S6" s="11" t="str">
        <x:v>2024公式出展ページURL</x:v>
      </x:c>
      <x:c r="T6" s="11" t="str">
        <x:v>根拠ID・URL・該当箇所</x:v>
      </x:c>
    </x:row>
    <x:row r="7" ht="155" customHeight="1">
      <x:c r="A7" s="7" t="str">
        <x:v>生産準備</x:v>
      </x:c>
      <x:c r="B7" s="7" t="str">
        <x:v>図面検索・見積作成</x:v>
      </x:c>
      <x:c r="C7" s="20" t="str">
        <x:v>ものレボ</x:v>
      </x:c>
      <x:c r="D7" s="7" t="str">
        <x:v>MonoRevo：類似図面検索・自動見積</x:v>
      </x:c>
      <x:c r="E7" s="7" t="str">
        <x:v>W3042</x:v>
      </x:c>
      <x:c r="F7" s="7" t="str">
        <x:v>過去図面を探し見積を作る</x:v>
      </x:c>
      <x:c r="G7" s="7" t="str">
        <x:v>類似図面検索と自動見積を説明。</x:v>
      </x:c>
      <x:c r="H7" s="7" t="str">
        <x:v>図面・原価・調達情報を探し、見積等を作る反復作業の負担</x:v>
      </x:c>
      <x:c r="I7" s="7" t="str">
        <x:v>2024詳細なし</x:v>
      </x:c>
      <x:c r="J7" s="7" t="str">
        <x:v>2026は図面検索・見積を記載</x:v>
      </x:c>
      <x:c r="K7" s="7" t="str">
        <x:v>2024個別比較不能。</x:v>
      </x:c>
      <x:c r="L7" s="7" t="str">
        <x:v>個別比較あり</x:v>
      </x:c>
      <x:c r="M7" s="7" t="str">
        <x:v>詳細比較済み</x:v>
      </x:c>
      <x:c r="N7" s="7" t="str"/>
      <x:c r="O7" s="7" t="str">
        <x:v>見積前提の設定・確定者、計算ロジックは未確認。</x:v>
      </x:c>
      <x:c r="P7" s="7" t="str">
        <x:v>JIMTOF2026公式カタログ掲載・現地未確認
2026展示予定・提供段階未確認</x:v>
      </x:c>
      <x:c r="Q7" s="7" t="str">
        <x:v>FC028</x:v>
      </x:c>
      <x:c t="str" r="R7" s="21">
        <x:f>HYPERLINK("https://www.jimtof.org/search/jp/ESdetails?e=sccKfxE4bYo","JIMTOF2026 出展ページ")</x:f>
        <x:v>JIMTOF2026 出展ページ</x:v>
      </x:c>
      <x:c r="S7" s="21" t="str"/>
      <x:c r="T7" s="7" t="str">
        <x:v>EOV-V014-2026-1: https://www.jimtof.org/search/jp/ESdetails?e=sccKfxE4bYo
該当箇所: main &gt; div.col-md-8.mb-5 の出展紹介、見出し「主な出展物」直後</x:v>
      </x:c>
    </x:row>
    <x:row r="8" ht="155" customHeight="1">
      <x:c r="A8" s="7" t="str">
        <x:v>生産準備</x:v>
      </x:c>
      <x:c r="B8" s="7" t="str">
        <x:v>図面検索・見積作成</x:v>
      </x:c>
      <x:c r="C8" s="20" t="str">
        <x:v>テクノア</x:v>
      </x:c>
      <x:c r="D8" s="7" t="str">
        <x:v>TECHS系：スマホ実績・購買API</x:v>
      </x:c>
      <x:c r="E8" s="7" t="str">
        <x:v>S3009</x:v>
      </x:c>
      <x:c r="F8" s="7" t="str">
        <x:v>購買見積・発注・受入と実績入力</x:v>
      </x:c>
      <x:c r="G8" s="7" t="str">
        <x:v>TECHSの購買APIとスマートフォン実績入力。部品の加工見積AIとは別。</x:v>
      </x:c>
      <x:c r="H8" s="7" t="str">
        <x:v>生産・品質・在庫・購買の分散情報、現場入力と転記の負担</x:v>
      </x:c>
      <x:c r="I8" s="7" t="str">
        <x:v>AI・IoT、生産管理4500社超を既に掲載</x:v>
      </x:c>
      <x:c r="J8" s="7" t="str">
        <x:v>購買API・スマホ機能を具体化</x:v>
      </x:c>
      <x:c r="K8" s="7" t="str">
        <x:v>出展説明・公式資料の記載比較。初発明年・実演成功・性能向上を証明するものではない。</x:v>
      </x:c>
      <x:c r="L8" s="7" t="str">
        <x:v>比較記録あり</x:v>
      </x:c>
      <x:c r="M8" s="7" t="str">
        <x:v>個別タスク整理</x:v>
      </x:c>
      <x:c r="N8" s="7" t="str">
        <x:v>関連（購買API）。加工原価見積AIとは別。</x:v>
      </x:c>
      <x:c r="O8" s="7" t="str">
        <x:v>AIによる自律購買や全体計画の確定とは未確認</x:v>
      </x:c>
      <x:c r="P8" s="7" t="str">
        <x:v>JIMTOF2026公式カタログ掲載・現地未確認
2026展示予定・提供段階未確認</x:v>
      </x:c>
      <x:c r="Q8" s="7" t="str">
        <x:v>FC061</x:v>
      </x:c>
      <x:c t="str" r="R8" s="21">
        <x:f>HYPERLINK("https://www.jimtof.org/search/jp/ESdetails?e=sSRmH-KuV8U","JIMTOF2026 出展ページ")</x:f>
        <x:v>JIMTOF2026 出展ページ</x:v>
      </x:c>
      <x:c t="str" r="S8" s="21">
        <x:f>HYPERLINK("https://www.jimtof.org/2024/search/jp/ESdetails?e=lmqsWTyiVAY","JIMTOF2024 出展ページ")</x:f>
        <x:v>JIMTOF2024 出展ページ</x:v>
      </x:c>
      <x:c r="T8" s="7" t="str">
        <x:v>EOV-V040-2024-1: https://www.jimtof.org/2024/search/jp/ESdetails?e=lmqsWTyiVAY
該当箇所: main &gt; div.col-md-8.mb-5 の出展紹介、見出し「主な出展物」直後
EOV-V040-2026-1: https://www.jimtof.org/search/jp/ESdetails?e=sSRmH-KuV8U
該当箇所: main &gt; div.col-md-8.mb-5 の出展紹介、見出し「主な出展物」直後</x:v>
      </x:c>
    </x:row>
    <x:row r="9" ht="155" customHeight="1">
      <x:c r="A9" s="7" t="str">
        <x:v>生産準備</x:v>
      </x:c>
      <x:c r="B9" s="7" t="str">
        <x:v>図面検索・見積作成</x:v>
      </x:c>
      <x:c r="C9" s="20" t="str">
        <x:v>匠技研工業</x:v>
      </x:c>
      <x:c r="D9" s="7" t="str">
        <x:v>匠フォース：業務AIエージェント</x:v>
      </x:c>
      <x:c r="E9" s="7" t="str">
        <x:v>S3011</x:v>
      </x:c>
      <x:c r="F9" s="7" t="str">
        <x:v>図面と原価情報から見積書案を作る</x:v>
      </x:c>
      <x:c r="G9" s="7" t="str">
        <x:v>図面認識・類似案件参照・原価計算から見積書案を作る。</x:v>
      </x:c>
      <x:c r="H9" s="7" t="str">
        <x:v>図面・原価・調達情報を探し、見積等を作る反復作業の負担</x:v>
      </x:c>
      <x:c r="I9" s="7" t="str">
        <x:v>2024詳細なし</x:v>
      </x:c>
      <x:c r="J9" s="7" t="str">
        <x:v>2026/7/17のメーカー発表で、引合メール受領・図面認識・原価計算・類似参照・見積書生成と、人の確認修正承認・再学習を具体化。</x:v>
      </x:c>
      <x:c r="K9" s="7" t="str">
        <x:v>2024比較不能。2026/7の企業発表で一連の処理を具体化。</x:v>
      </x:c>
      <x:c r="L9" s="7" t="str">
        <x:v>個別比較あり</x:v>
      </x:c>
      <x:c r="M9" s="7" t="str">
        <x:v>詳細比較済み</x:v>
      </x:c>
      <x:c r="N9" s="7" t="str"/>
      <x:c r="O9" s="7" t="str">
        <x:v>担当者が根拠を確認・修正・承認。社外自動送信は未確認。</x:v>
      </x:c>
      <x:c r="P9" s="7" t="str">
        <x:v>JIMTOF2026公式カタログ掲載・現地未確認
2026年7月に新プロダクト発表。顧客別提供・JIMTOF展示版の権限は要確認</x:v>
      </x:c>
      <x:c r="Q9" s="7" t="str">
        <x:v>FC062</x:v>
      </x:c>
      <x:c t="str" r="R9" s="21">
        <x:f>HYPERLINK("https://www.jimtof.org/search/jp/ESdetails?e=i_4zCxJP258","JIMTOF2026 出展ページ")</x:f>
        <x:v>JIMTOF2026 出展ページ</x:v>
      </x:c>
      <x:c r="S9" s="21" t="str"/>
      <x:c r="T9" s="7" t="str">
        <x:v>EOV-V041-2026-1: https://www.jimtof.org/search/jp/ESdetails?e=i_4zCxJP258
該当箇所: main &gt; div.col-md-8.mb-5 の出展紹介、見出し「主な出展物」直後
EDP-05: https://prtimes.jp/main/html/rd/p/000000031.000057137.html
該当箇所: 見積金額算出／人の修正による再学習／引合受領から見積書作成</x:v>
      </x:c>
    </x:row>
    <x:row r="10" ht="155" customHeight="1">
      <x:c r="A10" s="7" t="str">
        <x:v>生産準備</x:v>
      </x:c>
      <x:c r="B10" s="7" t="str">
        <x:v>図面検索・見積作成</x:v>
      </x:c>
      <x:c r="C10" s="20" t="str">
        <x:v>株式会社ゴードーソリューション</x:v>
      </x:c>
      <x:c r="D10" s="7" t="str">
        <x:v>新製品「NAZCA5 GEMBACO」をはじめ、製造現場のデジタル化を支援する製品を展示します。</x:v>
      </x:c>
      <x:c r="E10" s="7" t="str">
        <x:v>S4009</x:v>
      </x:c>
      <x:c r="F10" s="7" t="str">
        <x:v>図面管理・CAM・稼働可視化</x:v>
      </x:c>
      <x:c r="G10" s="7" t="str">
        <x:v>NAZCA5 GEMBACO、CAD/CAM、LINKA3を紹介。図面管理へのAI使用は未確認。</x:v>
      </x:c>
      <x:c r="H10" s="7" t="str">
        <x:v>過去図面と原価を探し、案件ごとに見積を組み立てる負担。 ／ 工具・機械・段取り制約を織り込む工程作成の技能依存。 ／ 現物・工具マスター・進捗が分断し変更に追従しにくい。 ／ 形状の設計変更や加工前の確認に手間がかかる。 ／ 図面・工具・品質・工程情報が別々に保存され、再利用しにくい。</x:v>
      </x:c>
      <x:c r="I10" s="7" t="str">
        <x:v>2024原典抜粋：ゴードーソリューションは、CAD/CAMや加工シミュレーション・NCプログラム通信など、NC工作機械向けソフトウェアの開発から販売・サポートまでをすべて自社で行っているソフトウェアメーカーです。 ナスカの愛称で親しまれている当社製品は、これまで多くのお客様にご愛顧いただき、シリーズ累計21,000事業所に導入いただいています。（2023年3月時点） 今回は、生産設備向けIoTシステム「Nazca Neo Linka」をはじめ、CAD/CAM、図面管理システムのデモンストレーションを行います。 「Nazca Neo </x:v>
      </x:c>
      <x:c r="J10" s="7" t="str">
        <x:v>2026原典抜粋：ゴードーソリューションは、CAD/CAMや加工シミュレーション、NCプログラム通信など、NC工作機械向けソフトウェアの開発から販売・サポートまでを一貫して自社で行うソフトウェアメーカーです。 / 今回は、加工現場向け図面＆データ管理ソフト「NAZCA5 GEMBACO」をはじめ、CAD/CAM製品や、IoTによる工場の見える化システム「LINKA3」を展示します。 / また、会議棟では「加工現場のデータ活用DX」をテーマにした実践的なセ</x:v>
      </x:c>
      <x:c r="K10" s="7" t="str">
        <x:v>原典記述の対照。個別機能の追加・性能差・初登場年は未判定。</x:v>
      </x:c>
      <x:c r="L10" s="7" t="str">
        <x:v>両年説明あり・機能差未判定</x:v>
      </x:c>
      <x:c r="M10" s="7" t="str">
        <x:v>出展説明の一次分類</x:v>
      </x:c>
      <x:c r="N10" s="7" t="str">
        <x:v>関連（図面・文書管理）。AI見積の直接事例ではない。</x:v>
      </x:c>
      <x:c r="O10" s="7" t="str">
        <x:v>承認・例外対応・停止・復帰の境界は未確認</x:v>
      </x:c>
      <x:c r="P10" s="7" t="str">
        <x:v>2026公式カタログ掲載・現地未確認
2026展示予定。既存製品・参考出展・構想等は原典で個別確認</x:v>
      </x:c>
      <x:c r="Q10" s="7" t="str">
        <x:v>AC074</x:v>
      </x:c>
      <x:c t="str" r="R10" s="21">
        <x:f>HYPERLINK("https://www.jimtof.org/search/jp/ESdetails?e=oO-G_YDcimE","JIMTOF2026 出展ページ")</x:f>
        <x:v>JIMTOF2026 出展ページ</x:v>
      </x:c>
      <x:c t="str" r="S10" s="21">
        <x:f>HYPERLINK("https://www.jimtof.org/2024/search/jp/ESdetails?e=GozGZRxlviw","JIMTOF2024 出展ページ")</x:f>
        <x:v>JIMTOF2024 出展ページ</x:v>
      </x:c>
      <x:c r="T10" s="7" t="str">
        <x:v>EEX-EXH-2026-a64bab179251039a: https://www.jimtof.org/search/jp/ESdetails?e=oO-G_YDcimE
該当箇所: 出展紹介・主な出展物。追加カードの原典抜粋で検索
EEX-EXH-2024-a1ef24027ba76956: https://www.jimtof.org/2024/search/jp/ESdetails?e=GozGZRxlviw
該当箇所: 出展紹介・主な出展物。追加カードの原典抜粋で検索</x:v>
      </x:c>
    </x:row>
    <x:row r="11" ht="155" customHeight="1">
      <x:c r="A11" s="7" t="str">
        <x:v>生産準備</x:v>
      </x:c>
      <x:c r="B11" s="7" t="str">
        <x:v>図面検索・見積作成</x:v>
      </x:c>
      <x:c r="C11" s="20" t="str">
        <x:v>株式会社Fact Base</x:v>
      </x:c>
      <x:c r="D11" s="7" t="str">
        <x:v>ズメーン：図面・関連文書管理とAI</x:v>
      </x:c>
      <x:c r="E11" s="7" t="str">
        <x:v>S3017</x:v>
      </x:c>
      <x:c r="F11" s="7" t="str">
        <x:v>図面を登録・検索し関連文書と結ぶ</x:v>
      </x:c>
      <x:c r="G11" s="7" t="str">
        <x:v>図面のOCR登録と関連文書管理。顧客事例では読取り結果を人が修正。</x:v>
      </x:c>
      <x:c r="H11" s="7" t="str">
        <x:v>過去図面と原価を探し、案件ごとに見積を組み立てる負担。 ／ 図面・工具・品質・工程情報が別々に保存され、再利用しにくい。</x:v>
      </x:c>
      <x:c r="I11" s="7" t="str">
        <x:v>同一名称の2024詳細なし。</x:v>
      </x:c>
      <x:c r="J11" s="7" t="str">
        <x:v>図面を検索し、見積・検査書等を紐づけ管理。AIで登録から運用を支援との説明。</x:v>
      </x:c>
      <x:c r="K11" s="7" t="str">
        <x:v>2024の同名詳細なし。2026初登場とは断定しない。</x:v>
      </x:c>
      <x:c r="L11" s="7" t="str">
        <x:v>個別比較あり</x:v>
      </x:c>
      <x:c r="M11" s="7" t="str">
        <x:v>詳細比較済み</x:v>
      </x:c>
      <x:c r="N11" s="7" t="str"/>
      <x:c r="O11" s="7" t="str">
        <x:v>登録・読取り確認は人。図面の誤関連や改訂の検出は未確認。</x:v>
      </x:c>
      <x:c r="P11" s="7" t="str">
        <x:v>2026公式カタログ掲載・現地未確認
2026展示予定。既存製品・参考出展・構想等は原典で個別確認</x:v>
      </x:c>
      <x:c r="Q11" s="7" t="str">
        <x:v>AC195</x:v>
      </x:c>
      <x:c t="str" r="R11" s="21">
        <x:f>HYPERLINK("https://www.jimtof.org/search/jp/ESdetails?e=hZaNogHdQM4","JIMTOF2026 出展ページ")</x:f>
        <x:v>JIMTOF2026 出展ページ</x:v>
      </x:c>
      <x:c r="S11" s="21" t="str"/>
      <x:c r="T11" s="7" t="str">
        <x:v>EEX-EXH-2026-3b6a1de81c17dfee: https://www.jimtof.org/search/jp/ESdetails?e=hZaNogHdQM4
該当箇所: 出展紹介・主な出展物。追加カードの原典抜粋で検索
EDP-11: https://lp.zume-n.com/case-1/sagadainichi
該当箇所: AI・OCR文字読取／人の目で確認・補正／関連資料・改訂履歴</x:v>
      </x:c>
    </x:row>
    <x:row r="12" ht="155" customHeight="1">
      <x:c r="A12" s="7" t="str">
        <x:v>生産準備</x:v>
      </x:c>
      <x:c r="B12" s="7" t="str">
        <x:v>図面検索・見積作成</x:v>
      </x:c>
      <x:c r="C12" s="20" t="str">
        <x:v>株式会社山善</x:v>
      </x:c>
      <x:c r="D12" s="7" t="str">
        <x:v>コンパクトマシニングセンタ（ブラザー：SPEEDIO S300Xd2）</x:v>
      </x:c>
      <x:c r="E12" s="7" t="str">
        <x:v>S1056</x:v>
      </x:c>
      <x:c r="F12" s="7" t="str">
        <x:v>加工・計測セルと図面・設備管理</x:v>
      </x:c>
      <x:c r="G12" s="7" t="str">
        <x:v>加工機・協働ロボット・三次元測定機のセルと「ゲンバト」を紹介。</x:v>
      </x:c>
      <x:c r="H12" s="7" t="str">
        <x:v>過去図面と原価を探し、案件ごとに見積を組み立てる負担。 ／ 品種・量の変化に合わせて人の供給往復を減らす。 ／ 測定の段取り・搬送・記録に人手が残り、結果が加工改善につながりにくい。 ／ 図面・工具・品質・工程情報が別々に保存され、再利用しにくい。</x:v>
      </x:c>
      <x:c r="I12" s="7" t="str">
        <x:v>2024原典抜粋：製造『現場と』ともに、「ゲンバト」。 図面管理や不良記録、設備管理など、製造現場のデジタル化をサポートするものづくり企業向け複合型 SaaS プラットフォーム「ゲンバト」を出展致します。 製造業を取り巻く環境は大きく変わり、人手不足、技術（事業）承継、技術開発の停滞、営業力不足など課題は様々です。ゲンバトは、これらの課題を解決する様々なサービスを使いたいものだけ、すぐに始められる、安価なサブスクリプションでご提供します。 サービスの品揃えは、生産性向上、事業機会の創出支援、技術（事業）承継のサポート、ホームページ作</x:v>
      </x:c>
      <x:c r="J12" s="7" t="str">
        <x:v>2026原典抜粋：自動化・省人化をテーマに、コンパクトマシニングセンタ、協働ロボット、現場設置型三次元測定機を融合した自動化セルを実機展示します。 / また、設備管理や図面管理など製造現場のデジタル化を支援する「ゲンバト」も展示します。 / 自動化からデジタル化まで、製造現場の課題解決につながる実践的なソリューションをご覧いただけます。 / 協働ロボット（ファナック：CRX-20iA）</x:v>
      </x:c>
      <x:c r="K12" s="7" t="str">
        <x:v>原典記述の対照。個別機能の追加・性能差・初登場年は未判定。</x:v>
      </x:c>
      <x:c r="L12" s="7" t="str">
        <x:v>両年説明あり・機能差未判定</x:v>
      </x:c>
      <x:c r="M12" s="7" t="str">
        <x:v>出展説明の一次分類</x:v>
      </x:c>
      <x:c r="N12" s="7" t="str">
        <x:v>関連（図面・文書管理）。AI見積の直接事例ではない。</x:v>
      </x:c>
      <x:c r="O12" s="7" t="str">
        <x:v>承認・例外対応・停止・復帰の境界は未確認</x:v>
      </x:c>
      <x:c r="P12" s="7" t="str">
        <x:v>2026公式カタログ掲載・現地未確認
2026展示予定。既存製品・参考出展・構想等は原典で個別確認</x:v>
      </x:c>
      <x:c r="Q12" s="7" t="str">
        <x:v>AC232</x:v>
      </x:c>
      <x:c t="str" r="R12" s="21">
        <x:f>HYPERLINK("https://www.jimtof.org/search/jp/ESdetails?e=KSoLpsGPfRQ","JIMTOF2026 出展ページ")</x:f>
        <x:v>JIMTOF2026 出展ページ</x:v>
      </x:c>
      <x:c t="str" r="S12" s="21">
        <x:f>HYPERLINK("https://www.jimtof.org/2024/search/jp/ESdetails?e=ef8JkkY-hq4","JIMTOF2024 出展ページ")</x:f>
        <x:v>JIMTOF2024 出展ページ</x:v>
      </x:c>
      <x:c r="T12" s="7" t="str">
        <x:v>EEX-EXH-2026-4be1498c7e4dd9c4: https://www.jimtof.org/search/jp/ESdetails?e=KSoLpsGPfRQ
該当箇所: 出展紹介・主な出展物。追加カードの原典抜粋で検索
EEX-EXH-2024-665608a64c76471c: https://www.jimtof.org/2024/search/jp/ESdetails?e=ef8JkkY-hq4
該当箇所: 出展紹介・主な出展物。追加カードの原典抜粋で検索</x:v>
      </x:c>
    </x:row>
    <x:row r="13" ht="155" customHeight="1">
      <x:c r="A13" s="7" t="str">
        <x:v>生産準備</x:v>
      </x:c>
      <x:c r="B13" s="7" t="str">
        <x:v>工程・CAMプログラムの作成</x:v>
      </x:c>
      <x:c r="C13" s="20" t="str">
        <x:v>Hexagon Manufacturing Intelligence</x:v>
      </x:c>
      <x:c r="D13" s="7" t="str">
        <x:v>ESPRIT EDGE ProPlanAI</x:v>
      </x:c>
      <x:c r="E13" s="7" t="str">
        <x:v>E2013</x:v>
      </x:c>
      <x:c r="F13" s="7" t="str">
        <x:v>新しい部品の加工工程を考える</x:v>
      </x:c>
      <x:c r="G13" s="7" t="str">
        <x:v>過去ジョブと形状特徴から工程を予測するProPlanAI。</x:v>
      </x:c>
      <x:c r="H13" s="7" t="str">
        <x:v>加工工程を決める技能への依存と、過去の加工ノウハウの再利用</x:v>
      </x:c>
      <x:c r="I13" s="7" t="str">
        <x:v>同名2024詳細なし。別名称・旧法人との照合は未完了</x:v>
      </x:c>
      <x:c r="J13" s="7" t="str">
        <x:v>2025.2で導入説明、2026.1で旋削・複合・スイス型の商用範囲を説明</x:v>
      </x:c>
      <x:c r="K13" s="7" t="str">
        <x:v>2024比較不能。2025の旋削betaから2026の商用範囲拡張を確認。</x:v>
      </x:c>
      <x:c r="L13" s="7" t="str">
        <x:v>個別比較あり</x:v>
      </x:c>
      <x:c r="M13" s="7" t="str">
        <x:v>詳細比較済み</x:v>
      </x:c>
      <x:c r="N13" s="7" t="str"/>
      <x:c r="O13" s="7" t="str">
        <x:v>過去データを準備。確認画面はあるが最終NC採用権限は未公表。</x:v>
      </x:c>
      <x:c r="P13" s="7" t="str">
        <x:v>JIMTOF2026公式カタログ掲載・現地未確認
メーカーが商用提供範囲を説明・顧客実績未確認</x:v>
      </x:c>
      <x:c r="Q13" s="7" t="str">
        <x:v>FC018</x:v>
      </x:c>
      <x:c t="str" r="R13" s="21">
        <x:f>HYPERLINK("https://www.jimtof.org/search/jp/ESdetails?e=6l20Qo0pjl4","JIMTOF2026 出展ページ")</x:f>
        <x:v>JIMTOF2026 出展ページ</x:v>
      </x:c>
      <x:c r="S13" s="21" t="str"/>
      <x:c r="T13" s="7" t="str">
        <x:v>EOV-V007-2026-2: https://www.jimtof.org/search/jp/ESdetails?e=6l20Qo0pjl4
該当箇所: main &gt; div.col-md-8.mb-5 の出展紹介、見出し「主な出展物」直後
EOV-W02: https://hexagon.com/products/esprit-edge/release-highlights
該当箇所: 2025.2 PROPLANAI、2026.1 ProPlanAI for Turning, Mill-Turn &amp; Swiss</x:v>
      </x:c>
    </x:row>
    <x:row r="14" ht="155" customHeight="1">
      <x:c r="A14" s="7" t="str">
        <x:v>生産準備</x:v>
      </x:c>
      <x:c r="B14" s="7" t="str">
        <x:v>工程・CAMプログラムの作成</x:v>
      </x:c>
      <x:c r="C14" s="20" t="str">
        <x:v>ジェービーエムエンジニアリング</x:v>
      </x:c>
      <x:c r="D14" s="7" t="str">
        <x:v>Mastercam＋CAMAssist</x:v>
      </x:c>
      <x:c r="E14" s="7" t="str">
        <x:v>E2002</x:v>
      </x:c>
      <x:c r="F14" s="7" t="str">
        <x:v>部品形状から加工方法・工具経路を作る</x:v>
      </x:c>
      <x:c r="G14" s="7" t="str">
        <x:v>工具・材料・機械等の条件から加工戦略・経路・条件案を生成。</x:v>
      </x:c>
      <x:c r="H14" s="7" t="str">
        <x:v>CAM・NC作成にかかる手作業と加工ノウハウへの依存</x:v>
      </x:c>
      <x:c r="I14" s="7" t="str">
        <x:v>2024のJBM出展説明はMastercam等を掲載。開発元CloudNCは2024/7/25にMastercam向けCAM Assist提供開始を公式発表（北米販売説明）。</x:v>
      </x:c>
      <x:c r="J14" s="7" t="str">
        <x:v>CAMAssistの手作業自動化を追加記載</x:v>
      </x:c>
      <x:c r="K14" s="7" t="str">
        <x:v>Mastercam対応は2024/7に発表済み。2026の出展記述が具体化。</x:v>
      </x:c>
      <x:c r="L14" s="7" t="str">
        <x:v>個別比較あり</x:v>
      </x:c>
      <x:c r="M14" s="7" t="str">
        <x:v>詳細比較済み</x:v>
      </x:c>
      <x:c r="N14" s="7" t="str"/>
      <x:c r="O14" s="7" t="str">
        <x:v>人が前提を設定し、戦略案を確認・調整してCAMへ送る。</x:v>
      </x:c>
      <x:c r="P14" s="7" t="str">
        <x:v>JIMTOF2026公式カタログ掲載・現地未確認
2026展示予定・提供段階未確認</x:v>
      </x:c>
      <x:c r="Q14" s="7" t="str">
        <x:v>FC020</x:v>
      </x:c>
      <x:c t="str" r="R14" s="21">
        <x:f>HYPERLINK("https://www.jimtof.org/search/jp/ESdetails?e=VrAjMTKmxdw","JIMTOF2026 出展ページ")</x:f>
        <x:v>JIMTOF2026 出展ページ</x:v>
      </x:c>
      <x:c t="str" r="S14" s="21">
        <x:f>HYPERLINK("https://www.jimtof.org/2024/search/jp/ESdetails?e=G-8gydwhMvE","JIMTOF2024 出展ページ")</x:f>
        <x:v>JIMTOF2024 出展ページ</x:v>
      </x:c>
      <x:c r="T14" s="7" t="str">
        <x:v>EOV-V008-2024-1: https://www.jimtof.org/2024/search/jp/ESdetails?e=G-8gydwhMvE
該当箇所: main &gt; div.col-md-8.mb-5 の出展紹介、見出し「主な出展物」直後
EOV-V008-2024-2: https://www.jimtof.org/2024/search/jp/ESdetails?e=ZBxZW2vyjUw
該当箇所: main &gt; div.col-md-8.mb-5 の出展紹介、見出し「主な出展物」直後
EOV-V008-2026-1: https://www.jimtof.org/search/jp/ESdetails?e=VrAjMTKmxdw
該当箇所: main &gt; div.col-md-8.mb-5 の出展紹介、見出し「主な出展物」直後
EDP-09: https://www.cloudnc.com/ja/mastercam
該当箇所: 仕組みステップ1〜4／FAQの対象加工・顧客データ学習の否定
EDP-10: https://www.cloudnc.com/news-room/cam-assist-the-first-ai-plug-in-for-cam-is-now-available-for-mastercam
該当箇所: July 25, 2024／3軸・3+2軸向け。北米販売開始の説明
ERF-03: https://www.cloudnc.com/ja/mastercam
該当箇所: 仕組みStep 2–4／FAQ：顧客データで学習しない、加工性評価、編集可能CAM</x:v>
      </x:c>
    </x:row>
    <x:row r="15" ht="155" customHeight="1">
      <x:c r="A15" s="7" t="str">
        <x:v>生産準備</x:v>
      </x:c>
      <x:c r="B15" s="7" t="str">
        <x:v>工程・CAMプログラムの作成</x:v>
      </x:c>
      <x:c r="C15" s="20" t="str">
        <x:v>オートデスク</x:v>
      </x:c>
      <x:c r="D15" s="7" t="str">
        <x:v>Fusion／FeatureCAM／PLM連携</x:v>
      </x:c>
      <x:c r="E15" s="7" t="str">
        <x:v>S3019</x:v>
      </x:c>
      <x:c r="F15" s="7" t="str">
        <x:v>設計製造データ連携</x:v>
      </x:c>
      <x:c r="G15" s="7" t="str">
        <x:v>CAD/CAMとPLM・AI支援を組み合わせる提案</x:v>
      </x:c>
      <x:c r="H15" s="7" t="str">
        <x:v>設計・加工準備・製造間のデータ分断と設計資産の再利用</x:v>
      </x:c>
      <x:c r="I15" s="7" t="str">
        <x:v>クラウドFusionとFeatureCAM自動プログラミングを掲載</x:v>
      </x:c>
      <x:c r="J15" s="7" t="str">
        <x:v>AI・PLMを強調。個別AI方式の比較はできない</x:v>
      </x:c>
      <x:c r="K15" s="7" t="str">
        <x:v>出展説明・公式資料の記載比較。初発明年・実演成功・性能向上を証明するものではない。</x:v>
      </x:c>
      <x:c r="L15" s="7" t="str">
        <x:v>比較記録あり</x:v>
      </x:c>
      <x:c r="M15" s="7" t="str">
        <x:v>個別タスク整理</x:v>
      </x:c>
      <x:c r="N15" s="7" t="str"/>
      <x:c r="O15" s="7" t="str">
        <x:v>AIが担当する具体タスクと自動確定範囲は未確認</x:v>
      </x:c>
      <x:c r="P15" s="7" t="str">
        <x:v>JIMTOF2026公式カタログ掲載・現地未確認
2026展示予定・提供段階未確認</x:v>
      </x:c>
      <x:c r="Q15" s="7" t="str">
        <x:v>FC023</x:v>
      </x:c>
      <x:c t="str" r="R15" s="21">
        <x:f>HYPERLINK("https://www.jimtof.org/search/jp/ESdetails?e=Y_kC6hMTghk","JIMTOF2026 出展ページ")</x:f>
        <x:v>JIMTOF2026 出展ページ</x:v>
      </x:c>
      <x:c t="str" r="S15" s="21">
        <x:f>HYPERLINK("https://www.jimtof.org/2024/search/jp/ESdetails?e=5CWUqNS_dBw","JIMTOF2024 出展ページ")</x:f>
        <x:v>JIMTOF2024 出展ページ</x:v>
      </x:c>
      <x:c r="T15" s="7" t="str">
        <x:v>EOV-V010-2024-1: https://www.jimtof.org/2024/search/jp/ESdetails?e=5CWUqNS_dBw
該当箇所: main &gt; div.col-md-8.mb-5 の出展紹介、見出し「主な出展物」直後
EOV-V010-2026-1: https://www.jimtof.org/search/jp/ESdetails?e=Y_kC6hMTghk
該当箇所: main &gt; div.col-md-8.mb-5 の出展紹介、見出し「主な出展物」直後</x:v>
      </x:c>
    </x:row>
    <x:row r="16" ht="155" customHeight="1">
      <x:c r="A16" s="7" t="str">
        <x:v>生産準備</x:v>
      </x:c>
      <x:c r="B16" s="7" t="str">
        <x:v>工程・CAMプログラムの作成</x:v>
      </x:c>
      <x:c r="C16" s="20" t="str">
        <x:v>UEL</x:v>
      </x:c>
      <x:c r="D16" s="7" t="str">
        <x:v>BreylSimulator</x:v>
      </x:c>
      <x:c r="E16" s="7" t="str">
        <x:v>S1024</x:v>
      </x:c>
      <x:c r="F16" s="7" t="str">
        <x:v>治具設計</x:v>
      </x:c>
      <x:c r="G16" s="7" t="str">
        <x:v>ルールDBを用いて設計・構成案を提案</x:v>
      </x:c>
      <x:c r="H16" s="7" t="str">
        <x:v>ワーク形状と固定制約に合う治具構成を考える負担</x:v>
      </x:c>
      <x:c r="I16" s="7" t="str">
        <x:v>BreylSimulatorとルールDBを掲載</x:v>
      </x:c>
      <x:c r="J16" s="7" t="str">
        <x:v>同製品に加えAI・XR等を紹介</x:v>
      </x:c>
      <x:c r="K16" s="7" t="str">
        <x:v>出展説明・公式資料の記載比較。初発明年・実演成功・性能向上を証明するものではない。</x:v>
      </x:c>
      <x:c r="L16" s="7" t="str">
        <x:v>比較記録あり</x:v>
      </x:c>
      <x:c r="M16" s="7" t="str">
        <x:v>個別タスク整理</x:v>
      </x:c>
      <x:c r="N16" s="7" t="str"/>
      <x:c r="O16" s="7" t="str">
        <x:v>ルール外の形状や制約、設計採否は要確認。生成AI方式と扱わない</x:v>
      </x:c>
      <x:c r="P16" s="7" t="str">
        <x:v>JIMTOF2026公式カタログ掲載・現地未確認
2026展示予定・提供段階未確認</x:v>
      </x:c>
      <x:c r="Q16" s="7" t="str">
        <x:v>FC060</x:v>
      </x:c>
      <x:c t="str" r="R16" s="21">
        <x:f>HYPERLINK("https://www.jimtof.org/search/jp/ESdetails?e=dBv-8tktfaE","JIMTOF2026 出展ページ")</x:f>
        <x:v>JIMTOF2026 出展ページ</x:v>
      </x:c>
      <x:c t="str" r="S16" s="21">
        <x:f>HYPERLINK("https://www.jimtof.org/2024/search/jp/ESdetails?e=uIeoIsq5v7g","JIMTOF2024 出展ページ")</x:f>
        <x:v>JIMTOF2024 出展ページ</x:v>
      </x:c>
      <x:c r="T16" s="7" t="str">
        <x:v>EOV-V039-2024-1: https://www.jimtof.org/2024/search/jp/ESdetails?e=uIeoIsq5v7g
該当箇所: main &gt; div.col-md-8.mb-5 の出展紹介、見出し「主な出展物」直後
EOV-V039-2026-1: https://www.jimtof.org/search/jp/ESdetails?e=dBv-8tktfaE
該当箇所: main &gt; div.col-md-8.mb-5 の出展紹介、見出し「主な出展物」直後</x:v>
      </x:c>
    </x:row>
    <x:row r="17" ht="155" customHeight="1">
      <x:c r="A17" s="7" t="str">
        <x:v>生産準備</x:v>
      </x:c>
      <x:c r="B17" s="7" t="str">
        <x:v>工程・CAMプログラムの作成</x:v>
      </x:c>
      <x:c r="C17" s="20" t="str">
        <x:v>株式会社インテグラ技術研究所</x:v>
      </x:c>
      <x:c r="D17" s="7" t="str">
        <x:v>[CAMWorks]</x:v>
      </x:c>
      <x:c r="E17" s="7" t="str">
        <x:v>S3069</x:v>
      </x:c>
      <x:c r="F17" s="7" t="str">
        <x:v>CAMの自動プログラミングとNC検証</x:v>
      </x:c>
      <x:c r="G17" s="7" t="str">
        <x:v>CAMWorks・SOLIDWORKS CAMの自動プログラミング、EurekaのGコード検証を紹介。</x:v>
      </x:c>
      <x:c r="H17" s="7" t="str">
        <x:v>工具・機械・段取り制約を織り込む工程作成の技能依存。 ／ 形状の設計変更や加工前の確認に手間がかかる。</x:v>
      </x:c>
      <x:c r="I17" s="7" t="str">
        <x:v>2024原典抜粋：株式会社インテグラ技術研究所では、SOLIDSWORKSに完全統合したCADCAMシステム「CAMWorks」の最新技術をご紹介します。 CAMWorksのメリット ・作業者のスキルに依存しない属人性の低い仕組みを構築し、作業品質を底上げします ・自動化機能によりプログラム作成を能率化し、生産性を向上します ・バーチャルシミュレーション、作業指示書のデジタル化で業務全体を効率化します CAMWorksは、SOLIDWORKSに完全統合したCAMシステムです。 機能特徴の１つである自動フィーチャ認識（AFR）では、3</x:v>
      </x:c>
      <x:c r="J17" s="7" t="str">
        <x:v>2026原典抜粋：「CAD/CAM×3Dプリンター」で実現する３Dモノづくり / 自動プログラミング技術で熟練の加工ノウハウを標準化・デジタル化する「CAMWorks」「SOLIDWORKS CAM」、高精度なGコード検証とシミュレーションで段取り時間を削減する「Eureka」、金型設計の劇的な効率化を実現する「QuickPress」「IMOLD」を一挙にご紹介。 / CAD/CAMによる切削加工技術と3Dプリンターによる積層造形技術を組み合わせ、モノづ</x:v>
      </x:c>
      <x:c r="K17" s="7" t="str">
        <x:v>原典記述の対照。個別機能の追加・性能差・初登場年は未判定。</x:v>
      </x:c>
      <x:c r="L17" s="7" t="str">
        <x:v>両年説明あり・機能差未判定</x:v>
      </x:c>
      <x:c r="M17" s="7" t="str">
        <x:v>出展説明の一次分類</x:v>
      </x:c>
      <x:c r="N17" s="7" t="str"/>
      <x:c r="O17" s="7" t="str">
        <x:v>承認・例外対応・停止・復帰の境界は未確認</x:v>
      </x:c>
      <x:c r="P17" s="7" t="str">
        <x:v>2026公式カタログ掲載・現地未確認
2026展示予定。既存製品・参考出展・構想等は原典で個別確認</x:v>
      </x:c>
      <x:c r="Q17" s="7" t="str">
        <x:v>AC024</x:v>
      </x:c>
      <x:c t="str" r="R17" s="21">
        <x:f>HYPERLINK("https://www.jimtof.org/search/jp/ESdetails?e=xEdNPWdhbs8","JIMTOF2026 出展ページ")</x:f>
        <x:v>JIMTOF2026 出展ページ</x:v>
      </x:c>
      <x:c t="str" r="S17" s="21">
        <x:f>HYPERLINK("https://www.jimtof.org/2024/search/jp/ESdetails?e=pzWRJwR9ZcU","JIMTOF2024 出展ページ")</x:f>
        <x:v>JIMTOF2024 出展ページ</x:v>
      </x:c>
      <x:c r="T17" s="7" t="str">
        <x:v>EEX-EXH-2026-10a39d4f417e3976: https://www.jimtof.org/search/jp/ESdetails?e=xEdNPWdhbs8
該当箇所: 出展紹介・主な出展物。追加カードの原典抜粋で検索
EEX-EXH-2024-80af270591ef2606: https://www.jimtof.org/2024/search/jp/ESdetails?e=pzWRJwR9ZcU
該当箇所: 出展紹介・主な出展物。追加カードの原典抜粋で検索</x:v>
      </x:c>
    </x:row>
    <x:row r="18" ht="155" customHeight="1">
      <x:c r="A18" s="7" t="str">
        <x:v>生産準備</x:v>
      </x:c>
      <x:c r="B18" s="7" t="str">
        <x:v>工程・CAMプログラムの作成</x:v>
      </x:c>
      <x:c r="C18" s="20" t="str">
        <x:v>株式会社Aiソリューションズ</x:v>
      </x:c>
      <x:c r="D18" s="7" t="str">
        <x:v>CAD/CAMシステム</x:v>
      </x:c>
      <x:c r="E18" s="7" t="str">
        <x:v>S4011</x:v>
      </x:c>
      <x:c r="F18" s="7" t="str">
        <x:v>5軸等の加工プログラム作成と事前検証</x:v>
      </x:c>
      <x:c r="G18" s="7" t="str">
        <x:v>hyperMILL・Mastercam・OneCNC・Vericut。AUTOMATION CenterによるCAM自動化を紹介。</x:v>
      </x:c>
      <x:c r="H18" s="7" t="str">
        <x:v>工具・機械・段取り制約を織り込む工程作成の技能依存。 ／ 形状の設計変更や加工前の確認に手間がかかる。</x:v>
      </x:c>
      <x:c r="I18" s="7" t="str">
        <x:v>同一正規化名称の2024詳細なし。新規出展・技術不存在とは判断しない。</x:v>
      </x:c>
      <x:c r="J18" s="7" t="str">
        <x:v>2026原典抜粋：最新のCAD/CAM・NCシミュレーションソリューション「hyperMILL」「Mastercam」「OneCNC」「Vericut」を実演展示いたします。 / 5軸加工の高度化、自動プログラミングによる工数削減、複合加工機への対応、加工前検証による品質向上など、製造現場のさまざまな課題に対応する最新ソリューションをご紹介します。 / 特に高機能5軸CAD/CAMシステム「hyperMILL」では、NCコードベースシミュレーション「VI</x:v>
      </x:c>
      <x:c r="K18" s="7" t="str">
        <x:v>原典記述の対照。個別機能の追加・性能差・初登場年は未判定。</x:v>
      </x:c>
      <x:c r="L18" s="7" t="str">
        <x:v>年度資料不足・比較不能</x:v>
      </x:c>
      <x:c r="M18" s="7" t="str">
        <x:v>出展説明の一次分類</x:v>
      </x:c>
      <x:c r="N18" s="7" t="str"/>
      <x:c r="O18" s="7" t="str">
        <x:v>承認・例外対応・停止・復帰の境界は未確認</x:v>
      </x:c>
      <x:c r="P18" s="7" t="str">
        <x:v>2026公式カタログ掲載・現地未確認
2026展示予定。既存製品・参考出展・構想等は原典で個別確認</x:v>
      </x:c>
      <x:c r="Q18" s="7" t="str">
        <x:v>AC031</x:v>
      </x:c>
      <x:c t="str" r="R18" s="21">
        <x:f>HYPERLINK("https://www.jimtof.org/search/jp/ESdetails?e=DiSAGV9x7AM","JIMTOF2026 出展ページ")</x:f>
        <x:v>JIMTOF2026 出展ページ</x:v>
      </x:c>
      <x:c r="S18" s="21" t="str"/>
      <x:c r="T18" s="7" t="str">
        <x:v>EEX-EXH-2026-9109f51b0514db5c: https://www.jimtof.org/search/jp/ESdetails?e=DiSAGV9x7AM
該当箇所: 出展紹介・主な出展物。追加カードの原典抜粋で検索</x:v>
      </x:c>
    </x:row>
    <x:row r="19" ht="155" customHeight="1">
      <x:c r="A19" s="7" t="str">
        <x:v>生産準備</x:v>
      </x:c>
      <x:c r="B19" s="7" t="str">
        <x:v>工程・CAMプログラムの作成</x:v>
      </x:c>
      <x:c r="C19" s="20" t="str">
        <x:v>オープン・マインド・テクノロジーズ・ジャパン株式会社</x:v>
      </x:c>
      <x:c r="D19" s="7" t="str">
        <x:v>hyperMILL CAD/CAM</x:v>
      </x:c>
      <x:c r="E19" s="7" t="str">
        <x:v>S4007</x:v>
      </x:c>
      <x:c r="F19" s="7" t="str">
        <x:v>CAMプログラミングの自動化</x:v>
      </x:c>
      <x:c r="G19" s="7" t="str">
        <x:v>hyperMILLとプログラミング自動化のコンセプトを紹介。AI方式の詳細は未確認。</x:v>
      </x:c>
      <x:c r="H19" s="7" t="str">
        <x:v>工具・機械・段取り制約を織り込む工程作成の技能依存。</x:v>
      </x:c>
      <x:c r="I19" s="7" t="str">
        <x:v>2024原典抜粋：世界中で高い評価を得ている5軸加工機能だけでなく、2～3D加工・旋削加工・積層加工といった包括的な機能を備えるCAD/CAMソフトウエア「hyperMILL」。特にここ数年で大きな進化を遂げた各種高精度加工機能は高い仕上がり面品位を約束。加えて様々なプロセスの自動化を図るためのツールも複数搭載。また、ポストプロセッサーとNCシミュレーション機能を併せ持ったアプリケーション「VIRTUAL Machining」は各工作機械の構造やストロークリミットを加味したNCデータの最適化や、工作機械側制御装置との間における双方向</x:v>
      </x:c>
      <x:c r="J19" s="7" t="str">
        <x:v>2026原典抜粋：プログラミングの自動化にも力を入れており、他社とは一線を画すOPEN MINDが考える自動化のコンセプトも紹介します。 / hyperMILL CAD/CAM</x:v>
      </x:c>
      <x:c r="K19" s="7" t="str">
        <x:v>原典記述の対照。個別機能の追加・性能差・初登場年は未判定。</x:v>
      </x:c>
      <x:c r="L19" s="7" t="str">
        <x:v>両年説明あり・機能差未判定</x:v>
      </x:c>
      <x:c r="M19" s="7" t="str">
        <x:v>出展説明の一次分類</x:v>
      </x:c>
      <x:c r="N19" s="7" t="str"/>
      <x:c r="O19" s="7" t="str">
        <x:v>承認・例外対応・停止・復帰の境界は未確認</x:v>
      </x:c>
      <x:c r="P19" s="7" t="str">
        <x:v>2026公式カタログ掲載・現地未確認
2026展示予定。既存製品・参考出展・構想等は原典で個別確認</x:v>
      </x:c>
      <x:c r="Q19" s="7" t="str">
        <x:v>AC047</x:v>
      </x:c>
      <x:c t="str" r="R19" s="21">
        <x:f>HYPERLINK("https://www.jimtof.org/search/jp/ESdetails?e=A5CG9Q83cis","JIMTOF2026 出展ページ")</x:f>
        <x:v>JIMTOF2026 出展ページ</x:v>
      </x:c>
      <x:c t="str" r="S19" s="21">
        <x:f>HYPERLINK("https://www.jimtof.org/2024/search/jp/ESdetails?e=U6gS--b_Z9A","JIMTOF2024 出展ページ")</x:f>
        <x:v>JIMTOF2024 出展ページ</x:v>
      </x:c>
      <x:c r="T19" s="7" t="str">
        <x:v>EEX-EXH-2026-f3eec5560e813e09: https://www.jimtof.org/search/jp/ESdetails?e=A5CG9Q83cis
該当箇所: 出展紹介・主な出展物。追加カードの原典抜粋で検索
EEX-EXH-2024-5545fdc3dc1c23e3: https://www.jimtof.org/2024/search/jp/ESdetails?e=U6gS--b_Z9A
該当箇所: 出展紹介・主な出展物。追加カードの原典抜粋で検索
EEX-EXH-2024-919800b94af93a57: https://www.jimtof.org/2024/search/jp/ESdetails?e=rMnHbjaWmnQ
該当箇所: 出展紹介・主な出展物。追加カードの原典抜粋で検索</x:v>
      </x:c>
    </x:row>
    <x:row r="20" ht="155" customHeight="1">
      <x:c r="A20" s="7" t="str">
        <x:v>生産準備</x:v>
      </x:c>
      <x:c r="B20" s="7" t="str">
        <x:v>工程・CAMプログラムの作成</x:v>
      </x:c>
      <x:c r="C20" s="20" t="str">
        <x:v>キャムタス株式会社</x:v>
      </x:c>
      <x:c r="D20" s="7" t="str">
        <x:v>【Speedy mill Next】２D-3Dを統合したCAD環境。同時5軸/３軸加工、2軸加工、複合加工、ワイヤ/レーザー加工など豊富な加工機能。プ</x:v>
      </x:c>
      <x:c r="E20" s="7" t="str">
        <x:v>S3067</x:v>
      </x:c>
      <x:c r="F20" s="7" t="str">
        <x:v>部品・金型の加工プログラム作成</x:v>
      </x:c>
      <x:c r="G20" s="7" t="str">
        <x:v>Speedy mill Next・Cimatron等のCAD/CAM。AIによる工程判断の範囲は未確認。</x:v>
      </x:c>
      <x:c r="H20" s="7" t="str">
        <x:v>工具・機械・段取り制約を織り込む工程作成の技能依存。 ／ 形状の設計変更や加工前の確認に手間がかかる。</x:v>
      </x:c>
      <x:c r="I20" s="7" t="str">
        <x:v>2024原典抜粋：Speedy mill Nextは同時3軸、同時5軸の加工指示はもちろん、穴あけ、輪郭、ポケットの2軸加工、多面、多軸割り出し加工の機能も充実しています。近年注目されている複合機の旋削、ミーリング、複数スピンドルにも対応、タイムチャートを用いて工程のムダを省きます。加工工程3DPDFはNCデータの加工軌跡を動画にして見える化します。ビューアはAcrobatReaderを用いるため、トータルコストを抑えた運用が可能となります。今、製造現場でのDXに求められるものがここにあります。 【Speedy mill Next】</x:v>
      </x:c>
      <x:c r="J20" s="7" t="str">
        <x:v>2026原典抜粋：今、製造現場でのDXに求められるものがここにあります。 / 【Speedy mill Next】２D-3Dを統合したCAD環境。 / 【Cimatron】世界的に定評のあるCAD/CAM。 / 【Speedy mill/Win】2次元CAD/CAM。 / 部品加工に特化した2次元CAD/CAM。</x:v>
      </x:c>
      <x:c r="K20" s="7" t="str">
        <x:v>原典記述の対照。個別機能の追加・性能差・初登場年は未判定。</x:v>
      </x:c>
      <x:c r="L20" s="7" t="str">
        <x:v>両年説明あり・機能差未判定</x:v>
      </x:c>
      <x:c r="M20" s="7" t="str">
        <x:v>出展説明の一次分類</x:v>
      </x:c>
      <x:c r="N20" s="7" t="str"/>
      <x:c r="O20" s="7" t="str">
        <x:v>承認・例外対応・停止・復帰の境界は未確認</x:v>
      </x:c>
      <x:c r="P20" s="7" t="str">
        <x:v>2026公式カタログ掲載・現地未確認
2026展示予定。既存製品・参考出展・構想等は原典で個別確認</x:v>
      </x:c>
      <x:c r="Q20" s="7" t="str">
        <x:v>AC061</x:v>
      </x:c>
      <x:c t="str" r="R20" s="21">
        <x:f>HYPERLINK("https://www.jimtof.org/search/jp/ESdetails?e=7W94U2NDZqc","JIMTOF2026 出展ページ")</x:f>
        <x:v>JIMTOF2026 出展ページ</x:v>
      </x:c>
      <x:c t="str" r="S20" s="21">
        <x:f>HYPERLINK("https://www.jimtof.org/2024/search/jp/ESdetails?e=nKu4F7kQI2g","JIMTOF2024 出展ページ")</x:f>
        <x:v>JIMTOF2024 出展ページ</x:v>
      </x:c>
      <x:c r="T20" s="7" t="str">
        <x:v>EEX-EXH-2026-27ca2522afe8413a: https://www.jimtof.org/search/jp/ESdetails?e=7W94U2NDZqc
該当箇所: 出展紹介・主な出展物。追加カードの原典抜粋で検索
EEX-EXH-2024-a064c1c485c75ab5: https://www.jimtof.org/2024/search/jp/ESdetails?e=nKu4F7kQI2g
該当箇所: 出展紹介・主な出展物。追加カードの原典抜粋で検索</x:v>
      </x:c>
    </x:row>
    <x:row r="21" ht="155" customHeight="1">
      <x:c r="A21" s="7" t="str">
        <x:v>生産準備</x:v>
      </x:c>
      <x:c r="B21" s="7" t="str">
        <x:v>工程・CAMプログラムの作成</x:v>
      </x:c>
      <x:c r="C21" s="20" t="str">
        <x:v>株式会社ゴードーソリューション</x:v>
      </x:c>
      <x:c r="D21" s="7" t="str">
        <x:v>新製品「NAZCA5 GEMBACO」をはじめ、製造現場のデジタル化を支援する製品を展示します。</x:v>
      </x:c>
      <x:c r="E21" s="7" t="str">
        <x:v>S4009</x:v>
      </x:c>
      <x:c r="F21" s="7" t="str">
        <x:v>図面管理・CAM・稼働可視化</x:v>
      </x:c>
      <x:c r="G21" s="7" t="str">
        <x:v>NAZCA5 GEMBACO、CAD/CAM、LINKA3を紹介。図面管理へのAI使用は未確認。</x:v>
      </x:c>
      <x:c r="H21" s="7" t="str">
        <x:v>過去図面と原価を探し、案件ごとに見積を組み立てる負担。 ／ 工具・機械・段取り制約を織り込む工程作成の技能依存。 ／ 現物・工具マスター・進捗が分断し変更に追従しにくい。 ／ 形状の設計変更や加工前の確認に手間がかかる。 ／ 図面・工具・品質・工程情報が別々に保存され、再利用しにくい。</x:v>
      </x:c>
      <x:c r="I21" s="7" t="str">
        <x:v>2024原典抜粋：ゴードーソリューションは、CAD/CAMや加工シミュレーション・NCプログラム通信など、NC工作機械向けソフトウェアの開発から販売・サポートまでをすべて自社で行っているソフトウェアメーカーです。 ナスカの愛称で親しまれている当社製品は、これまで多くのお客様にご愛顧いただき、シリーズ累計21,000事業所に導入いただいています。（2023年3月時点） 今回は、生産設備向けIoTシステム「Nazca Neo Linka」をはじめ、CAD/CAM、図面管理システムのデモンストレーションを行います。 「Nazca Neo </x:v>
      </x:c>
      <x:c r="J21" s="7" t="str">
        <x:v>2026原典抜粋：ゴードーソリューションは、CAD/CAMや加工シミュレーション、NCプログラム通信など、NC工作機械向けソフトウェアの開発から販売・サポートまでを一貫して自社で行うソフトウェアメーカーです。 / 今回は、加工現場向け図面＆データ管理ソフト「NAZCA5 GEMBACO」をはじめ、CAD/CAM製品や、IoTによる工場の見える化システム「LINKA3」を展示します。 / また、会議棟では「加工現場のデータ活用DX」をテーマにした実践的なセ</x:v>
      </x:c>
      <x:c r="K21" s="7" t="str">
        <x:v>原典記述の対照。個別機能の追加・性能差・初登場年は未判定。</x:v>
      </x:c>
      <x:c r="L21" s="7" t="str">
        <x:v>両年説明あり・機能差未判定</x:v>
      </x:c>
      <x:c r="M21" s="7" t="str">
        <x:v>出展説明の一次分類</x:v>
      </x:c>
      <x:c r="N21" s="7" t="str">
        <x:v>関連（図面・文書管理）。AI見積の直接事例ではない。</x:v>
      </x:c>
      <x:c r="O21" s="7" t="str">
        <x:v>承認・例外対応・停止・復帰の境界は未確認</x:v>
      </x:c>
      <x:c r="P21" s="7" t="str">
        <x:v>2026公式カタログ掲載・現地未確認
2026展示予定。既存製品・参考出展・構想等は原典で個別確認</x:v>
      </x:c>
      <x:c r="Q21" s="7" t="str">
        <x:v>AC074</x:v>
      </x:c>
      <x:c t="str" r="R21" s="21">
        <x:f>HYPERLINK("https://www.jimtof.org/search/jp/ESdetails?e=oO-G_YDcimE","JIMTOF2026 出展ページ")</x:f>
        <x:v>JIMTOF2026 出展ページ</x:v>
      </x:c>
      <x:c t="str" r="S21" s="21">
        <x:f>HYPERLINK("https://www.jimtof.org/2024/search/jp/ESdetails?e=GozGZRxlviw","JIMTOF2024 出展ページ")</x:f>
        <x:v>JIMTOF2024 出展ページ</x:v>
      </x:c>
      <x:c r="T21" s="7" t="str">
        <x:v>EEX-EXH-2026-a64bab179251039a: https://www.jimtof.org/search/jp/ESdetails?e=oO-G_YDcimE
該当箇所: 出展紹介・主な出展物。追加カードの原典抜粋で検索
EEX-EXH-2024-a1ef24027ba76956: https://www.jimtof.org/2024/search/jp/ESdetails?e=GozGZRxlviw
該当箇所: 出展紹介・主な出展物。追加カードの原典抜粋で検索</x:v>
      </x:c>
    </x:row>
    <x:row r="22" ht="155" customHeight="1">
      <x:c r="A22" s="7" t="str">
        <x:v>生産準備</x:v>
      </x:c>
      <x:c r="B22" s="7" t="str">
        <x:v>工程・CAMプログラムの作成</x:v>
      </x:c>
      <x:c r="C22" s="20" t="str">
        <x:v>コダマコーポレーション株式会社</x:v>
      </x:c>
      <x:c r="D22" s="7" t="str">
        <x:v>3次元ソリッドCAD/CAMシステム TopSolid'Cam</x:v>
      </x:c>
      <x:c r="E22" s="7" t="str">
        <x:v>S3066</x:v>
      </x:c>
      <x:c r="F22" s="7" t="str">
        <x:v>設計からNCプログラム作成への連携</x:v>
      </x:c>
      <x:c r="G22" s="7" t="str">
        <x:v>TopSolidのCAD/CAM統合と、穴あけから5軸・複合加工までのプログラム作成支援。</x:v>
      </x:c>
      <x:c r="H22" s="7" t="str">
        <x:v>工具・機械・段取り制約を織り込む工程作成の技能依存。 ／ 形状の設計変更や加工前の確認に手間がかかる。</x:v>
      </x:c>
      <x:c r="I22" s="7" t="str">
        <x:v>2024原典抜粋：穴あけ、2軸、3軸から同時4・5軸、旋盤、複合加工まで1システムで対応 コダマコーポレーションは、今回のJIMTOFで、3D設計製造支援ソフトウェア「TopSolid'Cam 7」、 スイス式旋盤対応モジュール「Swiss Turn」、牧野フライス製作所のリアルタイム干渉防止機能への対応プラグイン「Collision Safeguard Plugin」など、多くの製品を展示いたします。これらの製品はお客様の生産現場の効率化を支援します。 会場では営業によるデモを実施しておりますので、ぜひご来場ください。 【製品】 </x:v>
      </x:c>
      <x:c r="J22" s="7" t="str">
        <x:v>2026原典抜粋：コダマコーポレーションは、設計から加工までの一気通貫のデジタル製造環境を実現する「TopSolid」シリーズを展示する。 / 主力製品である「TopSolid'Cam 7」は、穴あけ、2軸、3軸から同時4・5軸加工、旋盤加工、複合加工までを1システムで対応し、CAD/CAM統合による効率的なNCプログラム作成を支援する。 / さらに、スイス式自動旋盤向け専用モジュール「Swiss Turn」、牧野フライス製作所のリアルタイム干渉防止機能</x:v>
      </x:c>
      <x:c r="K22" s="7" t="str">
        <x:v>原典記述の対照。個別機能の追加・性能差・初登場年は未判定。</x:v>
      </x:c>
      <x:c r="L22" s="7" t="str">
        <x:v>両年説明あり・機能差未判定</x:v>
      </x:c>
      <x:c r="M22" s="7" t="str">
        <x:v>出展説明の一次分類</x:v>
      </x:c>
      <x:c r="N22" s="7" t="str"/>
      <x:c r="O22" s="7" t="str">
        <x:v>承認・例外対応・停止・復帰の境界は未確認</x:v>
      </x:c>
      <x:c r="P22" s="7" t="str">
        <x:v>2026公式カタログ掲載・現地未確認
2026展示予定。既存製品・参考出展・構想等は原典で個別確認</x:v>
      </x:c>
      <x:c r="Q22" s="7" t="str">
        <x:v>AC076</x:v>
      </x:c>
      <x:c t="str" r="R22" s="21">
        <x:f>HYPERLINK("https://www.jimtof.org/search/jp/ESdetails?e=w3OCd-Yb-pM","JIMTOF2026 出展ページ")</x:f>
        <x:v>JIMTOF2026 出展ページ</x:v>
      </x:c>
      <x:c t="str" r="S22" s="21">
        <x:f>HYPERLINK("https://www.jimtof.org/2024/search/jp/ESdetails?e=RMONVo8JDTE","JIMTOF2024 出展ページ")</x:f>
        <x:v>JIMTOF2024 出展ページ</x:v>
      </x:c>
      <x:c r="T22" s="7" t="str">
        <x:v>EEX-EXH-2026-d7ec640627a22b17: https://www.jimtof.org/search/jp/ESdetails?e=w3OCd-Yb-pM
該当箇所: 出展紹介・主な出展物。追加カードの原典抜粋で検索
EEX-EXH-2024-2f995cf4c0035bad: https://www.jimtof.org/2024/search/jp/ESdetails?e=RMONVo8JDTE
該当箇所: 出展紹介・主な出展物。追加カードの原典抜粋で検索</x:v>
      </x:c>
    </x:row>
    <x:row r="23" ht="155" customHeight="1">
      <x:c r="A23" s="7" t="str">
        <x:v>生産準備</x:v>
      </x:c>
      <x:c r="B23" s="7" t="str">
        <x:v>工程・CAMプログラムの作成</x:v>
      </x:c>
      <x:c r="C23" s="20" t="str">
        <x:v>株式会社C＆Gシステムズ</x:v>
      </x:c>
      <x:c r="D23" s="7" t="str">
        <x:v>《　主な出展内容　》</x:v>
      </x:c>
      <x:c r="E23" s="7" t="str">
        <x:v>E2008</x:v>
      </x:c>
      <x:c r="F23" s="7" t="str">
        <x:v>部品・金型のCAD/CAMと生産管理</x:v>
      </x:c>
      <x:c r="G23" s="7" t="str">
        <x:v>CAM-TOOL・EXCESS-HYBRIDⅡ・PartsCAM等。AI・DXの紹介内容と機能の対応は未精査。</x:v>
      </x:c>
      <x:c r="H23" s="7" t="str">
        <x:v>工具・機械・段取り制約を織り込む工程作成の技能依存。 ／ 現物・工具マスター・進捗が分断し変更に追従しにくい。 ／ 形状の設計変更や加工前の確認に手間がかかる。</x:v>
      </x:c>
      <x:c r="I23" s="7" t="str">
        <x:v>2024原典抜粋：CGSが提案する「省力化・多様化・周辺との親和性」をテーマに、昨今のキーワード（AI・ギガキャスト・DX）から弊社の最新技術を様々な事例（加工サンプルなど）を通じてご紹介させていたく他、次期バージョン情報をいち早くお届けします。また、日工会主催のイベントに協賛いたします。あわせてご参加ください。 ●「金属Addtive Manufacturing セミナー（11/6）」 DED 方式金属AM 用CAD/CAM「CAM-TOOL AM」の概要と導入事例 ●「工作機械関連のソフトウエア・ワークショップ（11/7）」 最</x:v>
      </x:c>
      <x:c r="J23" s="7" t="str">
        <x:v>2026原典抜粋：「自動化・省力化・多様化・周辺機器との親和性」をテーマに、昨今のキーワード（AI・DX）から弊社の最新技術を様々な事例（加工サンプルなど）を通じてご紹介させていたく他、次期バージョン情報をいち早くお届けします。 / ● CAD/CAM システム、生産管理システムの展示 / ● CAD/CAM 関連 / CAM-TOOL／EXCESS-HYBRIDⅡ／PartsCAM／CG Series for SOLIDWORKS（アドオン） / CA</x:v>
      </x:c>
      <x:c r="K23" s="7" t="str">
        <x:v>原典記述の対照。個別機能の追加・性能差・初登場年は未判定。</x:v>
      </x:c>
      <x:c r="L23" s="7" t="str">
        <x:v>両年説明あり・機能差未判定</x:v>
      </x:c>
      <x:c r="M23" s="7" t="str">
        <x:v>出展説明の一次分類</x:v>
      </x:c>
      <x:c r="N23" s="7" t="str"/>
      <x:c r="O23" s="7" t="str">
        <x:v>承認・例外対応・停止・復帰の境界は未確認</x:v>
      </x:c>
      <x:c r="P23" s="7" t="str">
        <x:v>2026公式カタログ掲載・現地未確認
2026展示予定。既存製品・参考出展・構想等は原典で個別確認</x:v>
      </x:c>
      <x:c r="Q23" s="7" t="str">
        <x:v>AC095</x:v>
      </x:c>
      <x:c t="str" r="R23" s="21">
        <x:f>HYPERLINK("https://www.jimtof.org/search/jp/ESdetails?e=U_kHbhLD6rU","JIMTOF2026 出展ページ")</x:f>
        <x:v>JIMTOF2026 出展ページ</x:v>
      </x:c>
      <x:c t="str" r="S23" s="21">
        <x:f>HYPERLINK("https://www.jimtof.org/2024/search/jp/ESdetails?e=RVv4M6_8NyQ","JIMTOF2024 出展ページ")</x:f>
        <x:v>JIMTOF2024 出展ページ</x:v>
      </x:c>
      <x:c r="T23" s="7" t="str">
        <x:v>EEX-EXH-2026-8d7ad5c62f3412a9: https://www.jimtof.org/search/jp/ESdetails?e=U_kHbhLD6rU
該当箇所: 出展紹介・主な出展物。追加カードの原典抜粋で検索
EEX-EXH-2024-bf5a20df5ebf4ff9: https://www.jimtof.org/2024/search/jp/ESdetails?e=RVv4M6_8NyQ
該当箇所: 出展紹介・主な出展物。追加カードの原典抜粋で検索</x:v>
      </x:c>
    </x:row>
    <x:row r="24" ht="155" customHeight="1">
      <x:c r="A24" s="7" t="str">
        <x:v>生産準備</x:v>
      </x:c>
      <x:c r="B24" s="7" t="str">
        <x:v>工程・CAMプログラムの作成</x:v>
      </x:c>
      <x:c r="C24" s="20" t="str">
        <x:v>シーメンス株式会社</x:v>
      </x:c>
      <x:c r="D24" s="7" t="str">
        <x:v>Digital Thread：工作機械ツイン・工程内品質保証</x:v>
      </x:c>
      <x:c r="E24" s="7" t="str">
        <x:v>E3006</x:v>
      </x:c>
      <x:c r="F24" s="7" t="str">
        <x:v>加工の仮想検証・計測連携を確認する</x:v>
      </x:c>
      <x:c r="G24" s="7" t="str">
        <x:v>Tokn工作機械ツイン、Equator品質保証、ヒューマノイドを別展示。</x:v>
      </x:c>
      <x:c r="H24" s="7" t="str">
        <x:v>工具・機械・段取り制約を織り込む工程作成の技能依存。 ／ 仮想上での確認・学習と実機の結果をつなぐための準備。 ／ 形状の設計変更や加工前の確認に手間がかかる。 ／ 作業を記録・分析し、改善点や技能を共有する負担がある。</x:v>
      </x:c>
      <x:c r="I24" s="7" t="str">
        <x:v>2024カタログにNX・CNC・Mcenter等。Siemens公式事例にはToknと仮想SINUMERIK ONEによる訓練をCompletion 2024と明記。</x:v>
      </x:c>
      <x:c r="J24" s="7" t="str">
        <x:v>2026はHeller Toknツイン、Renishaw Equator品質保証、ヒューマノイド特別展示を具体記載。</x:v>
      </x:c>
      <x:c r="K24" s="7" t="str">
        <x:v>Toknの仮想訓練は2024完了の公式事例あり。</x:v>
      </x:c>
      <x:c r="L24" s="7" t="str">
        <x:v>個別比較あり</x:v>
      </x:c>
      <x:c r="M24" s="7" t="str">
        <x:v>詳細比較済み</x:v>
      </x:c>
      <x:c r="N24" s="7" t="str"/>
      <x:c r="O24" s="7" t="str">
        <x:v>海外HMND実証とJIMTOFの機体・タスクの同一性は未確認。</x:v>
      </x:c>
      <x:c r="P24" s="7" t="str">
        <x:v>2026公式カタログ掲載・現地未確認
2026展示予定。既存製品・参考出展・構想等は原典で個別確認</x:v>
      </x:c>
      <x:c r="Q24" s="7" t="str">
        <x:v>AC098</x:v>
      </x:c>
      <x:c t="str" r="R24" s="21">
        <x:f>HYPERLINK("https://www.jimtof.org/search/jp/ESdetails?e=EBIotJu7lrg","JIMTOF2026 出展ページ")</x:f>
        <x:v>JIMTOF2026 出展ページ</x:v>
      </x:c>
      <x:c t="str" r="S24" s="21">
        <x:f>HYPERLINK("https://www.jimtof.org/2024/search/jp/ESdetails?e=nYvFR1vpbuE","JIMTOF2024 出展ページ")</x:f>
        <x:v>JIMTOF2024 出展ページ</x:v>
      </x:c>
      <x:c r="T24" s="7" t="str">
        <x:v>EEX-EXH-2026-9b991dd8132f51dc: https://www.jimtof.org/search/jp/ESdetails?e=EBIotJu7lrg
該当箇所: 出展紹介・主な出展物。追加カードの原典抜粋で検索
EEX-EXH-2024-558faea07a73f5d8: https://www.jimtof.org/2024/search/jp/ESdetails?e=nYvFR1vpbuE
該当箇所: 出展紹介・主な出展物。追加カードの原典抜粋で検索
EDP-16: https://references.siemens.com/en/reference/heller-tokn-digital-twin?id=41137
該当箇所: Completion: 2024／仮想SINUMERIK ONEと3D機械モデルによる訓練
EDP-17: https://press.siemens.com/jp/ja/pressrelease/pr-20260416
該当箇所: HMND 01 Alphaのトート把持・搬送・配置／Jetson Thor・Isaac Sim/Lab</x:v>
      </x:c>
    </x:row>
    <x:row r="25" ht="155" customHeight="1">
      <x:c r="A25" s="7" t="str">
        <x:v>生産準備</x:v>
      </x:c>
      <x:c r="B25" s="7" t="str">
        <x:v>工程・CAMプログラムの作成</x:v>
      </x:c>
      <x:c r="C25" s="20" t="str">
        <x:v>株式会社セイロジャパン</x:v>
      </x:c>
      <x:c r="D25" s="7" t="str">
        <x:v>部品加工用CAD/CAM「GO2cam」</x:v>
      </x:c>
      <x:c r="E25" s="7" t="str">
        <x:v>S3010</x:v>
      </x:c>
      <x:c r="F25" s="7" t="str">
        <x:v>部品・金型の設計と加工プログラム作成</x:v>
      </x:c>
      <x:c r="G25" s="7" t="str">
        <x:v>GO2camによる部品加工、Cimatronによる金型・電極設計からCAMまでを紹介。</x:v>
      </x:c>
      <x:c r="H25" s="7" t="str">
        <x:v>工具・機械・段取り制約を織り込む工程作成の技能依存。 ／ 形状の設計変更や加工前の確認に手間がかかる。</x:v>
      </x:c>
      <x:c r="I25" s="7" t="str">
        <x:v>2024原典抜粋：弊社はCAD/CAM/CAEシステムや測定機などを取り扱う技術系商社です。 40年以上のノウハウで、お客様の課題を解決します。 販売のみならず、一部の製品に関してはポスト作成、各種カスタマイズ、導入後の運用サポートまで一貫して行い、お客様の成功、DX化を支援しております。 ブースではお客様の課題や要望に合わせ、システムのデモを行っておりますのでぜひお立ち寄りください。 ■機械部品加工用CAD/CAM『GO2cam』 部品加工に特化し、シンプルで分かり易い操作性と、加工ノウハウを共有できるデータベース機能により、NC</x:v>
      </x:c>
      <x:c r="J25" s="7" t="str">
        <x:v>2026原典抜粋：当社ブースでは、「部品加工」と「金型設計・加工」領域に特化したCAD/CAMで最適な解決策をご提案します。 / 【部品加工の課題に（GO2cam）】 / ■部品加工用CAD/CAM「GO2cam」 / GO2camは、現場の加工のばらつきを減らし、 / ■金型設計・加工統合CAD/CAM「Cimatron」 / 金型設計から電極設計、CAMまで、金型製作をひとつに。</x:v>
      </x:c>
      <x:c r="K25" s="7" t="str">
        <x:v>原典記述の対照。個別機能の追加・性能差・初登場年は未判定。</x:v>
      </x:c>
      <x:c r="L25" s="7" t="str">
        <x:v>両年説明あり・機能差未判定</x:v>
      </x:c>
      <x:c r="M25" s="7" t="str">
        <x:v>出展説明の一次分類</x:v>
      </x:c>
      <x:c r="N25" s="7" t="str"/>
      <x:c r="O25" s="7" t="str">
        <x:v>承認・例外対応・停止・復帰の境界は未確認</x:v>
      </x:c>
      <x:c r="P25" s="7" t="str">
        <x:v>2026公式カタログ掲載・現地未確認
2026展示予定。既存製品・参考出展・構想等は原典で個別確認</x:v>
      </x:c>
      <x:c r="Q25" s="7" t="str">
        <x:v>AC117</x:v>
      </x:c>
      <x:c t="str" r="R25" s="21">
        <x:f>HYPERLINK("https://www.jimtof.org/search/jp/ESdetails?e=nz0oSJ7WlKg","JIMTOF2026 出展ページ")</x:f>
        <x:v>JIMTOF2026 出展ページ</x:v>
      </x:c>
      <x:c t="str" r="S25" s="21">
        <x:f>HYPERLINK("https://www.jimtof.org/2024/search/jp/ESdetails?e=iNU-fSpQwMM","JIMTOF2024 出展ページ")</x:f>
        <x:v>JIMTOF2024 出展ページ</x:v>
      </x:c>
      <x:c r="T25" s="7" t="str">
        <x:v>EEX-EXH-2026-7c65eb7290ab9d16: https://www.jimtof.org/search/jp/ESdetails?e=nz0oSJ7WlKg
該当箇所: 出展紹介・主な出展物。追加カードの原典抜粋で検索
EEX-EXH-2024-11da0f99657ff136: https://www.jimtof.org/2024/search/jp/ESdetails?e=iNU-fSpQwMM
該当箇所: 出展紹介・主な出展物。追加カードの原典抜粋で検索</x:v>
      </x:c>
    </x:row>
    <x:row r="26" ht="155" customHeight="1">
      <x:c r="A26" s="7" t="str">
        <x:v>生産準備</x:v>
      </x:c>
      <x:c r="B26" s="7" t="str">
        <x:v>工程・CAMプログラムの作成</x:v>
      </x:c>
      <x:c r="C26" s="20" t="str">
        <x:v>株式会社ゼネテック</x:v>
      </x:c>
      <x:c r="D26" s="7" t="str">
        <x:v>「Mastercam」は、世界No.1の導入実績を誇る3D-CAD/CAMシステムです。部品加工、試作、金型、木工など幅広い分野で活用され、2軸加工か</x:v>
      </x:c>
      <x:c r="E26" s="7" t="str">
        <x:v>E2022</x:v>
      </x:c>
      <x:c r="F26" s="7" t="str">
        <x:v>スキャンした形状から加工プログラムを作る</x:v>
      </x:c>
      <x:c r="G26" s="7" t="str">
        <x:v>Mastercamとロボドリルでの加工、FlexSim等のデジタル化支援を紹介。</x:v>
      </x:c>
      <x:c r="H26" s="7" t="str">
        <x:v>工具・機械・段取り制約を織り込む工程作成の技能依存。 ／ 形状の設計変更や加工前の確認に手間がかかる。</x:v>
      </x:c>
      <x:c r="I26" s="7" t="str">
        <x:v>2024原典抜粋：「ものづくり領域でDXを牽引するゼネテック」をテーマに、製造業のDX実現に貢献するさまざまなシステムを出展します。インストール実績世界No.1の「Mastercam」をメインに、機械メーカー・工具メーカーとの協業による加工サンプルのほか、現在ゼネテックで計画を進めているロボットの稼働監視システムも展示します。さらに、製造・物流現場のシミュレーションを簡単操作で実現する「FlexSim」を用いた最適化検証のデモ実演など、自動化・生産性向上を支援するDX商材を幅広くご紹介します。ぜひ、ゼネテックのブースにお立ち寄りくだ</x:v>
      </x:c>
      <x:c r="J26" s="7" t="str">
        <x:v>2026原典抜粋：ゼネテックは、Mastercamを中心に、加工・シミュレーション・リバースエンジニアリング・システム開発まで、製造現場のデジタル化をワンストップで支援します。 / ブースでは、3Dスキャンした金剛力士立像をCADデータ化し、Mastercamで加工プログラムを作成、ファナック製ロボドリル「D74CS」で64チタン製立像を加工する一連の流れを実演します。 / さらにFlexSimやロボット活用、設備稼働監視などのソリューションも紹介します</x:v>
      </x:c>
      <x:c r="K26" s="7" t="str">
        <x:v>原典記述の対照。個別機能の追加・性能差・初登場年は未判定。</x:v>
      </x:c>
      <x:c r="L26" s="7" t="str">
        <x:v>両年説明あり・機能差未判定</x:v>
      </x:c>
      <x:c r="M26" s="7" t="str">
        <x:v>出展説明の一次分類</x:v>
      </x:c>
      <x:c r="N26" s="7" t="str"/>
      <x:c r="O26" s="7" t="str">
        <x:v>承認・例外対応・停止・復帰の境界は未確認</x:v>
      </x:c>
      <x:c r="P26" s="7" t="str">
        <x:v>2026公式カタログ掲載・現地未確認
2026展示予定。既存製品・参考出展・構想等は原典で個別確認</x:v>
      </x:c>
      <x:c r="Q26" s="7" t="str">
        <x:v>AC119</x:v>
      </x:c>
      <x:c t="str" r="R26" s="21">
        <x:f>HYPERLINK("https://www.jimtof.org/search/jp/ESdetails?e=BLWqVcnax5s","JIMTOF2026 出展ページ")</x:f>
        <x:v>JIMTOF2026 出展ページ</x:v>
      </x:c>
      <x:c t="str" r="S26" s="21">
        <x:f>HYPERLINK("https://www.jimtof.org/2024/search/jp/ESdetails?e=hjSCtjFksB0","JIMTOF2024 出展ページ")</x:f>
        <x:v>JIMTOF2024 出展ページ</x:v>
      </x:c>
      <x:c r="T26" s="7" t="str">
        <x:v>EEX-EXH-2026-3578da576a0d1e12: https://www.jimtof.org/search/jp/ESdetails?e=BLWqVcnax5s
該当箇所: 出展紹介・主な出展物。追加カードの原典抜粋で検索
EEX-EXH-2024-93b1f9e2b121b3c4: https://www.jimtof.org/2024/search/jp/ESdetails?e=hjSCtjFksB0
該当箇所: 出展紹介・主な出展物。追加カードの原典抜粋で検索</x:v>
      </x:c>
    </x:row>
    <x:row r="27" ht="155" customHeight="1">
      <x:c r="A27" s="7" t="str">
        <x:v>生産準備</x:v>
      </x:c>
      <x:c r="B27" s="7" t="str">
        <x:v>工程・CAMプログラムの作成</x:v>
      </x:c>
      <x:c r="C27" s="20" t="str">
        <x:v>タクテックス株式会社</x:v>
      </x:c>
      <x:c r="D27" s="7" t="str">
        <x:v>CAM Assist for SolidCAM／SolidShop</x:v>
      </x:c>
      <x:c r="E27" s="7" t="str">
        <x:v>S1016</x:v>
      </x:c>
      <x:c r="F27" s="7" t="str">
        <x:v>3軸・3+2軸の加工経路を作る</x:v>
      </x:c>
      <x:c r="G27" s="7" t="str">
        <x:v>SolidCAM向けに3軸・3+2軸の戦略と経路案を生成。</x:v>
      </x:c>
      <x:c r="H27" s="7" t="str">
        <x:v>工具・機械・段取り制約を織り込む工程作成の技能依存。</x:v>
      </x:c>
      <x:c r="I27" s="7" t="str">
        <x:v>2024はSolidCAM、iMachining、SolidProbeと実機・プローブ連携。</x:v>
      </x:c>
      <x:c r="J27" s="7" t="str">
        <x:v>2026は形状からのAI CAM支援、生成AIセミナー、SolidShopによる設備接続を追加掲載。</x:v>
      </x:c>
      <x:c r="K27" s="7" t="str">
        <x:v>2024はSolidCAM等。2026はAI支援を追加記載。</x:v>
      </x:c>
      <x:c r="L27" s="7" t="str">
        <x:v>個別比較あり</x:v>
      </x:c>
      <x:c r="M27" s="7" t="str">
        <x:v>詳細比較済み</x:v>
      </x:c>
      <x:c r="N27" s="7" t="str"/>
      <x:c r="O27" s="7" t="str">
        <x:v>工具・保持等を設定し、生成案を編集・採用。最終制御権は人。</x:v>
      </x:c>
      <x:c r="P27" s="7" t="str">
        <x:v>2026公式カタログ掲載・現地未確認
2026展示予定。既存製品・参考出展・構想等は原典で個別確認</x:v>
      </x:c>
      <x:c r="Q27" s="7" t="str">
        <x:v>AC131</x:v>
      </x:c>
      <x:c t="str" r="R27" s="21">
        <x:f>HYPERLINK("https://www.jimtof.org/search/jp/ESdetails?e=2TVzwvOqLxI","JIMTOF2026 出展ページ")</x:f>
        <x:v>JIMTOF2026 出展ページ</x:v>
      </x:c>
      <x:c t="str" r="S27" s="21">
        <x:f>HYPERLINK("https://www.jimtof.org/2024/search/jp/ESdetails?e=p_i9WuUhNRg","JIMTOF2024 出展ページ")</x:f>
        <x:v>JIMTOF2024 出展ページ</x:v>
      </x:c>
      <x:c r="T27" s="7" t="str">
        <x:v>EEX-EXH-2026-0436fc7b61f51a8e: https://www.jimtof.org/search/jp/ESdetails?e=2TVzwvOqLxI
該当箇所: 出展紹介・主な出展物。追加カードの原典抜粋で検索
EEX-EXH-2024-eb84f3b7fa9cf6db: https://www.jimtof.org/2024/search/jp/ESdetails?e=p_i9WuUhNRg
該当箇所: 出展紹介・主な出展物。追加カードの原典抜粋で検索
EDP-07: https://www.cloudnc.com/ja/solidcam
該当箇所: 仕組みステップ1〜4／FAQの対象加工・通信・戦略生成
EDP-08: https://help.solidcam.com/topics/solutions/cloudnc-cam-assist.htm
該当箇所: 形状・工具・材種・段取りの入力／プログラマーの修正・検証・NC出力
ERF-04: https://help.solidcam.com/topics/solutions/cloudnc-cam-assist.htm
該当箇所: L11–19／プログラマーがreview・refine、既存のsimulation・verification・NC生成</x:v>
      </x:c>
    </x:row>
    <x:row r="28" ht="155" customHeight="1">
      <x:c r="A28" s="7" t="str">
        <x:v>生産準備</x:v>
      </x:c>
      <x:c r="B28" s="7" t="str">
        <x:v>工程・CAMプログラムの作成</x:v>
      </x:c>
      <x:c r="C28" s="20" t="str">
        <x:v>株式会社フアクト</x:v>
      </x:c>
      <x:c r="D28" s="7" t="str">
        <x:v>Autodesk Fusion</x:v>
      </x:c>
      <x:c r="E28" s="7" t="str">
        <x:v>S3013</x:v>
      </x:c>
      <x:c r="F28" s="7" t="str">
        <x:v>CAD/CAMとNCシミュレーション</x:v>
      </x:c>
      <x:c r="G28" s="7" t="str">
        <x:v>Fusion、FeatureCAMによるプログラム自動化、ENCYのNCシミュレーションを紹介。</x:v>
      </x:c>
      <x:c r="H28" s="7" t="str">
        <x:v>工具・機械・段取り制約を織り込む工程作成の技能依存。 ／ 形状の設計変更や加工前の確認に手間がかかる。</x:v>
      </x:c>
      <x:c r="I28" s="7" t="str">
        <x:v>2024原典抜粋：￥88,000で5軸、複合旋盤も使える３次元 CAD/CAM「Fusion」をはじめ、 簡単操作で自動でNCデータが出力可能な「FeatureCAM」等のCAD/CAMや 機械を選ばない、取り付け簡単な「稼働率モニタリングシステム」、NCデータシミュレーションソフト 各種補助金のご案内等、お役に立てる情報をご案内いたします。 Autodesk Fusion Fusion with FeatureCAM hyperMILL SOLIDWORKS FFCAM 稼働率モニタリングシステム Vericut NCVIEW</x:v>
      </x:c>
      <x:c r="J28" s="7" t="str">
        <x:v>2026原典抜粋：10万円程度の価格で5軸、複合旋盤も使えるAI搭載 3DCAD/CAM「Fusion」の / その他、加工プログラムの自動化が可能な「FeatureCAM」、NCシミュレーションまで / 可能な、永久ライセンスとサブスクリプションライセンスが選べる、3DCAD/CAM「ENCY]など / CAD/CAM販売35年以上の実績のあるフアクトがオススメするソフトウェアをご案内いたします。 / Fusion with FeatureCAM / </x:v>
      </x:c>
      <x:c r="K28" s="7" t="str">
        <x:v>原典記述の対照。個別機能の追加・性能差・初登場年は未判定。</x:v>
      </x:c>
      <x:c r="L28" s="7" t="str">
        <x:v>両年説明あり・機能差未判定</x:v>
      </x:c>
      <x:c r="M28" s="7" t="str">
        <x:v>出展説明の一次分類</x:v>
      </x:c>
      <x:c r="N28" s="7" t="str"/>
      <x:c r="O28" s="7" t="str">
        <x:v>承認・例外対応・停止・復帰の境界は未確認</x:v>
      </x:c>
      <x:c r="P28" s="7" t="str">
        <x:v>2026公式カタログ掲載・現地未確認
2026展示予定。既存製品・参考出展・構想等は原典で個別確認</x:v>
      </x:c>
      <x:c r="Q28" s="7" t="str">
        <x:v>AC194</x:v>
      </x:c>
      <x:c t="str" r="R28" s="21">
        <x:f>HYPERLINK("https://www.jimtof.org/search/jp/ESdetails?e=taaGM0brdn8","JIMTOF2026 出展ページ")</x:f>
        <x:v>JIMTOF2026 出展ページ</x:v>
      </x:c>
      <x:c t="str" r="S28" s="21">
        <x:f>HYPERLINK("https://www.jimtof.org/2024/search/jp/ESdetails?e=ouI_rRePhFc","JIMTOF2024 出展ページ")</x:f>
        <x:v>JIMTOF2024 出展ページ</x:v>
      </x:c>
      <x:c r="T28" s="7" t="str">
        <x:v>EEX-EXH-2026-ae1a6fcc911ca14b: https://www.jimtof.org/search/jp/ESdetails?e=taaGM0brdn8
該当箇所: 出展紹介・主な出展物。追加カードの原典抜粋で検索
EEX-EXH-2024-98da3fb80aa564f7: https://www.jimtof.org/2024/search/jp/ESdetails?e=ouI_rRePhFc
該当箇所: 出展紹介・主な出展物。追加カードの原典抜粋で検索</x:v>
      </x:c>
    </x:row>
    <x:row r="29" ht="155" customHeight="1">
      <x:c r="A29" s="7" t="str">
        <x:v>生産準備</x:v>
      </x:c>
      <x:c r="B29" s="7" t="str">
        <x:v>工程・CAMプログラムの作成</x:v>
      </x:c>
      <x:c r="C29" s="20" t="str">
        <x:v>丸紅情報システムズ株式会社</x:v>
      </x:c>
      <x:c r="D29" s="7" t="str">
        <x:v>ZEISS社　コンパクトクラス高機能3Dスキャナ / ATOS Q</x:v>
      </x:c>
      <x:c r="E29" s="7" t="str">
        <x:v>S3081</x:v>
      </x:c>
      <x:c r="F29" s="7" t="str">
        <x:v>3D計測と金型補修・加工の連携</x:v>
      </x:c>
      <x:c r="G29" s="7" t="str">
        <x:v>ZEISSの3D測定とCAMデータ活用、Tebis等のCAD/CAM・MESを紹介。</x:v>
      </x:c>
      <x:c r="H29" s="7" t="str">
        <x:v>工具・機械・段取り制約を織り込む工程作成の技能依存。 ／ 形状の設計変更や加工前の確認に手間がかかる。 ／ 測定の段取り・搬送・記録に人手が残り、結果が加工改善につながりにくい。</x:v>
      </x:c>
      <x:c r="I29" s="7" t="str">
        <x:v>2024原典抜粋：丸紅情報システムズは、製造業界におけるリードタイムの短縮、人材不足、コストダウンといった課題に計測・検査分野での自動化・標準化にデジタルデータの一層の活用を後押しする製品・サービスをご提案します。JIMTOF2024では、軽量・持ち運びやすさが特徴のドイツZEISS社の3DスキャナATOS QとT-SCAN hawk 2を出展します。置き型の測定機と異なり、開発部門、製造現場などに手軽に持ち込んで高精細な3D測定が可能です。その他に、ZEISS社の完全自動測定システムScanBox の映像展示やタブレット端末を使っ</x:v>
      </x:c>
      <x:c r="J29" s="7" t="str">
        <x:v>2026原典抜粋：「製造DX x 非接触3Dスキャナで計測工程を刷新」 / ZEISS社の3Dスキャナを軸に、製品の検査・品質管理から始まり、取得した3次元測定データと既存のCAMデータを活用し、金型加工（肉盛り補修など）の最適化を行うなど様々な事例をご紹介いたします。 / 3Dスキャナも据え置き式はもちろん、ロボットを利用した自動化システム、ハンディタイプなど様々ラインナップしております。 / その他生産管理システム（MES)や、現物にCADデータをA</x:v>
      </x:c>
      <x:c r="K29" s="7" t="str">
        <x:v>原典記述の対照。個別機能の追加・性能差・初登場年は未判定。</x:v>
      </x:c>
      <x:c r="L29" s="7" t="str">
        <x:v>両年説明あり・機能差未判定</x:v>
      </x:c>
      <x:c r="M29" s="7" t="str">
        <x:v>出展説明の一次分類</x:v>
      </x:c>
      <x:c r="N29" s="7" t="str"/>
      <x:c r="O29" s="7" t="str">
        <x:v>承認・例外対応・停止・復帰の境界は未確認</x:v>
      </x:c>
      <x:c r="P29" s="7" t="str">
        <x:v>2026公式カタログ掲載・現地未確認
2026展示予定。既存製品・参考出展・構想等は原典で個別確認</x:v>
      </x:c>
      <x:c r="Q29" s="7" t="str">
        <x:v>AC215</x:v>
      </x:c>
      <x:c t="str" r="R29" s="21">
        <x:f>HYPERLINK("https://www.jimtof.org/search/jp/ESdetails?e=CYlrKSmBqPU","JIMTOF2026 出展ページ")</x:f>
        <x:v>JIMTOF2026 出展ページ</x:v>
      </x:c>
      <x:c t="str" r="S29" s="21">
        <x:f>HYPERLINK("https://www.jimtof.org/2024/search/jp/ESdetails?e=su6bJFFHGAk","JIMTOF2024 出展ページ")</x:f>
        <x:v>JIMTOF2024 出展ページ</x:v>
      </x:c>
      <x:c r="T29" s="7" t="str">
        <x:v>EEX-EXH-2026-724ec4dafc442c95: https://www.jimtof.org/search/jp/ESdetails?e=CYlrKSmBqPU
該当箇所: 出展紹介・主な出展物。追加カードの原典抜粋で検索
EEX-EXH-2024-5b8ef7edef2e3a9f: https://www.jimtof.org/2024/search/jp/ESdetails?e=su6bJFFHGAk
該当箇所: 出展紹介・主な出展物。追加カードの原典抜粋で検索
EEX-EXH-2024-86ebabfaad40bf26: https://www.jimtof.org/2024/search/jp/ESdetails?e=LeucwRYk1Qg
該当箇所: 出展紹介・主な出展物。追加カードの原典抜粋で検索</x:v>
      </x:c>
    </x:row>
    <x:row r="30" ht="155" customHeight="1">
      <x:c r="A30" s="7" t="str">
        <x:v>生産準備</x:v>
      </x:c>
      <x:c r="B30" s="7" t="str">
        <x:v>工程・CAMプログラムの作成</x:v>
      </x:c>
      <x:c r="C30" s="20" t="str">
        <x:v>Shenzhen JPT Opto-Electronics Co Ltd</x:v>
      </x:c>
      <x:c r="D30" s="7" t="str">
        <x:v>超高速フェムト秒レーザー3D加工機（LFS-Uシリーズ）</x:v>
      </x:c>
      <x:c r="E30" s="7" t="str">
        <x:v>S1046</x:v>
      </x:c>
      <x:c r="F30" s="7" t="str">
        <x:v>3Dモデルからレーザー加工へ</x:v>
      </x:c>
      <x:c r="G30" s="7" t="str">
        <x:v>3Dモデル解析対応の自社CAMと5軸・レーザー加工制御を組み合わせる。</x:v>
      </x:c>
      <x:c r="H30" s="7" t="str">
        <x:v>工具・機械・段取り制約を織り込む工程作成の技能依存。</x:v>
      </x:c>
      <x:c r="I30" s="7" t="str">
        <x:v>2024原典抜粋： </x:v>
      </x:c>
      <x:c r="J30" s="7" t="str">
        <x:v>2026原典抜粋：5軸同時制御方式とレーザー3軸加工プロセスに、自社開発の3Dモデル解析対応CAMソフトウェアを融合することで、さまざまな材料に対する高精度・高品質な微細加工を実現します。</x:v>
      </x:c>
      <x:c r="K30" s="7" t="str">
        <x:v>原典記述の対照。個別機能の追加・性能差・初登場年は未判定。</x:v>
      </x:c>
      <x:c r="L30" s="7" t="str">
        <x:v>両年説明あり・機能差未判定</x:v>
      </x:c>
      <x:c r="M30" s="7" t="str">
        <x:v>出展説明の一次分類</x:v>
      </x:c>
      <x:c r="N30" s="7" t="str"/>
      <x:c r="O30" s="7" t="str">
        <x:v>承認・例外対応・停止・復帰の境界は未確認</x:v>
      </x:c>
      <x:c r="P30" s="7" t="str">
        <x:v>2026公式カタログ掲載・現地未確認
2026展示予定。既存製品・参考出展・構想等は原典で個別確認</x:v>
      </x:c>
      <x:c r="Q30" s="7" t="str">
        <x:v>AC284</x:v>
      </x:c>
      <x:c t="str" r="R30" s="21">
        <x:f>HYPERLINK("https://www.jimtof.org/search/jp/ESdetails?e=KJTFo439UQQ","JIMTOF2026 出展ページ")</x:f>
        <x:v>JIMTOF2026 出展ページ</x:v>
      </x:c>
      <x:c t="str" r="S30" s="21">
        <x:f>HYPERLINK("https://www.jimtof.org/2024/search/jp/ESdetails?e=W0mOR20blcE","JIMTOF2024 出展ページ")</x:f>
        <x:v>JIMTOF2024 出展ページ</x:v>
      </x:c>
      <x:c r="T30" s="7" t="str">
        <x:v>EEX-EXH-2026-ef080b66b221230c: https://www.jimtof.org/search/jp/ESdetails?e=KJTFo439UQQ
該当箇所: 出展紹介・主な出展物。追加カードの原典抜粋で検索
EEX-EXH-2024-36253b9dd3500ec4: https://www.jimtof.org/2024/search/jp/ESdetails?e=W0mOR20blcE
該当箇所: 出展紹介・主な出展物。追加カードの原典抜粋で検索</x:v>
      </x:c>
    </x:row>
    <x:row r="31" ht="155" customHeight="1">
      <x:c r="A31" s="7" t="str">
        <x:v>生産準備</x:v>
      </x:c>
      <x:c r="B31" s="7" t="str">
        <x:v>工程・CAMプログラムの作成</x:v>
      </x:c>
      <x:c r="C31" s="20" t="str">
        <x:v>松浦機械製作所</x:v>
      </x:c>
      <x:c r="D31" s="7" t="str">
        <x:v>GIBBSCAM2026</x:v>
      </x:c>
      <x:c r="E31" s="7" t="str">
        <x:v>E3030</x:v>
      </x:c>
      <x:c r="F31" s="7" t="str">
        <x:v>5軸・複合加工等の加工プログラム作成</x:v>
      </x:c>
      <x:c r="G31" s="7" t="str">
        <x:v>2026公式出展説明でGIBBSCAM2026の展示・実演を記載。自動化・AIの具体範囲は未精査。</x:v>
      </x:c>
      <x:c r="H31" s="7" t="str">
        <x:v>工具・機械・段取り制約を織り込む工程作成の技能依存。</x:v>
      </x:c>
      <x:c r="I31" s="7" t="str">
        <x:v>この展示アイテムの2024掲載内容・機能差は未精査。同社の他製品の差分を流用しない。</x:v>
      </x:c>
      <x:c r="J31" s="7" t="str">
        <x:v>2026公式出展説明でGIBBSCAM2026の展示・実演を記載。自動化・AIの具体範囲は未精査。</x:v>
      </x:c>
      <x:c r="K31" s="7" t="str">
        <x:v>2026出展説明で当該アイテムを確認。2024との個別機能比較は保留。</x:v>
      </x:c>
      <x:c r="L31" s="7" t="str">
        <x:v>両年説明あり・機能差未判定</x:v>
      </x:c>
      <x:c r="M31" s="7" t="str">
        <x:v>出展説明の一次分類</x:v>
      </x:c>
      <x:c r="N31" s="7" t="str"/>
      <x:c r="O31" s="7" t="str">
        <x:v>作成条件、修正・採用判断、実行前の確認範囲は未精査。</x:v>
      </x:c>
      <x:c r="P31" s="7" t="str">
        <x:v>JIMTOF2026公式カタログ掲載・現地未確認
2026展示予定・提供段階未確認</x:v>
      </x:c>
      <x:c r="Q31" s="7" t="str">
        <x:v>SUB001</x:v>
      </x:c>
      <x:c t="str" r="R31" s="21">
        <x:f>HYPERLINK("https://www.jimtof.org/search/jp/ESdetails?e=K_X61J2xV_w","JIMTOF2026 出展ページ")</x:f>
        <x:v>JIMTOF2026 出展ページ</x:v>
      </x:c>
      <x:c t="str" r="S31" s="21">
        <x:f>HYPERLINK("https://www.jimtof.org/2024/search/jp/ESdetails?e=_4GLIXLZuKE","JIMTOF2024 出展ページ")</x:f>
        <x:v>JIMTOF2024 出展ページ</x:v>
      </x:c>
      <x:c r="T31" s="7" t="str">
        <x:v>EOV-V028-2024-1: https://www.jimtof.org/2024/search/jp/ESdetails?e=_4GLIXLZuKE
該当箇所: main &gt; div.col-md-8.mb-5 の出展紹介、見出し「主な出展物」直後
EOV-V028-2024-2: https://www.jimtof.org/2024/search/jp/ESdetails?e=coHqGCjVn0c
該当箇所: main &gt; div.col-md-8.mb-5 の出展紹介、見出し「主な出展物」直後
EOV-V028-2026-1: https://www.jimtof.org/search/jp/ESdetails?e=K_X61J2xV_w
該当箇所: main &gt; div.col-md-8.mb-5 の出展紹介、見出し「主な出展物」直後</x:v>
      </x:c>
    </x:row>
    <x:row r="32" ht="155" customHeight="1">
      <x:c r="A32" s="7" t="str">
        <x:v>生産準備</x:v>
      </x:c>
      <x:c r="B32" s="7" t="str">
        <x:v>工程・CAMプログラムの作成</x:v>
      </x:c>
      <x:c r="C32" s="20" t="str">
        <x:v>Walter Maschinenbau</x:v>
      </x:c>
      <x:c r="D32" s="7" t="str">
        <x:v>HELITRONIC TOOL STUDIO</x:v>
      </x:c>
      <x:c r="E32" s="7" t="str">
        <x:v>E8001</x:v>
      </x:c>
      <x:c r="F32" s="7" t="str">
        <x:v>切削工具の設計と加工プログラム作成</x:v>
      </x:c>
      <x:c r="G32" s="7" t="str">
        <x:v>2026公式出展説明で、工具設計から加工プログラム作成までを支援するソフトウェアとして掲載。AI使用の記載は未確認。</x:v>
      </x:c>
      <x:c r="H32" s="7" t="str">
        <x:v>工具・機械・段取り制約を織り込む工程作成の技能依存。</x:v>
      </x:c>
      <x:c r="I32" s="7" t="str">
        <x:v>この展示アイテムの2024掲載内容・機能差は未精査。同社の他製品の差分を流用しない。</x:v>
      </x:c>
      <x:c r="J32" s="7" t="str">
        <x:v>2026公式出展説明で、工具設計から加工プログラム作成までを支援するソフトウェアとして掲載。AI使用の記載は未確認。</x:v>
      </x:c>
      <x:c r="K32" s="7" t="str">
        <x:v>2026出展説明で当該アイテムを確認。2024との個別機能比較は保留。</x:v>
      </x:c>
      <x:c r="L32" s="7" t="str">
        <x:v>両年説明あり・機能差未判定</x:v>
      </x:c>
      <x:c r="M32" s="7" t="str">
        <x:v>出展説明の一次分類</x:v>
      </x:c>
      <x:c r="N32" s="7" t="str"/>
      <x:c r="O32" s="7" t="str">
        <x:v>作成条件、修正・採用判断、実行前の確認範囲は未精査。</x:v>
      </x:c>
      <x:c r="P32" s="7" t="str">
        <x:v>JIMTOF2026公式カタログ掲載・現地未確認
2026展示予定・提供段階未確認</x:v>
      </x:c>
      <x:c r="Q32" s="7" t="str">
        <x:v>SUB002</x:v>
      </x:c>
      <x:c t="str" r="R32" s="21">
        <x:f>HYPERLINK("https://www.jimtof.org/search/jp/ESdetails?e=roSu2EMRXwk","JIMTOF2026 出展ページ")</x:f>
        <x:v>JIMTOF2026 出展ページ</x:v>
      </x:c>
      <x:c t="str" r="S32" s="21">
        <x:f>HYPERLINK("https://www.jimtof.org/2024/search/jp/ESdetails?e=lCRhaAH1JOM","JIMTOF2024 出展ページ")</x:f>
        <x:v>JIMTOF2024 出展ページ</x:v>
      </x:c>
      <x:c r="T32" s="7" t="str">
        <x:v>EOV-V035-2024-1: https://www.jimtof.org/2024/search/jp/ESdetails?e=lCRhaAH1JOM
該当箇所: main &gt; div.col-md-8.mb-5 の出展紹介、見出し「主な出展物」直後
EOV-V035-2026-1: https://www.jimtof.org/search/jp/ESdetails?e=roSu2EMRXwk
該当箇所: main &gt; div.col-md-8.mb-5 の出展紹介、見出し「主な出展物」直後</x:v>
      </x:c>
    </x:row>
    <x:row r="33" ht="155" customHeight="1">
      <x:c r="A33" s="7" t="str">
        <x:v>生産準備</x:v>
      </x:c>
      <x:c r="B33" s="7" t="str">
        <x:v>工程・CAMプログラムの作成</x:v>
      </x:c>
      <x:c r="C33" s="20" t="str">
        <x:v>シーメンス株式会社</x:v>
      </x:c>
      <x:c r="D33" s="7" t="str">
        <x:v>NX CAM／NX CMM</x:v>
      </x:c>
      <x:c r="E33" s="7" t="str">
        <x:v>E3006</x:v>
      </x:c>
      <x:c r="F33" s="7" t="str">
        <x:v>加工と測定のプログラムを準備する</x:v>
      </x:c>
      <x:c r="G33" s="7" t="str">
        <x:v>2026公式の主な出展物にNX CAMとNX CMMを掲載。工作機械ツインや人型ロボットとは別の展示アイテム。各ソフトの生成AI機能・2024との機能差は未精査。</x:v>
      </x:c>
      <x:c r="H33" s="7" t="str">
        <x:v>工具・機械・段取り制約を織り込む工程作成の技能依存。 ／ 測定の段取り・搬送・記録に人手が残り、結果が加工改善につながりにくい。</x:v>
      </x:c>
      <x:c r="I33" s="7" t="str">
        <x:v>この展示アイテムの2024掲載内容・機能差は未精査。同社の他製品の差分を流用しない。</x:v>
      </x:c>
      <x:c r="J33" s="7" t="str">
        <x:v>2026公式の主な出展物にNX CAMとNX CMMを掲載。工作機械ツインや人型ロボットとは別の展示アイテム。各ソフトの生成AI機能・2024との機能差は未精査。</x:v>
      </x:c>
      <x:c r="K33" s="7" t="str">
        <x:v>2026出展説明で当該アイテムを確認。2024との個別機能比較は保留。</x:v>
      </x:c>
      <x:c r="L33" s="7" t="str">
        <x:v>両年説明あり・機能差未判定</x:v>
      </x:c>
      <x:c r="M33" s="7" t="str">
        <x:v>出展説明の一次分類</x:v>
      </x:c>
      <x:c r="N33" s="7" t="str"/>
      <x:c r="O33" s="7" t="str">
        <x:v>作成条件、修正・採用判断、実行前の確認範囲は未精査。</x:v>
      </x:c>
      <x:c r="P33" s="7" t="str">
        <x:v>2026公式カタログ掲載・現地未確認
2026展示予定。既存製品・参考出展・構想等は原典で個別確認</x:v>
      </x:c>
      <x:c r="Q33" s="7" t="str">
        <x:v>SUB003</x:v>
      </x:c>
      <x:c t="str" r="R33" s="21">
        <x:f>HYPERLINK("https://www.jimtof.org/search/jp/ESdetails?e=EBIotJu7lrg","JIMTOF2026 出展ページ")</x:f>
        <x:v>JIMTOF2026 出展ページ</x:v>
      </x:c>
      <x:c t="str" r="S33" s="21">
        <x:f>HYPERLINK("https://www.jimtof.org/2024/search/jp/ESdetails?e=nYvFR1vpbuE","JIMTOF2024 出展ページ")</x:f>
        <x:v>JIMTOF2024 出展ページ</x:v>
      </x:c>
      <x:c r="T33" s="7" t="str">
        <x:v>EEX-EXH-2026-9b991dd8132f51dc: https://www.jimtof.org/search/jp/ESdetails?e=EBIotJu7lrg
該当箇所: 出展紹介・主な出展物。追加カードの原典抜粋で検索
EEX-EXH-2024-558faea07a73f5d8: https://www.jimtof.org/2024/search/jp/ESdetails?e=nYvFR1vpbuE
該当箇所: 出展紹介・主な出展物。追加カードの原典抜粋で検索
EDP-16: https://references.siemens.com/en/reference/heller-tokn-digital-twin?id=41137
該当箇所: Completion: 2024／仮想SINUMERIK ONEと3D機械モデルによる訓練
EDP-17: https://press.siemens.com/jp/ja/pressrelease/pr-20260416
該当箇所: HMND 01 Alphaのトート把持・搬送・配置／Jetson Thor・Isaac Sim/Lab</x:v>
      </x:c>
    </x:row>
    <x:row r="34" ht="155" customHeight="1">
      <x:c r="A34" s="7" t="str">
        <x:v>自律加工</x:v>
      </x:c>
      <x:c r="B34" s="7" t="str">
        <x:v>NC送り最適化・加工中の適応制御</x:v>
      </x:c>
      <x:c r="C34" s="20" t="str">
        <x:v>ベッコフオートメーション</x:v>
      </x:c>
      <x:c r="D34" s="7" t="str">
        <x:v>TwinCAT CNC：切削信号の解析・独自制御</x:v>
      </x:c>
      <x:c r="E34" s="7" t="str">
        <x:v>E2028</x:v>
      </x:c>
      <x:c r="F34" s="7" t="str">
        <x:v>加工信号解析</x:v>
      </x:c>
      <x:c r="G34" s="7" t="str">
        <x:v>高速サンプリング・FFT・C++／Simulinkの独自ロジックを接続</x:v>
      </x:c>
      <x:c r="H34" s="7" t="str">
        <x:v>加工中の異常・工具状態を把握するための監視と診断技能</x:v>
      </x:c>
      <x:c r="I34" s="7" t="str">
        <x:v>2024詳細不足</x:v>
      </x:c>
      <x:c r="J34" s="7" t="str">
        <x:v>2026は3つの機能開発事例を具体記載</x:v>
      </x:c>
      <x:c r="K34" s="7" t="str">
        <x:v>出展説明・公式資料の記載比較。初発明年・実演成功・性能向上を証明するものではない。</x:v>
      </x:c>
      <x:c r="L34" s="7" t="str">
        <x:v>年度資料不足・比較不能</x:v>
      </x:c>
      <x:c r="M34" s="7" t="str">
        <x:v>個別タスク整理</x:v>
      </x:c>
      <x:c r="N34" s="7" t="str"/>
      <x:c r="O34" s="7" t="str">
        <x:v>制御ロジック設計・安定性確認・機種適合は開発者の範囲。AI使用は必須ではない</x:v>
      </x:c>
      <x:c r="P34" s="7" t="str">
        <x:v>JIMTOF2026公式カタログ掲載・現地未確認
2026展示予定・提供段階未確認</x:v>
      </x:c>
      <x:c r="Q34" s="7" t="str">
        <x:v>FC015</x:v>
      </x:c>
      <x:c t="str" r="R34" s="21">
        <x:f>HYPERLINK("https://www.jimtof.org/search/jp/ESdetails?e=K7DqahO2h08","JIMTOF2026 出展ページ")</x:f>
        <x:v>JIMTOF2026 出展ページ</x:v>
      </x:c>
      <x:c r="S34" s="21" t="str"/>
      <x:c r="T34" s="7" t="str">
        <x:v>EOV-V005-2026-1: https://www.jimtof.org/search/jp/ESdetails?e=K7DqahO2h08
該当箇所: main &gt; div.col-md-8.mb-5 の出展紹介、見出し「主な出展物」直後</x:v>
      </x:c>
    </x:row>
    <x:row r="35" ht="155" customHeight="1">
      <x:c r="A35" s="7" t="str">
        <x:v>自律加工</x:v>
      </x:c>
      <x:c r="B35" s="7" t="str">
        <x:v>NC送り最適化・加工中の適応制御</x:v>
      </x:c>
      <x:c r="C35" s="20" t="str">
        <x:v>CGTech</x:v>
      </x:c>
      <x:c r="D35" s="7" t="str">
        <x:v>Vericut Force／Optimizer</x:v>
      </x:c>
      <x:c r="E35" s="7" t="str">
        <x:v>S3014</x:v>
      </x:c>
      <x:c r="F35" s="7" t="str">
        <x:v>加工前にNCの送り速度を調整する</x:v>
      </x:c>
      <x:c r="G35" s="7" t="str">
        <x:v>Forceは切削物理と力・動力制約を使い加工前に送りを最適化。</x:v>
      </x:c>
      <x:c r="H35" s="7" t="str">
        <x:v>加工負荷や条件を適正化する技能と現場での試行</x:v>
      </x:c>
      <x:c r="I35" s="7" t="str">
        <x:v>Forceによる刃物負荷最適化を掲載</x:v>
      </x:c>
      <x:c r="J35" s="7" t="str">
        <x:v>AI活用・独立Optimizerを掲載するが具体方式差は不足</x:v>
      </x:c>
      <x:c r="K35" s="7" t="str">
        <x:v>Forceは2024掲載済み。2026のAI訴求とOptimizerの方式差は未確認。</x:v>
      </x:c>
      <x:c r="L35" s="7" t="str">
        <x:v>個別比較あり</x:v>
      </x:c>
      <x:c r="M35" s="7" t="str">
        <x:v>詳細比較済み</x:v>
      </x:c>
      <x:c r="N35" s="7" t="str"/>
      <x:c r="O35" s="7" t="str">
        <x:v>材料・工具・限界条件とNC採用が必要〈分析〉。運用詳細は未確認。</x:v>
      </x:c>
      <x:c r="P35" s="7" t="str">
        <x:v>JIMTOF2026公式カタログ掲載・現地未確認
2026展示予定・提供段階未確認</x:v>
      </x:c>
      <x:c r="Q35" s="7" t="str">
        <x:v>FC022</x:v>
      </x:c>
      <x:c t="str" r="R35" s="21">
        <x:f>HYPERLINK("https://www.jimtof.org/search/jp/ESdetails?e=41U8xW4UkcM","JIMTOF2026 出展ページ")</x:f>
        <x:v>JIMTOF2026 出展ページ</x:v>
      </x:c>
      <x:c t="str" r="S35" s="21">
        <x:f>HYPERLINK("https://www.jimtof.org/2024/search/jp/ESdetails?e=AxDUk3YbQDI","JIMTOF2024 出展ページ")</x:f>
        <x:v>JIMTOF2024 出展ページ</x:v>
      </x:c>
      <x:c r="T35" s="7" t="str">
        <x:v>EOV-V009-2024-1: https://www.jimtof.org/2024/search/jp/ESdetails?e=AxDUk3YbQDI
該当箇所: main &gt; div.col-md-8.mb-5 の出展紹介、見出し「主な出展物」直後
EOV-V009-2026-1: https://www.jimtof.org/search/jp/ESdetails?e=41U8xW4UkcM
該当箇所: main &gt; div.col-md-8.mb-5 の出展紹介、見出し「主な出展物」直後
RPT-S04: https://archive.vericut.com/force-faq/
該当箇所: Force physics-based optimization</x:v>
      </x:c>
    </x:row>
    <x:row r="36" ht="155" customHeight="1">
      <x:c r="A36" s="7" t="str">
        <x:v>自律加工</x:v>
      </x:c>
      <x:c r="B36" s="7" t="str">
        <x:v>NC送り最適化・加工中の適応制御</x:v>
      </x:c>
      <x:c r="C36" s="20" t="str">
        <x:v>三菱電機</x:v>
      </x:c>
      <x:c r="D36" s="7" t="str">
        <x:v>NC MachiningAID（2024）／2026 CNC省人化</x:v>
      </x:c>
      <x:c r="E36" s="7" t="str">
        <x:v>S2003</x:v>
      </x:c>
      <x:c r="F36" s="7" t="str">
        <x:v>加工異常・工具摩耗・作業ミスを検知する</x:v>
      </x:c>
      <x:c r="G36" s="7" t="str">
        <x:v>2024のMachiningAIDは加工異常・工具摩耗・作業ミスをAI検知。</x:v>
      </x:c>
      <x:c r="H36" s="7" t="str">
        <x:v>加工中の異常・工具状態を把握するための監視と診断技能</x:v>
      </x:c>
      <x:c r="I36" s="7" t="str">
        <x:v>2024にNC MachiningAIDの3種類の検知タスクを記載</x:v>
      </x:c>
      <x:c r="J36" s="7" t="str">
        <x:v>2026は設計から加工・保守までのAI省人化を訴求するが、個別差分は不明</x:v>
      </x:c>
      <x:c r="K36" s="7" t="str">
        <x:v>2026はAI省人化の総論。個別機能の進化は比較不能。</x:v>
      </x:c>
      <x:c r="L36" s="7" t="str">
        <x:v>個別比較あり</x:v>
      </x:c>
      <x:c r="M36" s="7" t="str">
        <x:v>詳細比較済み</x:v>
      </x:c>
      <x:c r="N36" s="7" t="str"/>
      <x:c r="O36" s="7" t="str">
        <x:v>2026の継承機能と自動停止・交換権限は未確認。</x:v>
      </x:c>
      <x:c r="P36" s="7" t="str">
        <x:v>JIMTOF2026公式カタログ掲載・現地未確認
2026展示予定・提供段階未確認</x:v>
      </x:c>
      <x:c r="Q36" s="7" t="str">
        <x:v>FC064</x:v>
      </x:c>
      <x:c t="str" r="R36" s="21">
        <x:f>HYPERLINK("https://www.jimtof.org/search/jp/ESdetails?e=AjLnzm01WWU","JIMTOF2026 出展ページ")</x:f>
        <x:v>JIMTOF2026 出展ページ</x:v>
      </x:c>
      <x:c t="str" r="S36" s="21">
        <x:f>HYPERLINK("https://www.jimtof.org/2024/search/jp/ESdetails?e=30li0vWcseI","JIMTOF2024 出展ページ")</x:f>
        <x:v>JIMTOF2024 出展ページ</x:v>
      </x:c>
      <x:c r="T36" s="7" t="str">
        <x:v>EAT-V043-2024-1: https://www.jimtof.org/2024/search/jp/ESdetails?e=30li0vWcseI
該当箇所: 出展紹介・主な出展物（カードの製品名・機能語で検索）
EAT-V043-2026-1: https://www.jimtof.org/search/jp/ESdetails?e=AjLnzm01WWU
該当箇所: 出展紹介・主な出展物（カードの製品名・機能語で検索）</x:v>
      </x:c>
    </x:row>
    <x:row r="37" ht="155" customHeight="1">
      <x:c r="A37" s="7" t="str">
        <x:v>自律加工</x:v>
      </x:c>
      <x:c r="B37" s="7" t="str">
        <x:v>NC送り最適化・加工中の適応制御</x:v>
      </x:c>
      <x:c r="C37" s="20" t="str">
        <x:v>Third Wave Systems Japan合同会社</x:v>
      </x:c>
      <x:c r="D37" s="7" t="str">
        <x:v>材料特性に基づく切削加工CAE・最適化ソリューション</x:v>
      </x:c>
      <x:c r="E37" s="7" t="str">
        <x:v>E1064</x:v>
      </x:c>
      <x:c r="F37" s="7" t="str">
        <x:v>NC送り最適化・加工中の適応制御 ／ デジタルツイン・物理学習用データ ／ CAD・金型設計・NC検証</x:v>
      </x:c>
      <x:c r="G37" s="7" t="str">
        <x:v>原典抜粋：『Production Module』は、NX・Mastercam・CATIAなどのCAD/CAM環境と連携し、パーツ形状全体にわたるマクロな切削現象を解析。 / これらのソリューションは、航空宇宙・自動車・医療機器・工具・工作機械・重工業分野の世界トップメーカーで広く採用され、「加工のデジタルツイン」によって日本のものづくり競争力強化を支援いたします。</x:v>
      </x:c>
      <x:c r="H37" s="7" t="str">
        <x:v>負荷変動による過負荷と、余裕のある区間の加工時間。 ／ 仮想上での確認・学習と実機の結果をつなぐための準備。 ／ 形状の設計変更や加工前の確認に手間がかかる。</x:v>
      </x:c>
      <x:c r="I37" s="7" t="str">
        <x:v>同一正規化名称の2024詳細なし。新規出展・技術不存在とは判断しない。</x:v>
      </x:c>
      <x:c r="J37" s="7" t="str">
        <x:v>2026原典抜粋：『Production Module』は、NX・Mastercam・CATIAなどのCAD/CAM環境と連携し、パーツ形状全体にわたるマクロな切削現象を解析。 / これらのソリューションは、航空宇宙・自動車・医療機器・工具・工作機械・重工業分野の世界トップメーカーで広く採用され、「加工のデジタルツイン」によって日本のものづくり競争力強化を支援いたします。</x:v>
      </x:c>
      <x:c r="K37" s="7" t="str">
        <x:v>原典記述の対照。個別機能の追加・性能差・初登場年は未判定。</x:v>
      </x:c>
      <x:c r="L37" s="7" t="str">
        <x:v>年度資料不足・比較不能</x:v>
      </x:c>
      <x:c r="M37" s="7" t="str">
        <x:v>出展説明の一次分類</x:v>
      </x:c>
      <x:c r="N37" s="7" t="str"/>
      <x:c r="O37" s="7" t="str">
        <x:v>承認・例外対応・停止・復帰の境界は未確認</x:v>
      </x:c>
      <x:c r="P37" s="7" t="str">
        <x:v>2026公式カタログ掲載・現地未確認
2026展示予定。既存製品・参考出展・構想等は原典で個別確認</x:v>
      </x:c>
      <x:c r="Q37" s="7" t="str">
        <x:v>AC082</x:v>
      </x:c>
      <x:c t="str" r="R37" s="21">
        <x:f>HYPERLINK("https://www.jimtof.org/search/jp/ESdetails?e=L43LSAjxuyc","JIMTOF2026 出展ページ")</x:f>
        <x:v>JIMTOF2026 出展ページ</x:v>
      </x:c>
      <x:c r="S37" s="21" t="str"/>
      <x:c r="T37" s="7" t="str">
        <x:v>EEX-EXH-2026-3f24aaee60d77db1: https://www.jimtof.org/search/jp/ESdetails?e=L43LSAjxuyc
該当箇所: 出展紹介・主な出展物。追加カードの原典抜粋で検索</x:v>
      </x:c>
    </x:row>
    <x:row r="38" ht="155" customHeight="1">
      <x:c r="A38" s="7" t="str">
        <x:v>自律加工</x:v>
      </x:c>
      <x:c r="B38" s="7" t="str">
        <x:v>NC送り最適化・加工中の適応制御</x:v>
      </x:c>
      <x:c r="C38" s="20" t="str">
        <x:v>西部商工株式会社</x:v>
      </x:c>
      <x:c r="D38" s="7" t="str">
        <x:v>適応制御・加工監視システム「ACM（Adaptive Control &amp; Monitoring）」</x:v>
      </x:c>
      <x:c r="E38" s="7" t="str">
        <x:v>S3020</x:v>
      </x:c>
      <x:c r="F38" s="7" t="str">
        <x:v>NC送り最適化・加工中の適応制御</x:v>
      </x:c>
      <x:c r="G38" s="7" t="str">
        <x:v>原典抜粋：また、加工状態の監視、適応制御、仮想立ち上げ、工場自動化などのデジタル技術にも取り組んでいます。 / 自動車・EV、航空宇宙、精密部品、歯車、ロボット、産業機器など、幅広い分野のお客様を支援しています。 / 適応制御・加工監視システム「ACM（Adaptive Control &amp; Monitoring）」 / ACMは、加工中の主軸負荷をリアルタイムに監視し、負荷の変化に応じて送り速度を自動調整するシステムです。</x:v>
      </x:c>
      <x:c r="H38" s="7" t="str">
        <x:v>負荷変動による過負荷と、余裕のある区間の加工時間。</x:v>
      </x:c>
      <x:c r="I38" s="7" t="str">
        <x:v>2024原典抜粋：エンジニアリング商社である西部商工は、商社機能を活用して中小企業の現実的なデジタル化ニーズに応えます。当社は新規設備だけでなく、レトロフィットを含めたOT・IT機器やAI技術を駆使し、顧客のニーズに合わせた提案を行います。また、独自の国内外調達ネットワークも当社の強みです。 切削加工のサイクルタイムを最大20％まで短縮するACM： ACMとはAdaptive Control &amp; Monitoringを意味し、切削中のスピンドルの負荷を常時モニタリングし、それを送り速度の調整に活用するシステムです。例えば大きな負荷が</x:v>
      </x:c>
      <x:c r="J38" s="7" t="str">
        <x:v>2026原典抜粋：また、加工状態の監視、適応制御、仮想立ち上げ、工場自動化などのデジタル技術にも取り組んでいます。 / 自動車・EV、航空宇宙、精密部品、歯車、ロボット、産業機器など、幅広い分野のお客様を支援しています。 / 適応制御・加工監視システム「ACM（Adaptive Control &amp; Monitoring）」 / ACMは、加工中の主軸負荷をリアルタイムに監視し、負荷の変化に応じて送り速度を自動調整するシステムです。</x:v>
      </x:c>
      <x:c r="K38" s="7" t="str">
        <x:v>原典記述の対照。個別機能の追加・性能差・初登場年は未判定。</x:v>
      </x:c>
      <x:c r="L38" s="7" t="str">
        <x:v>両年説明あり・機能差未判定</x:v>
      </x:c>
      <x:c r="M38" s="7" t="str">
        <x:v>出展説明の一次分類</x:v>
      </x:c>
      <x:c r="N38" s="7" t="str"/>
      <x:c r="O38" s="7" t="str">
        <x:v>承認・例外対応・停止・復帰の境界は未確認</x:v>
      </x:c>
      <x:c r="P38" s="7" t="str">
        <x:v>2026公式カタログ掲載・現地未確認
2026展示予定。既存製品・参考出展・構想等は原典で個別確認</x:v>
      </x:c>
      <x:c r="Q38" s="7" t="str">
        <x:v>AC115</x:v>
      </x:c>
      <x:c t="str" r="R38" s="21">
        <x:f>HYPERLINK("https://www.jimtof.org/search/jp/ESdetails?e=OC6R-wdDduM","JIMTOF2026 出展ページ")</x:f>
        <x:v>JIMTOF2026 出展ページ</x:v>
      </x:c>
      <x:c t="str" r="S38" s="21">
        <x:f>HYPERLINK("https://www.jimtof.org/2024/search/jp/ESdetails?e=YRTw8XJWi9g","JIMTOF2024 出展ページ")</x:f>
        <x:v>JIMTOF2024 出展ページ</x:v>
      </x:c>
      <x:c r="T38" s="7" t="str">
        <x:v>EEX-EXH-2026-107042c6cf64ba96: https://www.jimtof.org/search/jp/ESdetails?e=OC6R-wdDduM
該当箇所: 出展紹介・主な出展物。追加カードの原典抜粋で検索
EEX-EXH-2024-151b23d9e05ccb13: https://www.jimtof.org/2024/search/jp/ESdetails?e=YRTw8XJWi9g
該当箇所: 出展紹介・主な出展物。追加カードの原典抜粋で検索</x:v>
      </x:c>
    </x:row>
    <x:row r="39" ht="155" customHeight="1">
      <x:c r="A39" s="7" t="str">
        <x:v>自律加工</x:v>
      </x:c>
      <x:c r="B39" s="7" t="str">
        <x:v>NC送り最適化・加工中の適応制御</x:v>
      </x:c>
      <x:c r="C39" s="20" t="str">
        <x:v>有限会社ツールディスカバリー</x:v>
      </x:c>
      <x:c r="D39" s="7" t="str">
        <x:v>切削加工条件カリキュレーター</x:v>
      </x:c>
      <x:c r="E39" s="7" t="str">
        <x:v>W1069</x:v>
      </x:c>
      <x:c r="F39" s="7" t="str">
        <x:v>NC送り最適化・加工中の適応制御</x:v>
      </x:c>
      <x:c r="G39" s="7" t="str">
        <x:v>AIで最適化した条件の目安と説明。学習・算定モデルや制約は未公開</x:v>
      </x:c>
      <x:c r="H39" s="7" t="str">
        <x:v>負荷変動による過負荷と、余裕のある区間の加工時間。</x:v>
      </x:c>
      <x:c r="I39" s="7" t="str">
        <x:v>同一名称の2024詳細なし。法人同一性を含む別名照合は未実施。</x:v>
      </x:c>
      <x:c r="J39" s="7" t="str">
        <x:v>スマホで工具・被削材・加工方法を選び、AI最適化した切削条件の目安を出して共有する。</x:v>
      </x:c>
      <x:c r="K39" s="7" t="str">
        <x:v>2024差分は比較不能。CAM内の工程生成と、条件目安の提示の違いを比較する。</x:v>
      </x:c>
      <x:c r="L39" s="7" t="str">
        <x:v>年度資料不足・比較不能</x:v>
      </x:c>
      <x:c r="M39" s="7" t="str">
        <x:v>出展説明の一次分類</x:v>
      </x:c>
      <x:c r="N39" s="7" t="str"/>
      <x:c r="O39" s="7" t="str">
        <x:v>事前準備：公式出展説明：作業者が3項目を選ぶ／承認：分析：目安を実加工へ採用する判断は別。承認画面・検証方法は未記載／例外対応：未記載：未対応材種・工具や、推奨が成立しない加工条件の警告</x:v>
      </x:c>
      <x:c r="P39" s="7" t="str">
        <x:v>2026公式カタログ掲載・現地未確認
2026展示予定。既存製品・参考出展・構想等は原典で個別確認</x:v>
      </x:c>
      <x:c r="Q39" s="7" t="str">
        <x:v>AC136</x:v>
      </x:c>
      <x:c t="str" r="R39" s="21">
        <x:f>HYPERLINK("https://www.jimtof.org/search/jp/ESdetails?e=2N7pXq5Aehs","JIMTOF2026 出展ページ")</x:f>
        <x:v>JIMTOF2026 出展ページ</x:v>
      </x:c>
      <x:c r="S39" s="21" t="str"/>
      <x:c r="T39" s="7" t="str">
        <x:v>EEX-EXH-2026-d383a51fea03ae6e: https://www.jimtof.org/search/jp/ESdetails?e=2N7pXq5Aehs
該当箇所: 出展紹介・主な出展物。追加カードの原典抜粋で検索
ERF-12: https://www.jimtof.org/search/jp/ExhibitorDetails?b=W1069
該当箇所: 有限会社ツールディスカバリー見出し／工具・被削材・加工方法、AI条件目安、登録不要</x:v>
      </x:c>
    </x:row>
    <x:row r="40" ht="155" customHeight="1">
      <x:c r="A40" s="7" t="str">
        <x:v>自律加工</x:v>
      </x:c>
      <x:c r="B40" s="7" t="str">
        <x:v>NC送り最適化・加工中の適応制御</x:v>
      </x:c>
      <x:c r="C40" s="20" t="str">
        <x:v>日本キスラー合同会社</x:v>
      </x:c>
      <x:c r="D40" s="7" t="str">
        <x:v>【水晶圧電式ワイヤレス回転式動力計9171B】</x:v>
      </x:c>
      <x:c r="E40" s="7" t="str">
        <x:v>S4031</x:v>
      </x:c>
      <x:c r="F40" s="7" t="str">
        <x:v>NC送り最適化・加工中の適応制御 ／ 安全監視・自動化を支える機器</x:v>
      </x:c>
      <x:c r="G40" s="7" t="str">
        <x:v>原典抜粋：タレット旋盤、多軸加工機、ロボット、組立ラインなどの稼働構造部での連続的な測定を実現します。 / ・自動分析ソフトウェア（Piezo Tool System）</x:v>
      </x:c>
      <x:c r="H40" s="7" t="str">
        <x:v>負荷変動による過負荷と、余裕のある区間の加工時間。 ／ 無人運転やロボット導入には、安全確保と機器・配線・力の伝達が必要。</x:v>
      </x:c>
      <x:c r="I40" s="7" t="str">
        <x:v>2024原典抜粋：キスラーは切削・研削加工向けに 2 つの製品を展示します。 【水晶圧電式ワイヤレス回転式動力計】 水晶圧電式素子を内蔵したワイヤレス回転式動力計 は 3 軸（Fx,Fy,Fz）の力とトルク（Mz）を最高の精度で測定します。 無線でデータを送信するため、加工機側に一切の変更を加えずに、容易にご利用いただけます。特に、複数の加工機を用いる量産工程で効果的です。 【ピエゾツールシステムPTS App.】 ワイヤレス回転式動力計と産業用と向けに開発されたソフトウェアPTS App.を組み合わせることで、高度な測定やプロセス</x:v>
      </x:c>
      <x:c r="J40" s="7" t="str">
        <x:v>2026原典抜粋：タレット旋盤、多軸加工機、ロボット、組立ラインなどの稼働構造部での連続的な測定を実現します。 / ・自動分析ソフトウェア（Piezo Tool System）</x:v>
      </x:c>
      <x:c r="K40" s="7" t="str">
        <x:v>原典記述の対照。個別機能の追加・性能差・初登場年は未判定。</x:v>
      </x:c>
      <x:c r="L40" s="7" t="str">
        <x:v>両年説明あり・機能差未判定</x:v>
      </x:c>
      <x:c r="M40" s="7" t="str">
        <x:v>出展説明の一次分類</x:v>
      </x:c>
      <x:c r="N40" s="7" t="str"/>
      <x:c r="O40" s="7" t="str">
        <x:v>承認・例外対応・停止・復帰の境界は未確認</x:v>
      </x:c>
      <x:c r="P40" s="7" t="str">
        <x:v>2026公式カタログ掲載・現地未確認
2026展示予定。既存製品・参考出展・構想等は原典で個別確認</x:v>
      </x:c>
      <x:c r="Q40" s="7" t="str">
        <x:v>AC175</x:v>
      </x:c>
      <x:c t="str" r="R40" s="21">
        <x:f>HYPERLINK("https://www.jimtof.org/search/jp/ESdetails?e=7Gt1ylw_a8s","JIMTOF2026 出展ページ")</x:f>
        <x:v>JIMTOF2026 出展ページ</x:v>
      </x:c>
      <x:c t="str" r="S40" s="21">
        <x:f>HYPERLINK("https://www.jimtof.org/2024/search/jp/ESdetails?e=OdShO16iijA","JIMTOF2024 出展ページ")</x:f>
        <x:v>JIMTOF2024 出展ページ</x:v>
      </x:c>
      <x:c r="T40" s="7" t="str">
        <x:v>EEX-EXH-2026-e0340858cb52d52f: https://www.jimtof.org/search/jp/ESdetails?e=7Gt1ylw_a8s
該当箇所: 出展紹介・主な出展物。追加カードの原典抜粋で検索
EEX-EXH-2024-a947d5bb3582cb0e: https://www.jimtof.org/2024/search/jp/ESdetails?e=OdShO16iijA
該当箇所: 出展紹介・主な出展物。追加カードの原典抜粋で検索</x:v>
      </x:c>
    </x:row>
    <x:row r="41" ht="155" customHeight="1">
      <x:c r="A41" s="7" t="str">
        <x:v>自律加工</x:v>
      </x:c>
      <x:c r="B41" s="7" t="str">
        <x:v>NC送り最適化・加工中の適応制御</x:v>
      </x:c>
      <x:c r="C41" s="20" t="str">
        <x:v>株式会社広築</x:v>
      </x:c>
      <x:c r="D41" s="7" t="str">
        <x:v>NITRONAVI®搭載 窒化 / 軟窒化処理設備 RAV-N型</x:v>
      </x:c>
      <x:c r="E41" s="7" t="str">
        <x:v>E1016</x:v>
      </x:c>
      <x:c r="F41" s="7" t="str">
        <x:v>NC送り最適化・加工中の適応制御</x:v>
      </x:c>
      <x:c r="G41" s="7" t="str">
        <x:v>原典抜粋：● 雰囲気制御による⾼精度窒化 / 軟窒化が実現可能な設備 / ● タイムリー且つスキルフリーのオペレーション / ● ⾃動制御による処理時間の最適化/最短化[エネルギー削減] / ● 処理品に対するトレーサビリティ / NITRONAVI®搭載 窒化 / 軟窒化処理設備 RAV-N型 / NITRONAVI®[制御ガス 窒化/軟窒化処理]を適⽤する最⼤のメリットは表⾯相制御による機械的特性の改善あります。 / NITRONAVI®を具</x:v>
      </x:c>
      <x:c r="H41" s="7" t="str">
        <x:v>負荷変動による過負荷と、余裕のある区間の加工時間。</x:v>
      </x:c>
      <x:c r="I41" s="7" t="str">
        <x:v>2024原典抜粋：● 雰囲気制御による高精度窒化/軟窒化が実現可能な設備 ● タイムリー且つスキルフリーのオペレーション ● 自動制御による処理時間の最適化/最短化[エネルギー削減] ● 処理品に対するトレーサビリティ NITRONAVI®搭載窒化/軟窒化処理設備 NITRONAVI®[制御ガス 窒化/軟窒化処理]を適用する最大のメリットは表面相制御による機械的特性の改善あります。 NITRONAVI®を具備したガス窒化/軟窒化 炉の窒化ポテンシャル[KN値]制御により、鋼表面を化合物層レス、γ’ 相、またε相へ選択的に制御する事が</x:v>
      </x:c>
      <x:c r="J41" s="7" t="str">
        <x:v>2026原典抜粋：● 雰囲気制御による⾼精度窒化 / 軟窒化が実現可能な設備 / ● タイムリー且つスキルフリーのオペレーション / ● ⾃動制御による処理時間の最適化/最短化[エネルギー削減] / ● 処理品に対するトレーサビリティ / NITRONAVI®搭載 窒化 / 軟窒化処理設備 RAV-N型 / NITRONAVI®[制御ガス 窒化/軟窒化処理]を適⽤する最⼤のメリットは表⾯相制御による機械的特性の改善あります。 / NITRONAVI®を具</x:v>
      </x:c>
      <x:c r="K41" s="7" t="str">
        <x:v>原典記述の対照。個別機能の追加・性能差・初登場年は未判定。</x:v>
      </x:c>
      <x:c r="L41" s="7" t="str">
        <x:v>両年説明あり・機能差未判定</x:v>
      </x:c>
      <x:c r="M41" s="7" t="str">
        <x:v>出展説明の一次分類</x:v>
      </x:c>
      <x:c r="N41" s="7" t="str"/>
      <x:c r="O41" s="7" t="str">
        <x:v>承認・例外対応・停止・復帰の境界は未確認</x:v>
      </x:c>
      <x:c r="P41" s="7" t="str">
        <x:v>2026公式カタログ掲載・現地未確認
2026展示予定。既存製品・参考出展・構想等は原典で個別確認</x:v>
      </x:c>
      <x:c r="Q41" s="7" t="str">
        <x:v>AC191</x:v>
      </x:c>
      <x:c t="str" r="R41" s="21">
        <x:f>HYPERLINK("https://www.jimtof.org/search/jp/ESdetails?e=tTqTOqglEMs","JIMTOF2026 出展ページ")</x:f>
        <x:v>JIMTOF2026 出展ページ</x:v>
      </x:c>
      <x:c t="str" r="S41" s="21">
        <x:f>HYPERLINK("https://www.jimtof.org/2024/search/jp/ESdetails?e=41U8xW4UkcM","JIMTOF2024 出展ページ")</x:f>
        <x:v>JIMTOF2024 出展ページ</x:v>
      </x:c>
      <x:c r="T41" s="7" t="str">
        <x:v>EEX-EXH-2026-85b5faf8f6b2498f: https://www.jimtof.org/search/jp/ESdetails?e=tTqTOqglEMs
該当箇所: 出展紹介・主な出展物。追加カードの原典抜粋で検索
EEX-EXH-2024-88ea00ba34ece4f0: https://www.jimtof.org/2024/search/jp/ESdetails?e=41U8xW4UkcM
該当箇所: 出展紹介・主な出展物。追加カードの原典抜粋で検索</x:v>
      </x:c>
    </x:row>
    <x:row r="42" ht="155" customHeight="1">
      <x:c r="A42" s="7" t="str">
        <x:v>自律加工</x:v>
      </x:c>
      <x:c r="B42" s="7" t="str">
        <x:v>NC送り最適化・加工中の適応制御</x:v>
      </x:c>
      <x:c r="C42" s="20" t="str">
        <x:v>Tongtai Machine Tool Co., Ltd.</x:v>
      </x:c>
      <x:c r="D42" s="7" t="str">
        <x:v>本展では、半導体、EV、航空宇宙、精密金型分野に向けた「硬脆材料加工ソリューション」をご提案いたします。メイン展示となる超音波援用マシニングセンタ「V</x:v>
      </x:c>
      <x:c r="E42" s="7" t="str">
        <x:v>E1009-3</x:v>
      </x:c>
      <x:c r="F42" s="7" t="str">
        <x:v>NC送り最適化・加工中の適応制御 ／ 自動加工セル・工程集約</x:v>
      </x:c>
      <x:c r="G42" s="7" t="str">
        <x:v>原典抜粋：最大の特長である「自動周波数追従システム」は、材料特性に応じて振幅と周波数をリアルタイムで最適化。</x:v>
      </x:c>
      <x:c r="H42" s="7" t="str">
        <x:v>負荷変動による過負荷と、余裕のある区間の加工時間。 ／ 設備間の持替えや繰返し作業が、人手・待ち時間・品質差につながる。</x:v>
      </x:c>
      <x:c r="I42" s="7" t="str">
        <x:v>同一正規化名称の2024詳細なし。新規出展・技術不存在とは判断しない。</x:v>
      </x:c>
      <x:c r="J42" s="7" t="str">
        <x:v>2026原典抜粋：最大の特長である「自動周波数追従システム」は、材料特性に応じて振幅と周波数をリアルタイムで最適化。</x:v>
      </x:c>
      <x:c r="K42" s="7" t="str">
        <x:v>原典記述の対照。個別機能の追加・性能差・初登場年は未判定。</x:v>
      </x:c>
      <x:c r="L42" s="7" t="str">
        <x:v>年度資料不足・比較不能</x:v>
      </x:c>
      <x:c r="M42" s="7" t="str">
        <x:v>出展説明の一次分類</x:v>
      </x:c>
      <x:c r="N42" s="7" t="str"/>
      <x:c r="O42" s="7" t="str">
        <x:v>承認・例外対応・停止・復帰の境界は未確認</x:v>
      </x:c>
      <x:c r="P42" s="7" t="str">
        <x:v>2026公式カタログ掲載・現地未確認
2026展示予定。既存製品・参考出展・構想等は原典で個別確認</x:v>
      </x:c>
      <x:c r="Q42" s="7" t="str">
        <x:v>AC289</x:v>
      </x:c>
      <x:c t="str" r="R42" s="21">
        <x:f>HYPERLINK("https://www.jimtof.org/search/jp/ESdetails?e=DIbCyaCMEL8","JIMTOF2026 出展ページ")</x:f>
        <x:v>JIMTOF2026 出展ページ</x:v>
      </x:c>
      <x:c r="S42" s="21" t="str"/>
      <x:c r="T42" s="7" t="str">
        <x:v>EEX-EXH-2026-bf72a60018da6e7c: https://www.jimtof.org/search/jp/ESdetails?e=DIbCyaCMEL8
該当箇所: 出展紹介・主な出展物。追加カードの原典抜粋で検索</x:v>
      </x:c>
    </x:row>
    <x:row r="43" ht="155" customHeight="1">
      <x:c r="A43" s="7" t="str">
        <x:v>自律加工</x:v>
      </x:c>
      <x:c r="B43" s="7" t="str">
        <x:v>NC送り最適化・加工中の適応制御</x:v>
      </x:c>
      <x:c r="C43" s="20" t="str">
        <x:v>Third Wave Systems Japan</x:v>
      </x:c>
      <x:c r="D43" s="7" t="str">
        <x:v>Production Module／AdvantEdge</x:v>
      </x:c>
      <x:c r="E43" s="7" t="str">
        <x:v>E1064</x:v>
      </x:c>
      <x:c r="F43" s="7" t="str">
        <x:v>加工負荷を予測しNC送りを最適化する</x:v>
      </x:c>
      <x:c r="G43" s="7" t="str">
        <x:v>Production ModuleはNCレベルの負荷解析。刃先FEMのAdvantEdgeとは別。</x:v>
      </x:c>
      <x:c r="H43" s="7" t="str">
        <x:v>負荷変動による過負荷と、余裕のある区間の加工時間。</x:v>
      </x:c>
      <x:c r="I43" s="7" t="str">
        <x:v>同名2024詳細なし。Production Moduleの工具たわみ等は2019年公式発表にも記載。</x:v>
      </x:c>
      <x:c r="J43" s="7" t="str">
        <x:v>Third Wave Systemsは、材料特性に基づく切削加工CAE・最適化ソリューションの世界的リーディングカンパニーです。
形状・体積ベースのシミュレーションとは異なり、独自の有限要素法（FEM）解析エンジンによる熱・構造連成解析で、切削中の応力・切削抵抗・切屑形状・温度などの物理現象を高精度に予測・可視化します。
『AdvantEdge』は、140種類超の材料データベースを活用して刃先レベルで切削メカニズムを解明。
工具メーカーでの工具設計から、加工を行う各社での加工方法検討まで幅広く活用され、試作回数の大幅削減を実現します。
『Production Module』は、NX・Mastercam・CATIAなどのCAD/CAM環境と連携し、パーツ形状全体にわたるマクロな切削現象を解析。中核機能の切削負荷平滑化に加え、工具たわみ・被削材変形・びびり安定性・機械動力など多角的な評価が可能で、安全性を確保しつつ加工時間と工具寿命を飛躍的に改善します。
これらのソリューションは、航空宇宙・自動車・医療機器・工具・工作機械・重工業分野の世界トップメーカーで広く採用され、「加工のデジタルツイン」によって日本のものづくり競争力強化を支援いたします。
材料特性に基づく切削加工CAE・最適化ソリューション
『AdvantEdge』切削加工専用の有限要素法（FEM）解析
『Production Module』NCデータレベルの切削負荷解析・最適化
『Distortiσ』加工変形シミュレーション</x:v>
      </x:c>
      <x:c r="K43" s="7" t="str">
        <x:v>2024展示比較不能。工具たわみ等は2019年にも公式説明。</x:v>
      </x:c>
      <x:c r="L43" s="7" t="str">
        <x:v>個別比較あり</x:v>
      </x:c>
      <x:c r="M43" s="7" t="str">
        <x:v>詳細比較済み</x:v>
      </x:c>
      <x:c r="N43" s="7" t="str"/>
      <x:c r="O43" s="7" t="str">
        <x:v>モデル・材料・工具の設定と採用判断が必要〈分析〉。</x:v>
      </x:c>
      <x:c r="P43" s="7" t="str">
        <x:v>2026展示予定
公式カタログ記載</x:v>
      </x:c>
      <x:c r="Q43" s="7" t="str">
        <x:v>RPT001</x:v>
      </x:c>
      <x:c t="str" r="R43" s="21">
        <x:f>HYPERLINK("https://www.jimtof.org/search/jp/ESdetails?e=L43LSAjxuyc","JIMTOF2026 出展ページ")</x:f>
        <x:v>JIMTOF2026 出展ページ</x:v>
      </x:c>
      <x:c r="S43" s="21" t="str"/>
      <x:c r="T43" s="7" t="str">
        <x:v>RPT-EXH-2026-3f24aaee60d77db1: https://www.jimtof.org/search/jp/ESdetails?e=L43LSAjxuyc
該当箇所: main &gt; div.container &gt; div.row &gt; div.col-md-8.mb-5; 見出し「主な出展物」と直後のp
RPT-S05: https://thirdwavesys.com/latest-news/production-module-v8-2-release/
該当箇所: 工具たわみ・entry/exit feedrate constraints</x:v>
      </x:c>
    </x:row>
    <x:row r="44" ht="155" customHeight="1">
      <x:c r="A44" s="7" t="str">
        <x:v>自律加工</x:v>
      </x:c>
      <x:c r="B44" s="7" t="str">
        <x:v>NC送り最適化・加工中の適応制御</x:v>
      </x:c>
      <x:c r="C44" s="20" t="str">
        <x:v>西部商工</x:v>
      </x:c>
      <x:c r="D44" s="7" t="str">
        <x:v>ACM</x:v>
      </x:c>
      <x:c r="E44" s="7" t="str">
        <x:v>S3020</x:v>
      </x:c>
      <x:c r="F44" s="7" t="str">
        <x:v>加工中の負荷に応じ送りを自動調整する</x:v>
      </x:c>
      <x:c r="G44" s="7" t="str">
        <x:v>ACMは実測主軸負荷を使い加工中の送りを自動調整。</x:v>
      </x:c>
      <x:c r="H44" s="7" t="str">
        <x:v>負荷変動による過負荷と、余裕のある区間の加工時間。</x:v>
      </x:c>
      <x:c r="I44" s="7" t="str">
        <x:v>2024もACMの主軸負荷監視と送りの適応制御を説明。</x:v>
      </x:c>
      <x:c r="J44" s="7" t="str">
        <x:v>西部商工は、50年以上にわたり、世界各国の工作機械、産業機器、先進的な加工技術を日本の製造業に提供してきました。現在では、設備の選定・導入から保守、修理、生産改善まで、ものづくりを幅広く支援しています。
弊社では、CNC、PLC、電気、機械、油圧、空圧に関する技術サービスを提供しています。また、加工状態の監視、適応制御、仮想立ち上げ、工場自動化などのデジタル技術にも取り組んでいます。
自動車・EV、航空宇宙、精密部品、歯車、ロボット、産業機器など、幅広い分野のお客様を支援しています。海外の先進技術と国内の技術対応力を組み合わせ、お客様の生産課題に合わせた実用的なソリューションを提供します。
適応制御・加工監視システム「ACM（Adaptive Control &amp; Monitoring）」
ACMは、加工中の主軸負荷をリアルタイムに監視し、負荷の変化に応じて送り速度を自動調整するシステムです。工具への過負荷を抑えながら加工時間を短縮し、工具寿命の安定化や突発的な工具破損の防止に貢献します。
既存の加工プログラムを変更することなく導入でき、特に鋳造品・鍛造品の荒加工、ミーリング、穴あけ、重切削など、加工負荷が変動しやすい工程に適しています。</x:v>
      </x:c>
      <x:c r="K44" s="7" t="str">
        <x:v>2024も負荷監視と送り制御を記載。基本方式は継続。</x:v>
      </x:c>
      <x:c r="L44" s="7" t="str">
        <x:v>個別比較あり</x:v>
      </x:c>
      <x:c r="M44" s="7" t="str">
        <x:v>詳細比較済み</x:v>
      </x:c>
      <x:c r="N44" s="7" t="str"/>
      <x:c r="O44" s="7" t="str">
        <x:v>負荷限界の設定者・停止復帰の手順は未確認。</x:v>
      </x:c>
      <x:c r="P44" s="7" t="str">
        <x:v>2026展示予定
公式カタログ記載</x:v>
      </x:c>
      <x:c r="Q44" s="7" t="str">
        <x:v>RPT002</x:v>
      </x:c>
      <x:c t="str" r="R44" s="21">
        <x:f>HYPERLINK("https://www.jimtof.org/search/jp/ESdetails?e=OC6R-wdDduM","JIMTOF2026 出展ページ")</x:f>
        <x:v>JIMTOF2026 出展ページ</x:v>
      </x:c>
      <x:c t="str" r="S44" s="21">
        <x:f>HYPERLINK("https://www.jimtof.org/2024/search/jp/ESdetails?e=YRTw8XJWi9g","JIMTOF2024 出展ページ")</x:f>
        <x:v>JIMTOF2024 出展ページ</x:v>
      </x:c>
      <x:c r="T44" s="7" t="str">
        <x:v>RPT-EXH-2026-107042c6cf64ba96: https://www.jimtof.org/search/jp/ESdetails?e=OC6R-wdDduM
該当箇所: main &gt; div.container &gt; div.row &gt; div.col-md-8.mb-5; 見出し「主な出展物」と直後のp
RPT-EXH-2024-151b23d9e05ccb13: https://www.jimtof.org/2024/search/jp/ESdetails?e=YRTw8XJWi9g
該当箇所: main &gt; div.container &gt; div.row &gt; div.col-md-8.mb-5; 見出し「主な出展物」と直後のp</x:v>
      </x:c>
    </x:row>
    <x:row r="45" ht="155" customHeight="1">
      <x:c r="A45" s="7" t="str">
        <x:v>生産準備</x:v>
      </x:c>
      <x:c r="B45" s="7" t="str">
        <x:v>PLC・HMI・電気設計の支援</x:v>
      </x:c>
      <x:c r="C45" s="20" t="str">
        <x:v>ベッコフオートメーション</x:v>
      </x:c>
      <x:c r="D45" s="7" t="str">
        <x:v>TwinCAT CoAgent for Engineering：PLC</x:v>
      </x:c>
      <x:c r="E45" s="7" t="str">
        <x:v>E2028</x:v>
      </x:c>
      <x:c r="F45" s="7" t="str">
        <x:v>設備のPLC制御プログラムを作る</x:v>
      </x:c>
      <x:c r="G45" s="7" t="str">
        <x:v>要求とプロジェクト文脈からPLCコード案を提案。</x:v>
      </x:c>
      <x:c r="H45" s="7" t="str">
        <x:v>PLCコード作成・文書参照など制御開発の反復作業</x:v>
      </x:c>
      <x:c r="I45" s="7" t="str">
        <x:v>2024出展の個別詳細は未取得。ただし2023/4の企業公式発表でTwinCAT ChatによるPLCコード作成・追加・最適化・文書化を説明済み。</x:v>
      </x:c>
      <x:c r="J45" s="7" t="str">
        <x:v>2026カタログはPLC支援を掲載。製品ページで実装先・入出力を確認</x:v>
      </x:c>
      <x:c r="K45" s="7" t="str">
        <x:v>PLCコード支援は2023発表済み。2026初の方式ではない。</x:v>
      </x:c>
      <x:c r="L45" s="7" t="str">
        <x:v>個別比較あり</x:v>
      </x:c>
      <x:c r="M45" s="7" t="str">
        <x:v>詳細比較済み</x:v>
      </x:c>
      <x:c r="N45" s="7" t="str"/>
      <x:c r="O45" s="7" t="str">
        <x:v>専門家が確認・確定・実行承認。書込みや起動の個別権限は未確認。</x:v>
      </x:c>
      <x:c r="P45" s="7" t="str">
        <x:v>JIMTOF2026公式カタログ掲載・現地未確認
製品発表・投入時期要問い合わせ</x:v>
      </x:c>
      <x:c r="Q45" s="7" t="str">
        <x:v>FC011</x:v>
      </x:c>
      <x:c t="str" r="R45" s="21">
        <x:f>HYPERLINK("https://www.jimtof.org/search/jp/ESdetails?e=K7DqahO2h08","JIMTOF2026 出展ページ")</x:f>
        <x:v>JIMTOF2026 出展ページ</x:v>
      </x:c>
      <x:c r="S45" s="21" t="str"/>
      <x:c r="T45" s="7" t="str">
        <x:v>EOV-V005-2026-1: https://www.jimtof.org/search/jp/ESdetails?e=K7DqahO2h08
該当箇所: main &gt; div.col-md-8.mb-5 の出展紹介、見出し「主な出展物」直後
EAT-N03: https://www.beckhoff.com/ko-kr/products/automation/twincat/texxxx-twincat-3-engineering/te1700.html
該当箇所: Features／Product status
EAT-N05: https://www.beckhoff.com/ko-kr/products/automation/twincat-projects-with-ai-supported-engineering/
該当箇所: CoAgents for development and machine operation
EDP-03: https://www.beckhoff.com/en-en/company/press/twincat-chat-using-innovative-chatbot-technology-in-twincat-engineering-2023-04.html
該当箇所: TwinCAT XAE／コード作成・追加・最適化・文書化
ERF-01: https://www.beckhoff.com/en-gb/company/news/from-chatbot-to-intelligent-agent.html
該当箇所: 2025/6/13／Placing people at the heart of automation；PLC・I/O・HMI、専門家がreview・confirm・approve</x:v>
      </x:c>
    </x:row>
    <x:row r="46" ht="155" customHeight="1">
      <x:c r="A46" s="7" t="str">
        <x:v>生産準備</x:v>
      </x:c>
      <x:c r="B46" s="7" t="str">
        <x:v>PLC・HMI・電気設計の支援</x:v>
      </x:c>
      <x:c r="C46" s="20" t="str">
        <x:v>ベッコフオートメーション</x:v>
      </x:c>
      <x:c r="D46" s="7" t="str">
        <x:v>TwinCAT CoAgent for Engineering：I/O・HMI</x:v>
      </x:c>
      <x:c r="E46" s="7" t="str">
        <x:v>E2028</x:v>
      </x:c>
      <x:c r="F46" s="7" t="str">
        <x:v>設備の入出力設定と操作画面を作る</x:v>
      </x:c>
      <x:c r="G46" s="7" t="str">
        <x:v>I/O構成とHMI生成・操作を支援するEngineering機能。</x:v>
      </x:c>
      <x:c r="H46" s="7" t="str">
        <x:v>I/O・操作画面・電気設計ツールを使うための知識と設計作業</x:v>
      </x:c>
      <x:c r="I46" s="7" t="str">
        <x:v>2024出展の個別詳細は未取得。ただし2023/4の企業公式発表でTwinCAT ChatによるPLCコード作成・追加・最適化・文書化を説明済み。</x:v>
      </x:c>
      <x:c r="J46" s="7" t="str">
        <x:v>2026のHMI支援記述を製品ページのI/O・画面設計で具体化</x:v>
      </x:c>
      <x:c r="K46" s="7" t="str">
        <x:v>I/O・HMI支援は2025/6にも公式説明。</x:v>
      </x:c>
      <x:c r="L46" s="7" t="str">
        <x:v>個別比較あり</x:v>
      </x:c>
      <x:c r="M46" s="7" t="str">
        <x:v>詳細比較済み</x:v>
      </x:c>
      <x:c r="N46" s="7" t="str"/>
      <x:c r="O46" s="7" t="str">
        <x:v>専門家のレビュー方針。構成誤りの検証・差戻しは未確認。</x:v>
      </x:c>
      <x:c r="P46" s="7" t="str">
        <x:v>JIMTOF2026公式カタログ掲載・現地未確認
製品発表・投入時期要問い合わせ</x:v>
      </x:c>
      <x:c r="Q46" s="7" t="str">
        <x:v>FC012</x:v>
      </x:c>
      <x:c t="str" r="R46" s="21">
        <x:f>HYPERLINK("https://www.jimtof.org/search/jp/ESdetails?e=K7DqahO2h08","JIMTOF2026 出展ページ")</x:f>
        <x:v>JIMTOF2026 出展ページ</x:v>
      </x:c>
      <x:c r="S46" s="21" t="str"/>
      <x:c r="T46" s="7" t="str">
        <x:v>EOV-V005-2026-1: https://www.jimtof.org/search/jp/ESdetails?e=K7DqahO2h08
該当箇所: main &gt; div.col-md-8.mb-5 の出展紹介、見出し「主な出展物」直後
EAT-N03: https://www.beckhoff.com/ko-kr/products/automation/twincat/texxxx-twincat-3-engineering/te1700.html
該当箇所: Features／Product status
EAT-N05: https://www.beckhoff.com/ko-kr/products/automation/twincat-projects-with-ai-supported-engineering/
該当箇所: CoAgents for development and machine operation
EDP-03: https://www.beckhoff.com/en-en/company/press/twincat-chat-using-innovative-chatbot-technology-in-twincat-engineering-2023-04.html
該当箇所: TwinCAT XAE／コード作成・追加・最適化・文書化
ERF-01: https://www.beckhoff.com/en-gb/company/news/from-chatbot-to-intelligent-agent.html
該当箇所: 2025/6/13／Placing people at the heart of automation；PLC・I/O・HMI、専門家がreview・confirm・approve</x:v>
      </x:c>
    </x:row>
    <x:row r="47" ht="155" customHeight="1">
      <x:c r="A47" s="7" t="str">
        <x:v>生産準備</x:v>
      </x:c>
      <x:c r="B47" s="7" t="str">
        <x:v>PLC・HMI・電気設計の支援</x:v>
      </x:c>
      <x:c r="C47" s="20" t="str">
        <x:v>EPLAN</x:v>
      </x:c>
      <x:c r="D47" s="7" t="str">
        <x:v>Eplan P8／Pro Panel</x:v>
      </x:c>
      <x:c r="E47" s="7" t="str">
        <x:v>S1067</x:v>
      </x:c>
      <x:c r="F47" s="7" t="str">
        <x:v>設計製造データ連携</x:v>
      </x:c>
      <x:c r="G47" s="7" t="str">
        <x:v>設計資産の標準化・再利用と製造データの一貫化</x:v>
      </x:c>
      <x:c r="H47" s="7" t="str">
        <x:v>設計・加工準備・製造間のデータ分断と設計資産の再利用</x:v>
      </x:c>
      <x:c r="I47" s="7" t="str">
        <x:v>電気設計から盤製造までのデータ接続を掲載</x:v>
      </x:c>
      <x:c r="J47" s="7" t="str">
        <x:v>同じデータ中心の設計製造連携を掲載</x:v>
      </x:c>
      <x:c r="K47" s="7" t="str">
        <x:v>出展説明・公式資料の記載比較。初発明年・実演成功・性能向上を証明するものではない。</x:v>
      </x:c>
      <x:c r="L47" s="7" t="str">
        <x:v>比較記録あり</x:v>
      </x:c>
      <x:c r="M47" s="7" t="str">
        <x:v>個別タスク整理</x:v>
      </x:c>
      <x:c r="N47" s="7" t="str"/>
      <x:c r="O47" s="7" t="str">
        <x:v>設計判断・最終承認を自律化する説明ではない</x:v>
      </x:c>
      <x:c r="P47" s="7" t="str">
        <x:v>JIMTOF2026公式カタログ掲載・現地未確認
2026展示予定・提供段階未確認</x:v>
      </x:c>
      <x:c r="Q47" s="7" t="str">
        <x:v>FC016</x:v>
      </x:c>
      <x:c t="str" r="R47" s="21">
        <x:f>HYPERLINK("https://www.jimtof.org/search/jp/ESdetails?e=FHsQAvmFusY","JIMTOF2026 出展ページ")</x:f>
        <x:v>JIMTOF2026 出展ページ</x:v>
      </x:c>
      <x:c t="str" r="S47" s="21">
        <x:f>HYPERLINK("https://www.jimtof.org/2024/search/jp/ESdetails?e=50efK4rQsHs","JIMTOF2024 出展ページ")</x:f>
        <x:v>JIMTOF2024 出展ページ</x:v>
      </x:c>
      <x:c r="T47" s="7" t="str">
        <x:v>EOV-V006-2024-1: https://www.jimtof.org/2024/search/jp/ESdetails?e=50efK4rQsHs
該当箇所: main &gt; div.col-md-8.mb-5 の出展紹介、見出し「主な出展物」直後
EOV-V006-2026-1: https://www.jimtof.org/search/jp/ESdetails?e=FHsQAvmFusY
該当箇所: main &gt; div.col-md-8.mb-5 の出展紹介、見出し「主な出展物」直後</x:v>
      </x:c>
    </x:row>
    <x:row r="48" ht="155" customHeight="1">
      <x:c r="A48" s="7" t="str">
        <x:v>生産準備</x:v>
      </x:c>
      <x:c r="B48" s="7" t="str">
        <x:v>PLC・HMI・電気設計の支援</x:v>
      </x:c>
      <x:c r="C48" s="20" t="str">
        <x:v>EPLAN</x:v>
      </x:c>
      <x:c r="D48" s="7" t="str">
        <x:v>Eplan Copilot</x:v>
      </x:c>
      <x:c r="E48" s="7" t="str">
        <x:v>S1067</x:v>
      </x:c>
      <x:c r="F48" s="7" t="str">
        <x:v>電気設計の情報・操作手順を調べる</x:v>
      </x:c>
      <x:c r="G48" s="7" t="str">
        <x:v>Eplan Copilotが文脈に応じた回答・推奨・手順を生成。</x:v>
      </x:c>
      <x:c r="H48" s="7" t="str">
        <x:v>I/O・操作画面・電気設計ツールを使うための知識と設計作業</x:v>
      </x:c>
      <x:c r="I48" s="7" t="str">
        <x:v>2024はデータ連携・3D盤設計</x:v>
      </x:c>
      <x:c r="J48" s="7" t="str">
        <x:v>2026はCopilotによる知識・操作支援を追加記載</x:v>
      </x:c>
      <x:c r="K48" s="7" t="str">
        <x:v>2024の盤設計・データ連携に対し、2026はCopilotを記載。</x:v>
      </x:c>
      <x:c r="L48" s="7" t="str">
        <x:v>個別比較あり</x:v>
      </x:c>
      <x:c r="M48" s="7" t="str">
        <x:v>詳細比較済み</x:v>
      </x:c>
      <x:c r="N48" s="7" t="str"/>
      <x:c r="O48" s="7" t="str">
        <x:v>意思決定は人。設計変更の自動採用は現機能と確認できない。</x:v>
      </x:c>
      <x:c r="P48" s="7" t="str">
        <x:v>JIMTOF2026公式カタログ掲載・現地未確認
支援機能紹介。自動操作・盤レイアウト自動生成は将来構想</x:v>
      </x:c>
      <x:c r="Q48" s="7" t="str">
        <x:v>FC017</x:v>
      </x:c>
      <x:c t="str" r="R48" s="21">
        <x:f>HYPERLINK("https://www.jimtof.org/search/jp/ESdetails?e=FHsQAvmFusY","JIMTOF2026 出展ページ")</x:f>
        <x:v>JIMTOF2026 出展ページ</x:v>
      </x:c>
      <x:c t="str" r="S48" s="21">
        <x:f>HYPERLINK("https://www.jimtof.org/2024/search/jp/ESdetails?e=50efK4rQsHs","JIMTOF2024 出展ページ")</x:f>
        <x:v>JIMTOF2024 出展ページ</x:v>
      </x:c>
      <x:c r="T48" s="7" t="str">
        <x:v>EOV-V006-2024-1: https://www.jimtof.org/2024/search/jp/ESdetails?e=50efK4rQsHs
該当箇所: main &gt; div.col-md-8.mb-5 の出展紹介、見出し「主な出展物」直後
EOV-V006-2026-1: https://www.jimtof.org/search/jp/ESdetails?e=FHsQAvmFusY
該当箇所: main &gt; div.col-md-8.mb-5 の出展紹介、見出し「主な出展物」直後
EAT-N06: https://www.eplan.com/us-en/about-us/innovations/eplan-copilot/
該当箇所: Based on a described task／Looking ahead／conceptual phase</x:v>
      </x:c>
    </x:row>
    <x:row r="49" ht="155" customHeight="1">
      <x:c r="A49" s="7" t="str">
        <x:v>生産準備</x:v>
      </x:c>
      <x:c r="B49" s="7" t="str">
        <x:v>PLC・HMI・電気設計の支援</x:v>
      </x:c>
      <x:c r="C49" s="20" t="str">
        <x:v>株式会社伊東商会</x:v>
      </x:c>
      <x:c r="D49" s="7" t="str">
        <x:v>油圧・電気回路設計シミュレーションソフトAutomation Studio™をご紹介します。 / ブースでは、油圧・電気回路設計シミュレーションソフト</x:v>
      </x:c>
      <x:c r="E49" s="7" t="str">
        <x:v>S4013</x:v>
      </x:c>
      <x:c r="F49" s="7" t="str">
        <x:v>油圧・電気回路の設計と動作確認</x:v>
      </x:c>
      <x:c r="G49" s="7" t="str">
        <x:v>Automation Studioで回路を設計・シミュレーション。生成AIによる設計とは未確認。</x:v>
      </x:c>
      <x:c r="H49" s="7" t="str">
        <x:v>要求から制御コード・画面・設計情報へ落とす手間。 ／ 形状の設計変更や加工前の確認に手間がかかる。</x:v>
      </x:c>
      <x:c r="I49" s="7" t="str">
        <x:v>同一正規化名称の2024詳細なし。新規出展・技術不存在とは判断しない。</x:v>
      </x:c>
      <x:c r="J49" s="7" t="str">
        <x:v>2026原典抜粋：油圧・電気回路設計シミュレーションソフトAutomation Studio™をご紹介します。 / ブースでは、油圧・電気回路設計シミュレーションソフトAutomation Studio™を使用した回路設計とシミュレーションのデモンストレーションを実施します。</x:v>
      </x:c>
      <x:c r="K49" s="7" t="str">
        <x:v>原典記述の対照。個別機能の追加・性能差・初登場年は未判定。</x:v>
      </x:c>
      <x:c r="L49" s="7" t="str">
        <x:v>年度資料不足・比較不能</x:v>
      </x:c>
      <x:c r="M49" s="7" t="str">
        <x:v>出展説明の一次分類</x:v>
      </x:c>
      <x:c r="N49" s="7" t="str"/>
      <x:c r="O49" s="7" t="str">
        <x:v>承認・例外対応・停止・復帰の境界は未確認</x:v>
      </x:c>
      <x:c r="P49" s="7" t="str">
        <x:v>2026公式カタログ掲載・現地未確認
2026展示予定。既存製品・参考出展・構想等は原典で個別確認</x:v>
      </x:c>
      <x:c r="Q49" s="7" t="str">
        <x:v>AC018</x:v>
      </x:c>
      <x:c t="str" r="R49" s="21">
        <x:f>HYPERLINK("https://www.jimtof.org/search/jp/ESdetails?e=zWtwHxsaw3Q","JIMTOF2026 出展ページ")</x:f>
        <x:v>JIMTOF2026 出展ページ</x:v>
      </x:c>
      <x:c r="S49" s="21" t="str"/>
      <x:c r="T49" s="7" t="str">
        <x:v>EEX-EXH-2026-7f41e63bd0f47a62: https://www.jimtof.org/search/jp/ESdetails?e=zWtwHxsaw3Q
該当箇所: 出展紹介・主な出展物。追加カードの原典抜粋で検索</x:v>
      </x:c>
    </x:row>
    <x:row r="50" ht="155" customHeight="1">
      <x:c r="A50" s="7" t="str">
        <x:v>生産準備</x:v>
      </x:c>
      <x:c r="B50" s="7" t="str">
        <x:v>PLC・HMI・電気設計の支援</x:v>
      </x:c>
      <x:c r="C50" s="20" t="str">
        <x:v>リタール株式会社</x:v>
      </x:c>
      <x:c r="D50" s="7" t="str">
        <x:v>制御盤用筐体 VX</x:v>
      </x:c>
      <x:c r="E50" s="7" t="str">
        <x:v>S1067</x:v>
      </x:c>
      <x:c r="F50" s="7" t="str">
        <x:v>電気・制御盤設計と盤製作の連携</x:v>
      </x:c>
      <x:c r="G50" s="7" t="str">
        <x:v>電気設計から制御盤製作への工程連携を紹介。筐体・盤内配線・エッジ用機器も展示。</x:v>
      </x:c>
      <x:c r="H50" s="7" t="str">
        <x:v>要求から制御コード・画面・設計情報へ落とす手間。 ／ データの意味づけと、作ったAIを現場へつなぐ負担。 ／ 無人運転やロボット導入には、安全確保と機器・配線・力の伝達が必要。</x:v>
      </x:c>
      <x:c r="I50" s="7" t="str">
        <x:v>2024原典抜粋：「制御盤製造のデータ連携と実装」 電気設計から製造まで一貫したデジタルワークフローで、盤の設計・製造の効率化を実現できるソリューションをご紹介します。 Eplanの電気回路図設計「electric P8」、3Dレイアウト設計「Pro Panel」とリタールの盤筐体専用加工機「Perforex MT ミリングターミナル」、全自動電線加工機「WT C ワイヤターミナル」をデータでつなげることで、盤製造のバリューチェーンの最適化が生まれます。なお、今年９月に開設した制御盤製造DXを体験・検証できるショールーム「リタール </x:v>
      </x:c>
      <x:c r="J50" s="7" t="str">
        <x:v>2026原典抜粋：国際規格を多数取得、高い保護等級を有するリタールの盤用筐体や小型ボックス各種、工作機械の操作盤に最適の高さ調節式サポートアームシステム、オープンプラットフォームのバスバーシステム、そして、製造業のIoT化を推進するクーラー付ITラック・エッジコンピューティング用ラックも展示します。</x:v>
      </x:c>
      <x:c r="K50" s="7" t="str">
        <x:v>原典記述の対照。個別機能の追加・性能差・初登場年は未判定。</x:v>
      </x:c>
      <x:c r="L50" s="7" t="str">
        <x:v>両年説明あり・機能差未判定</x:v>
      </x:c>
      <x:c r="M50" s="7" t="str">
        <x:v>出展説明の一次分類</x:v>
      </x:c>
      <x:c r="N50" s="7" t="str"/>
      <x:c r="O50" s="7" t="str">
        <x:v>承認・例外対応・停止・復帰の境界は未確認</x:v>
      </x:c>
      <x:c r="P50" s="7" t="str">
        <x:v>2026公式カタログ掲載・現地未確認
2026展示予定。既存製品・参考出展・構想等は原典で個別確認</x:v>
      </x:c>
      <x:c r="Q50" s="7" t="str">
        <x:v>AC240</x:v>
      </x:c>
      <x:c t="str" r="R50" s="21">
        <x:f>HYPERLINK("https://www.jimtof.org/search/jp/ESdetails?e=20GFOkXi--c","JIMTOF2026 出展ページ")</x:f>
        <x:v>JIMTOF2026 出展ページ</x:v>
      </x:c>
      <x:c t="str" r="S50" s="21">
        <x:f>HYPERLINK("https://www.jimtof.org/2024/search/jp/ESdetails?e=0znDfGLD-WE","JIMTOF2024 出展ページ")</x:f>
        <x:v>JIMTOF2024 出展ページ</x:v>
      </x:c>
      <x:c r="T50" s="7" t="str">
        <x:v>EEX-EXH-2026-ede0d52617ac3762: https://www.jimtof.org/search/jp/ESdetails?e=20GFOkXi--c
該当箇所: 出展紹介・主な出展物。追加カードの原典抜粋で検索
EEX-EXH-2024-424d4201234fb682: https://www.jimtof.org/2024/search/jp/ESdetails?e=0znDfGLD-WE
該当箇所: 出展紹介・主な出展物。追加カードの原典抜粋で検索</x:v>
      </x:c>
    </x:row>
    <x:row r="51" ht="155" customHeight="1">
      <x:c r="A51" s="7" t="str">
        <x:v>自律加工</x:v>
      </x:c>
      <x:c r="B51" s="7" t="str">
        <x:v>熱変位補正・びびり抑制</x:v>
      </x:c>
      <x:c r="C51" s="20" t="str">
        <x:v>オークマ</x:v>
      </x:c>
      <x:c r="D51" s="7" t="str">
        <x:v>熱変位制御・AI知能化</x:v>
      </x:c>
      <x:c r="E51" s="7" t="str">
        <x:v>E3028</x:v>
      </x:c>
      <x:c r="F51" s="7" t="str">
        <x:v>温度変化による加工位置のずれを抑える</x:v>
      </x:c>
      <x:c r="G51" s="7" t="str">
        <x:v>熱を単純化する構造と熱変位制御を組み合わせる。</x:v>
      </x:c>
      <x:c r="H51" s="7" t="str">
        <x:v>熱変位などによる加工品質のばらつきと補正の負担</x:v>
      </x:c>
      <x:c r="I51" s="7" t="str">
        <x:v>知能化技術・Green-Smart Machineを掲載</x:v>
      </x:c>
      <x:c r="J51" s="7" t="str">
        <x:v>熱変位制御とAIを具体記載</x:v>
      </x:c>
      <x:c r="K51" s="7" t="str">
        <x:v>熱安定化は既存技術。2026のAI訴求だけで補正全体をAIとしない。</x:v>
      </x:c>
      <x:c r="L51" s="7" t="str">
        <x:v>個別比較あり</x:v>
      </x:c>
      <x:c r="M51" s="7" t="str">
        <x:v>詳細比較済み</x:v>
      </x:c>
      <x:c r="N51" s="7" t="str"/>
      <x:c r="O51" s="7" t="str">
        <x:v>校正・補正限界・条件変化時の人の関与は未確認。</x:v>
      </x:c>
      <x:c r="P51" s="7" t="str">
        <x:v>JIMTOF2026公式カタログ掲載・現地未確認
2026展示予定・提供段階未確認</x:v>
      </x:c>
      <x:c r="Q51" s="7" t="str">
        <x:v>FC009</x:v>
      </x:c>
      <x:c t="str" r="R51" s="21">
        <x:f>HYPERLINK("https://www.jimtof.org/search/jp/ESdetails?e=30li0vWcseI","JIMTOF2026 出展ページ")</x:f>
        <x:v>JIMTOF2026 出展ページ</x:v>
      </x:c>
      <x:c t="str" r="S51" s="21">
        <x:f>HYPERLINK("https://www.jimtof.org/2024/search/jp/ESdetails?e=iFfGVH0vPS8","JIMTOF2024 出展ページ")</x:f>
        <x:v>JIMTOF2024 出展ページ</x:v>
      </x:c>
      <x:c r="T51" s="7" t="str">
        <x:v>EOV-V003-2024-1: https://www.jimtof.org/2024/search/jp/ESdetails?e=iFfGVH0vPS8
該当箇所: main &gt; div.col-md-8.mb-5 の出展紹介、見出し「主な出展物」直後
EOV-V003-2026-1: https://www.jimtof.org/search/jp/ESdetails?e=30li0vWcseI
該当箇所: main &gt; div.col-md-8.mb-5 の出展紹介、見出し「主な出展物」直後
RPT-S02: https://www.okuma.co.jp/thermo-aniv/
該当箇所: サーモフレンドリーコンセプトの説明・沿革</x:v>
      </x:c>
    </x:row>
    <x:row r="52" ht="155" customHeight="1">
      <x:c r="A52" s="7" t="str">
        <x:v>自律加工</x:v>
      </x:c>
      <x:c r="B52" s="7" t="str">
        <x:v>熱変位補正・びびり抑制</x:v>
      </x:c>
      <x:c r="C52" s="20" t="str">
        <x:v>ヤマザキマザック</x:v>
      </x:c>
      <x:c r="D52" s="7" t="str">
        <x:v>Ai Thermal Shield（製品資料による比較）</x:v>
      </x:c>
      <x:c r="E52" s="7" t="str">
        <x:v>E1001</x:v>
      </x:c>
      <x:c r="F52" s="7" t="str">
        <x:v>加工後測定も使い熱変位補正を調整する</x:v>
      </x:c>
      <x:c r="G52" s="7" t="str">
        <x:v>温度・回転等を考慮。加工後測定の学習で熱変位補正を最適化。</x:v>
      </x:c>
      <x:c r="H52" s="7" t="str">
        <x:v>素材・加工品の受渡し作業と機械の待ち時間</x:v>
      </x:c>
      <x:c r="I52" s="7" t="str">
        <x:v>製品資料の比較。2024同一機能・版の直接比較は未確認</x:v>
      </x:c>
      <x:c r="J52" s="7" t="str">
        <x:v>製品公式資料による比較例。同機能・版のJIMTOF2026展示搭載は未確認。</x:v>
      </x:c>
      <x:c r="K52" s="7" t="str">
        <x:v>製品資料の比較例。同機能の2026展示搭載・年度差は未確認。</x:v>
      </x:c>
      <x:c r="L52" s="7" t="str">
        <x:v>個別比較あり</x:v>
      </x:c>
      <x:c r="M52" s="7" t="str">
        <x:v>詳細比較済み</x:v>
      </x:c>
      <x:c r="N52" s="7" t="str"/>
      <x:c r="O52" s="7" t="str">
        <x:v>測定準備・更新採否・補正限界の設定者は未確認。</x:v>
      </x:c>
      <x:c r="P52" s="7" t="str">
        <x:v>出展企業は確認。同機能の展示搭載は未確認
製品公式資料あり／展示同一性は未確認</x:v>
      </x:c>
      <x:c r="Q52" s="7" t="str">
        <x:v>RPT006</x:v>
      </x:c>
      <x:c t="str" r="R52" s="21">
        <x:f>HYPERLINK("https://www.jimtof.org/search/jp/ESdetails?e=PJEgqNYlWes","JIMTOF2026 出展ページ")</x:f>
        <x:v>JIMTOF2026 出展ページ</x:v>
      </x:c>
      <x:c t="str" r="S52" s="21">
        <x:f>HYPERLINK("https://www.jimtof.org/2024/search/jp/ESdetails?e=q0OrZBKM3uQ","JIMTOF2024 出展ページ")</x:f>
        <x:v>JIMTOF2024 出展ページ</x:v>
      </x:c>
      <x:c r="T52" s="7" t="str">
        <x:v>RPT-S03: https://www.mazak.com/uk-en/technology/accuracy/
該当箇所: Ai Thermal Shield／Smooth Thermal Shield
EOV-V004-2024-1: https://www.jimtof.org/2024/search/jp/ESdetails?e=q0OrZBKM3uQ
該当箇所: main &gt; div.col-md-8.mb-5 の出展紹介、見出し「主な出展物」直後
EOV-V004-2026-1: https://www.jimtof.org/search/jp/ESdetails?e=PJEgqNYlWes
該当箇所: main &gt; div.col-md-8.mb-5 の出展紹介、見出し「主な出展物」直後
EAT-N08: https://www.mazak.com/jp-en/news-media/upcoming-events/jimtof2026/
該当箇所: Machines &amp; Automation Systems／Automation Systems</x:v>
      </x:c>
    </x:row>
    <x:row r="53" ht="155" customHeight="1">
      <x:c r="A53" s="7" t="str">
        <x:v>自律加工</x:v>
      </x:c>
      <x:c r="B53" s="7" t="str">
        <x:v>熱変位補正・びびり抑制</x:v>
      </x:c>
      <x:c r="C53" s="20" t="str">
        <x:v>オークマ</x:v>
      </x:c>
      <x:c r="D53" s="7" t="str">
        <x:v>加工ナビM-i／M-gⅡ（製品資料による比較）</x:v>
      </x:c>
      <x:c r="E53" s="7" t="str">
        <x:v>E3028</x:v>
      </x:c>
      <x:c r="F53" s="7" t="str">
        <x:v>びびり振動に応じ主軸回転数を調整する</x:v>
      </x:c>
      <x:c r="G53" s="7" t="str">
        <x:v>M-iは振動計測から主軸速度を自動変更。M-gⅡは速度候補を提示。</x:v>
      </x:c>
      <x:c r="H53" s="7" t="str">
        <x:v>熱変位などによる加工品質のばらつきと補正の負担</x:v>
      </x:c>
      <x:c r="I53" s="7" t="str">
        <x:v>製品資料の比較。2024同一機能・版の直接比較は未確認</x:v>
      </x:c>
      <x:c r="J53" s="7" t="str">
        <x:v>製品公式資料による比較例。同機能・版のJIMTOF2026展示搭載は未確認。</x:v>
      </x:c>
      <x:c r="K53" s="7" t="str">
        <x:v>既存製品技術の比較例。2024/2026の機能増分は未確認。</x:v>
      </x:c>
      <x:c r="L53" s="7" t="str">
        <x:v>個別比較あり</x:v>
      </x:c>
      <x:c r="M53" s="7" t="str">
        <x:v>詳細比較済み</x:v>
      </x:c>
      <x:c r="N53" s="7" t="str"/>
      <x:c r="O53" s="7" t="str">
        <x:v>M-iは設定後に自動制御。M-gⅡは人が候補を選ぶ。</x:v>
      </x:c>
      <x:c r="P53" s="7" t="str">
        <x:v>出展企業は確認。同機能の展示搭載は未確認
製品公式資料あり／展示同一性は未確認</x:v>
      </x:c>
      <x:c r="Q53" s="7" t="str">
        <x:v>RPT007</x:v>
      </x:c>
      <x:c t="str" r="R53" s="21">
        <x:f>HYPERLINK("https://www.jimtof.org/search/jp/ESdetails?e=30li0vWcseI","JIMTOF2026 出展ページ")</x:f>
        <x:v>JIMTOF2026 出展ページ</x:v>
      </x:c>
      <x:c t="str" r="S53" s="21">
        <x:f>HYPERLINK("https://www.jimtof.org/2024/search/jp/ESdetails?e=iFfGVH0vPS8","JIMTOF2024 出展ページ")</x:f>
        <x:v>JIMTOF2024 出展ページ</x:v>
      </x:c>
      <x:c r="T53" s="7" t="str">
        <x:v>RPT-S01: https://www.okuma.co.jp/solution_technology/process/
該当箇所: 加工ナビ M-i／M-gⅡ
EOV-V003-2024-1: https://www.jimtof.org/2024/search/jp/ESdetails?e=iFfGVH0vPS8
該当箇所: main &gt; div.col-md-8.mb-5 の出展紹介、見出し「主な出展物」直後
EOV-V003-2026-1: https://www.jimtof.org/search/jp/ESdetails?e=30li0vWcseI
該当箇所: main &gt; div.col-md-8.mb-5 の出展紹介、見出し「主な出展物」直後</x:v>
      </x:c>
    </x:row>
    <x:row r="54" ht="155" customHeight="1">
      <x:c r="A54" s="7" t="str">
        <x:v>自律加工</x:v>
      </x:c>
      <x:c r="B54" s="7" t="str">
        <x:v>計測から加工へのフィードバック</x:v>
      </x:c>
      <x:c r="C54" s="20" t="str">
        <x:v>レニショー</x:v>
      </x:c>
      <x:c r="D54" s="7" t="str">
        <x:v>Renishaw Central＋IPC</x:v>
      </x:c>
      <x:c r="E54" s="7" t="str">
        <x:v>E7089</x:v>
      </x:c>
      <x:c r="F54" s="7" t="str">
        <x:v>測定した寸法を加工補正へ戻す</x:v>
      </x:c>
      <x:c r="G54" s="7" t="str">
        <x:v>Renishaw Central＋IPCで工具オフセットや機械変数を更新。</x:v>
      </x:c>
      <x:c r="H54" s="7" t="str">
        <x:v>測定結果を加工条件・オフセットへ手動で戻す調整と品質ばらつき</x:v>
      </x:c>
      <x:c r="I54" s="7" t="str">
        <x:v>Centralを掲載済み</x:v>
      </x:c>
      <x:c r="J54" s="7" t="str">
        <x:v>Centralを継続。新プローブ等を追加掲載</x:v>
      </x:c>
      <x:c r="K54" s="7" t="str">
        <x:v>Centralは2024掲載済み。2026も継続。</x:v>
      </x:c>
      <x:c r="L54" s="7" t="str">
        <x:v>個別比較あり</x:v>
      </x:c>
      <x:c r="M54" s="7" t="str">
        <x:v>詳細比較済み</x:v>
      </x:c>
      <x:c r="N54" s="7" t="str"/>
      <x:c r="O54" s="7" t="str">
        <x:v>計測不確かさ、補正上限、異常値の抑止条件は未確認。</x:v>
      </x:c>
      <x:c r="P54" s="7" t="str">
        <x:v>JIMTOF2026公式カタログ掲載・現地未確認
既存方式・メーカー自社工場事例あり</x:v>
      </x:c>
      <x:c r="Q54" s="7" t="str">
        <x:v>FC033</x:v>
      </x:c>
      <x:c t="str" r="R54" s="21">
        <x:f>HYPERLINK("https://www.jimtof.org/search/jp/ESdetails?e=pYGmVz5GC1c","JIMTOF2026 出展ページ")</x:f>
        <x:v>JIMTOF2026 出展ページ</x:v>
      </x:c>
      <x:c t="str" r="S54" s="21">
        <x:f>HYPERLINK("https://www.jimtof.org/2024/search/jp/ESdetails?e=ekM3exgIAtc","JIMTOF2024 出展ページ")</x:f>
        <x:v>JIMTOF2024 出展ページ</x:v>
      </x:c>
      <x:c r="T54" s="7" t="str">
        <x:v>EOV-V018-2024-1: https://www.jimtof.org/2024/search/jp/ESdetails?e=ekM3exgIAtc
該当箇所: main &gt; div.col-md-8.mb-5 の出展紹介、見出し「主な出展物」直後
EOV-V018-2026-1: https://www.jimtof.org/search/jp/ESdetails?e=pYGmVz5GC1c
該当箇所: main &gt; div.col-md-8.mb-5 の出展紹介、見出し「主な出展物」直後
EOV-W03: https://www.renishaw.com/jp/smart-manufacturing-data-platform-for-industrial-process-control--47853
該当箇所: メカニズム、現場でのクローズドループ、導入効果</x:v>
      </x:c>
    </x:row>
    <x:row r="55" ht="155" customHeight="1">
      <x:c r="A55" s="7" t="str">
        <x:v>自律加工</x:v>
      </x:c>
      <x:c r="B55" s="7" t="str">
        <x:v>計測から加工へのフィードバック</x:v>
      </x:c>
      <x:c r="C55" s="20" t="str">
        <x:v>Wintech Automation</x:v>
      </x:c>
      <x:c r="D55" s="7" t="str">
        <x:v>HGM-DX：測定フィードバック研削</x:v>
      </x:c>
      <x:c r="E55" s="7" t="str">
        <x:v>W3051</x:v>
      </x:c>
      <x:c r="F55" s="7" t="str">
        <x:v>測定値を研削加工の補正へ戻す</x:v>
      </x:c>
      <x:c r="G55" s="7" t="str">
        <x:v>HGM-DXは測定値を研削機へ返し加工公差を自動補正。</x:v>
      </x:c>
      <x:c r="H55" s="7" t="str">
        <x:v>測定結果を加工条件・オフセットへ手動で戻す調整と品質ばらつき</x:v>
      </x:c>
      <x:c r="I55" s="7" t="str">
        <x:v>超硬インサートの製造・検査自動化を説明</x:v>
      </x:c>
      <x:c r="J55" s="7" t="str">
        <x:v>HGM-DXで測定→研削の補正経路を具体記載</x:v>
      </x:c>
      <x:c r="K55" s="7" t="str">
        <x:v>2024は製造・検査自動化。2026は測定→研削を具体記載。</x:v>
      </x:c>
      <x:c r="L55" s="7" t="str">
        <x:v>個別比較あり</x:v>
      </x:c>
      <x:c r="M55" s="7" t="str">
        <x:v>詳細比較済み</x:v>
      </x:c>
      <x:c r="N55" s="7" t="str"/>
      <x:c r="O55" s="7" t="str">
        <x:v>補正上限と誤計測時の対応は未確認。</x:v>
      </x:c>
      <x:c r="P55" s="7" t="str">
        <x:v>JIMTOF2026公式カタログ掲載・現地未確認
2026展示予定・提供段階未確認</x:v>
      </x:c>
      <x:c r="Q55" s="7" t="str">
        <x:v>FC054</x:v>
      </x:c>
      <x:c t="str" r="R55" s="21">
        <x:f>HYPERLINK("https://www.jimtof.org/search/jp/ESdetails?e=lMk3zNvQJbg","JIMTOF2026 出展ページ")</x:f>
        <x:v>JIMTOF2026 出展ページ</x:v>
      </x:c>
      <x:c t="str" r="S55" s="21">
        <x:f>HYPERLINK("https://www.jimtof.org/2024/search/jp/ESdetails?e=-09Q4AWJx1E","JIMTOF2024 出展ページ")</x:f>
        <x:v>JIMTOF2024 出展ページ</x:v>
      </x:c>
      <x:c r="T55" s="7" t="str">
        <x:v>EOV-V034-2024-1: https://www.jimtof.org/2024/search/jp/ESdetails?e=-09Q4AWJx1E
該当箇所: main &gt; div.col-md-8.mb-5 の出展紹介、見出し「主な出展物」直後
EOV-V034-2026-1: https://www.jimtof.org/search/jp/ESdetails?e=lMk3zNvQJbg
該当箇所: main &gt; div.col-md-8.mb-5 の出展紹介、見出し「主な出展物」直後</x:v>
      </x:c>
    </x:row>
    <x:row r="56" ht="155" customHeight="1">
      <x:c r="A56" s="7" t="str">
        <x:v>自律加工</x:v>
      </x:c>
      <x:c r="B56" s="7" t="str">
        <x:v>計測から加工へのフィードバック</x:v>
      </x:c>
      <x:c r="C56" s="20" t="str">
        <x:v>入野機工株式会社</x:v>
      </x:c>
      <x:c r="D56" s="7" t="str">
        <x:v>【新型ハイブリッド内面研削盤 IIG-15HE】</x:v>
      </x:c>
      <x:c r="E56" s="7" t="str">
        <x:v>E7048</x:v>
      </x:c>
      <x:c r="F56" s="7" t="str">
        <x:v>計測から加工へのフィードバック ／ 自動加工セル・工程集約</x:v>
      </x:c>
      <x:c r="G56" s="7" t="str">
        <x:v>原典抜粋：加工状態を見ながら研削条件を作り込み、条件が決まれば全自動研削サイクルで安定した加工を繰り返す。 / 入野機工は、この機械の良さを残しながら、オペレーターが機械の位置をより正確に把握し、より簡単に設定できるよう、デジタル技術を取り入れて操作性を高めてきました。 / 寸法補正から再研削までを効率化します。 / 自動切込み速度はmm/min単位で数値設定でき、従来の油圧・機械機構による送り速度のばらつきを抑え、安定した切込み動作を可能にしま</x:v>
      </x:c>
      <x:c r="H56" s="7" t="str">
        <x:v>検査結果を次の加工に戻す待ち時間と補正のばらつき。 ／ 設備間の持替えや繰返し作業が、人手・待ち時間・品質差につながる。</x:v>
      </x:c>
      <x:c r="I56" s="7" t="str">
        <x:v>2024原典抜粋：汎用機の使い易さとNC機相当の機能を併せ持つハイブリッド・モデル IIG-20Hを展示します。 この機会に是非お越し下さい。 ・ハイブリッド精密内面研削盤（IIG−20H） ・スピンドル ・その他周辺機器</x:v>
      </x:c>
      <x:c r="J56" s="7" t="str">
        <x:v>2026原典抜粋：加工状態を見ながら研削条件を作り込み、条件が決まれば全自動研削サイクルで安定した加工を繰り返す。 / 入野機工は、この機械の良さを残しながら、オペレーターが機械の位置をより正確に把握し、より簡単に設定できるよう、デジタル技術を取り入れて操作性を高めてきました。 / 寸法補正から再研削までを効率化します。 / 自動切込み速度はmm/min単位で数値設定でき、従来の油圧・機械機構による送り速度のばらつきを抑え、安定した切込み動作を可能にしま</x:v>
      </x:c>
      <x:c r="K56" s="7" t="str">
        <x:v>原典記述の対照。個別機能の追加・性能差・初登場年は未判定。</x:v>
      </x:c>
      <x:c r="L56" s="7" t="str">
        <x:v>両年説明あり・機能差未判定</x:v>
      </x:c>
      <x:c r="M56" s="7" t="str">
        <x:v>出展説明の一次分類</x:v>
      </x:c>
      <x:c r="N56" s="7" t="str"/>
      <x:c r="O56" s="7" t="str">
        <x:v>承認・例外対応・停止・復帰の境界は未確認</x:v>
      </x:c>
      <x:c r="P56" s="7" t="str">
        <x:v>2026公式カタログ掲載・現地未確認
2026展示予定。既存製品・参考出展・構想等は原典で個別確認</x:v>
      </x:c>
      <x:c r="Q56" s="7" t="str">
        <x:v>AC021</x:v>
      </x:c>
      <x:c t="str" r="R56" s="21">
        <x:f>HYPERLINK("https://www.jimtof.org/search/jp/ESdetails?e=vWBww2kQlVU","JIMTOF2026 出展ページ")</x:f>
        <x:v>JIMTOF2026 出展ページ</x:v>
      </x:c>
      <x:c t="str" r="S56" s="21">
        <x:f>HYPERLINK("https://www.jimtof.org/2024/search/jp/ESdetails?e=qGcm7ofO3O4","JIMTOF2024 出展ページ")</x:f>
        <x:v>JIMTOF2024 出展ページ</x:v>
      </x:c>
      <x:c r="T56" s="7" t="str">
        <x:v>EEX-EXH-2026-e688a71f11c19f74: https://www.jimtof.org/search/jp/ESdetails?e=vWBww2kQlVU
該当箇所: 出展紹介・主な出展物。追加カードの原典抜粋で検索
EEX-EXH-2024-39ac9ffbfd894fb7: https://www.jimtof.org/2024/search/jp/ESdetails?e=qGcm7ofO3O4
該当箇所: 出展紹介・主な出展物。追加カードの原典抜粋で検索</x:v>
      </x:c>
    </x:row>
    <x:row r="57" ht="155" customHeight="1">
      <x:c r="A57" s="7" t="str">
        <x:v>自律加工</x:v>
      </x:c>
      <x:c r="B57" s="7" t="str">
        <x:v>計測から加工へのフィードバック</x:v>
      </x:c>
      <x:c r="C57" s="20" t="str">
        <x:v>株式会社兼松ケージーケイ</x:v>
      </x:c>
      <x:c r="D57" s="7" t="str">
        <x:v>JDHGT600TH_MG</x:v>
      </x:c>
      <x:c r="E57" s="7" t="str">
        <x:v>S2017</x:v>
      </x:c>
      <x:c r="F57" s="7" t="str">
        <x:v>計測から加工へのフィードバック</x:v>
      </x:c>
      <x:c r="G57" s="7" t="str">
        <x:v>原典抜粋：精彫の「機内測定機能」を採用し、砥石のデータと加工中の孔のデータを自動的に取得でき、この2つのデータを通じて砥石の寸法を補正し、精確な研削を実現する。</x:v>
      </x:c>
      <x:c r="H57" s="7" t="str">
        <x:v>検査結果を次の加工に戻す待ち時間と補正のばらつき。</x:v>
      </x:c>
      <x:c r="I57" s="7" t="str">
        <x:v>2024原典抜粋：高精度5軸マシニングセンター 「JDGR200T」＋ワークストッカー「JDFMS30」 高精度5軸グライディングセンター「JDGRMG200」 北京精彫(JD Group) は、中国及び全世界で12万台以上の納入実績を持つマシニングセンタメーカーです。機械本体のみならず、NCシステムやCAD/CAMまでも内製化している機・電・ソフト一体製造の会社です。此れにより、他社では実現が非常に困難な、NCとCAD/CAM連携ソフトの開発ができることが最大の強みです。その一例が、「機内計測・知能補正技術」です。 従来の機械では</x:v>
      </x:c>
      <x:c r="J57" s="7" t="str">
        <x:v>2026原典抜粋：精彫の「機内測定機能」を採用し、砥石のデータと加工中の孔のデータを自動的に取得でき、この2つのデータを通じて砥石の寸法を補正し、精確な研削を実現する。</x:v>
      </x:c>
      <x:c r="K57" s="7" t="str">
        <x:v>原典記述の対照。個別機能の追加・性能差・初登場年は未判定。</x:v>
      </x:c>
      <x:c r="L57" s="7" t="str">
        <x:v>両年説明あり・機能差未判定</x:v>
      </x:c>
      <x:c r="M57" s="7" t="str">
        <x:v>出展説明の一次分類</x:v>
      </x:c>
      <x:c r="N57" s="7" t="str"/>
      <x:c r="O57" s="7" t="str">
        <x:v>承認・例外対応・停止・復帰の境界は未確認</x:v>
      </x:c>
      <x:c r="P57" s="7" t="str">
        <x:v>2026公式カタログ掲載・現地未確認
2026展示予定。既存製品・参考出展・構想等は原典で個別確認</x:v>
      </x:c>
      <x:c r="Q57" s="7" t="str">
        <x:v>AC052</x:v>
      </x:c>
      <x:c t="str" r="R57" s="21">
        <x:f>HYPERLINK("https://www.jimtof.org/search/jp/ESdetails?e=soucpoaRRyI","JIMTOF2026 出展ページ")</x:f>
        <x:v>JIMTOF2026 出展ページ</x:v>
      </x:c>
      <x:c t="str" r="S57" s="21">
        <x:f>HYPERLINK("https://www.jimtof.org/2024/search/jp/ESdetails?e=zFgPz9zu2WQ","JIMTOF2024 出展ページ")</x:f>
        <x:v>JIMTOF2024 出展ページ</x:v>
      </x:c>
      <x:c r="T57" s="7" t="str">
        <x:v>EEX-EXH-2026-8c94cb18f4807b4e: https://www.jimtof.org/search/jp/ESdetails?e=soucpoaRRyI
該当箇所: 出展紹介・主な出展物。追加カードの原典抜粋で検索
EEX-EXH-2024-57522a6d98baf9dc: https://www.jimtof.org/2024/search/jp/ESdetails?e=zFgPz9zu2WQ
該当箇所: 出展紹介・主な出展物。追加カードの原典抜粋で検索
EEX-EXH-2024-d6c695f4ab26eed1: https://www.jimtof.org/2024/search/jp/ESdetails?e=uq_RQ8doa8c
該当箇所: 出展紹介・主な出展物。追加カードの原典抜粋で検索</x:v>
      </x:c>
    </x:row>
    <x:row r="58" ht="155" customHeight="1">
      <x:c r="A58" s="7" t="str">
        <x:v>自律加工</x:v>
      </x:c>
      <x:c r="B58" s="7" t="str">
        <x:v>計測から加工へのフィードバック</x:v>
      </x:c>
      <x:c r="C58" s="20" t="str">
        <x:v>株式会社サイバーRC</x:v>
      </x:c>
      <x:c r="D58" s="7" t="str">
        <x:v>GH5：工具の3D画像認識・AI補正ホーニング</x:v>
      </x:c>
      <x:c r="E58" s="7" t="str">
        <x:v>E7074</x:v>
      </x:c>
      <x:c r="F58" s="7" t="str">
        <x:v>工具刃先の幅・角度を狙い値へ加工する</x:v>
      </x:c>
      <x:c r="G58" s="7" t="str">
        <x:v>GH5は機内3D画像で刃先を測り、幅・角度の目標へAI補正。</x:v>
      </x:c>
      <x:c r="H58" s="7" t="str">
        <x:v>検査結果を次の加工に戻す待ち時間と補正のばらつき。</x:v>
      </x:c>
      <x:c r="I58" s="7" t="str">
        <x:v>2024はGM5の自動工具交換・研削とGri Star Honing2。</x:v>
      </x:c>
      <x:c r="J58" s="7" t="str">
        <x:v>2026はGH5で機内3D画像解析・AI自動補正、測定・加工・検査の一体化を説明。</x:v>
      </x:c>
      <x:c r="K58" s="7" t="str">
        <x:v>2024のGM5等から、2026はGH5の測定・加工一体化を記載。</x:v>
      </x:c>
      <x:c r="L58" s="7" t="str">
        <x:v>個別比較あり</x:v>
      </x:c>
      <x:c r="M58" s="7" t="str">
        <x:v>詳細比較済み</x:v>
      </x:c>
      <x:c r="N58" s="7" t="str"/>
      <x:c r="O58" s="7" t="str">
        <x:v>目標値は人が設定。過研磨・測定不能時の停止復帰は未確認。</x:v>
      </x:c>
      <x:c r="P58" s="7" t="str">
        <x:v>2026公式カタログ掲載・現地未確認
2026展示予定。既存製品・参考出展・構想等は原典で個別確認</x:v>
      </x:c>
      <x:c r="Q58" s="7" t="str">
        <x:v>AC085</x:v>
      </x:c>
      <x:c t="str" r="R58" s="21">
        <x:f>HYPERLINK("https://www.jimtof.org/search/jp/ESdetails?e=8ealehgmk8o","JIMTOF2026 出展ページ")</x:f>
        <x:v>JIMTOF2026 出展ページ</x:v>
      </x:c>
      <x:c t="str" r="S58" s="21">
        <x:f>HYPERLINK("https://www.jimtof.org/2024/search/jp/ESdetails?e=wk2AEX5rHpw","JIMTOF2024 出展ページ")</x:f>
        <x:v>JIMTOF2024 出展ページ</x:v>
      </x:c>
      <x:c r="T58" s="7" t="str">
        <x:v>EEX-EXH-2026-a0cbad27ea34d7c4: https://www.jimtof.org/search/jp/ESdetails?e=8ealehgmk8o
該当箇所: 出展紹介・主な出展物。追加カードの原典抜粋で検索
EEX-EXH-2024-76ac534a229f7c29: https://www.jimtof.org/2024/search/jp/ESdetails?e=wk2AEX5rHpw
該当箇所: 出展紹介・主な出展物。追加カードの原典抜粋で検索
EDP-02: https://cyber-rc.com/wp-content/uploads/2025/10/%E7%B7%8F%E5%90%88%E3%82%AB%E3%82%BF%E3%83%AD%E3%82%B0420-x-297-mm%E6%A8%AA%E4%B8%A6%E3%81%B3-.pdf
該当箇所: GRISTAR HONING 5 AXIS／幅・角度設定、Robot Eye、自動調整</x:v>
      </x:c>
    </x:row>
    <x:row r="59" ht="155" customHeight="1">
      <x:c r="A59" s="7" t="str">
        <x:v>自律加工</x:v>
      </x:c>
      <x:c r="B59" s="7" t="str">
        <x:v>計測から加工へのフィードバック</x:v>
      </x:c>
      <x:c r="C59" s="20" t="str">
        <x:v>PERFECT MACHINE CO., LTD.</x:v>
      </x:c>
      <x:c r="D59" s="7" t="str">
        <x:v>精密平面切削盤-コラム型PFG-50100DT</x:v>
      </x:c>
      <x:c r="E59" s="7" t="str">
        <x:v>S1081</x:v>
      </x:c>
      <x:c r="F59" s="7" t="str">
        <x:v>計測から加工へのフィードバック ／ 自動加工セル・工程集約</x:v>
      </x:c>
      <x:c r="G59" s="7" t="str">
        <x:v>原典抜粋：自動砥石ドレッシングおよび補正機能により、作業員数を削減し、加工効率を向上させます。 / 静圧回転テーブルとの組み合わせにより、最適な安定性と高い剛性を実現し、半導体、航空宇宙、自動車産業における精密部品加工に最適な選択肢となります。 / 自動砥石ドレッシングおよび補正機能により、作業員数を削減し、加工効率を向上させます。 / 静圧回転テーブルとの組み合わせにより、最適な安定性と高い剛性を実現し、半導体、航空宇宙、自動車産業における精密</x:v>
      </x:c>
      <x:c r="H59" s="7" t="str">
        <x:v>検査結果を次の加工に戻す待ち時間と補正のばらつき。 ／ 設備間の持替えや繰返し作業が、人手・待ち時間・品質差につながる。</x:v>
      </x:c>
      <x:c r="I59" s="7" t="str">
        <x:v>2024原典抜粋：DTシリーズ ** タッチパネル ** 上下自動送り ** 前後連続送り研磨機能 ** 自動潤滑装置 ** 前後微調整装置(0.001mm/１メモリ)(サドル型用) ** 後部カバー標準裝備 ** 前後ストローク調整は操作板から制御 ** テーブル左右移動はセンサーと電磁バルブで制御 タッチパネル平面研削盤-DTシリーズ 模型: PFG-50100DT</x:v>
      </x:c>
      <x:c r="J59" s="7" t="str">
        <x:v>2026原典抜粋：自動砥石ドレッシングおよび補正機能により、作業員数を削減し、加工効率を向上させます。 / 静圧回転テーブルとの組み合わせにより、最適な安定性と高い剛性を実現し、半導体、航空宇宙、自動車産業における精密部品加工に最適な選択肢となります。 / 自動砥石ドレッシングおよび補正機能により、作業員数を削減し、加工効率を向上させます。 / 静圧回転テーブルとの組み合わせにより、最適な安定性と高い剛性を実現し、半導体、航空宇宙、自動車産業における精密</x:v>
      </x:c>
      <x:c r="K59" s="7" t="str">
        <x:v>原典記述の対照。個別機能の追加・性能差・初登場年は未判定。</x:v>
      </x:c>
      <x:c r="L59" s="7" t="str">
        <x:v>両年説明あり・機能差未判定</x:v>
      </x:c>
      <x:c r="M59" s="7" t="str">
        <x:v>出展説明の一次分類</x:v>
      </x:c>
      <x:c r="N59" s="7" t="str"/>
      <x:c r="O59" s="7" t="str">
        <x:v>承認・例外対応・停止・復帰の境界は未確認</x:v>
      </x:c>
      <x:c r="P59" s="7" t="str">
        <x:v>2026公式カタログ掲載・現地未確認
2026展示予定。既存製品・参考出展・構想等は原典で個別確認</x:v>
      </x:c>
      <x:c r="Q59" s="7" t="str">
        <x:v>AC276</x:v>
      </x:c>
      <x:c t="str" r="R59" s="21">
        <x:f>HYPERLINK("https://www.jimtof.org/search/jp/ESdetails?e=uL4EJoJ_Wco","JIMTOF2026 出展ページ")</x:f>
        <x:v>JIMTOF2026 出展ページ</x:v>
      </x:c>
      <x:c t="str" r="S59" s="21">
        <x:f>HYPERLINK("https://www.jimtof.org/2024/search/jp/ESdetails?e=bcsDhP9ayoI","JIMTOF2024 出展ページ")</x:f>
        <x:v>JIMTOF2024 出展ページ</x:v>
      </x:c>
      <x:c r="T59" s="7" t="str">
        <x:v>EEX-EXH-2026-166eb1d478702025: https://www.jimtof.org/search/jp/ESdetails?e=uL4EJoJ_Wco
該当箇所: 出展紹介・主な出展物。追加カードの原典抜粋で検索
EEX-EXH-2024-518e5c72e0650c69: https://www.jimtof.org/2024/search/jp/ESdetails?e=bcsDhP9ayoI
該当箇所: 出展紹介・主な出展物。追加カードの原典抜粋で検索</x:v>
      </x:c>
    </x:row>
    <x:row r="60" ht="155" customHeight="1">
      <x:c r="A60" s="7" t="str">
        <x:v>検査・診断</x:v>
      </x:c>
      <x:c r="B60" s="7" t="str">
        <x:v>外観検査・撮像と追加学習</x:v>
      </x:c>
      <x:c r="C60" s="20" t="str">
        <x:v>ブルーム-ノボテスト</x:v>
      </x:c>
      <x:c r="D60" s="7" t="str">
        <x:v>FormControl X／DIGILOG</x:v>
      </x:c>
      <x:c r="E60" s="7" t="str">
        <x:v>E7084</x:v>
      </x:c>
      <x:c r="F60" s="7" t="str">
        <x:v>機上のワーク形状と工具を測る</x:v>
      </x:c>
      <x:c r="G60" s="7" t="str">
        <x:v>機上3D測定と工具計測・欠け検知・補正を組み合わせる。</x:v>
      </x:c>
      <x:c r="H60" s="7" t="str">
        <x:v>測定待ち、機外への運搬・載せ替え、測定プログラム準備の負担</x:v>
      </x:c>
      <x:c r="I60" s="7" t="str">
        <x:v>FormControl X、LC50 DIGILOGの機上計測・補正を掲載</x:v>
      </x:c>
      <x:c r="J60" s="7" t="str">
        <x:v>LC54、GrindingControlを追加掲載</x:v>
      </x:c>
      <x:c r="K60" s="7" t="str">
        <x:v>2024のFormControl X等を継続し、2026はLC54等を追加。</x:v>
      </x:c>
      <x:c r="L60" s="7" t="str">
        <x:v>個別比較あり</x:v>
      </x:c>
      <x:c r="M60" s="7" t="str">
        <x:v>詳細比較済み</x:v>
      </x:c>
      <x:c r="N60" s="7" t="str"/>
      <x:c r="O60" s="7" t="str">
        <x:v>校正・熱状態・機種適合の条件は未確認。</x:v>
      </x:c>
      <x:c r="P60" s="7" t="str">
        <x:v>JIMTOF2026公式カタログ掲載・現地未確認
2026展示予定・提供段階未確認</x:v>
      </x:c>
      <x:c r="Q60" s="7" t="str">
        <x:v>FC034</x:v>
      </x:c>
      <x:c t="str" r="R60" s="21">
        <x:f>HYPERLINK("https://www.jimtof.org/search/jp/ESdetails?e=_njqMb9vBpc","JIMTOF2026 出展ページ")</x:f>
        <x:v>JIMTOF2026 出展ページ</x:v>
      </x:c>
      <x:c t="str" r="S60" s="21">
        <x:f>HYPERLINK("https://www.jimtof.org/2024/search/jp/ESdetails?e=Zz8BlB0Ylio","JIMTOF2024 出展ページ")</x:f>
        <x:v>JIMTOF2024 出展ページ</x:v>
      </x:c>
      <x:c r="T60" s="7" t="str">
        <x:v>EOV-V019-2024-1: https://www.jimtof.org/2024/search/jp/ESdetails?e=Zz8BlB0Ylio
該当箇所: main &gt; div.col-md-8.mb-5 の出展紹介、見出し「主な出展物」直後
EOV-V019-2026-1: https://www.jimtof.org/search/jp/ESdetails?e=_njqMb9vBpc
該当箇所: main &gt; div.col-md-8.mb-5 の出展紹介、見出し「主な出展物」直後</x:v>
      </x:c>
    </x:row>
    <x:row r="61" ht="155" customHeight="1">
      <x:c r="A61" s="7" t="str">
        <x:v>検査・診断</x:v>
      </x:c>
      <x:c r="B61" s="7" t="str">
        <x:v>外観検査・撮像と追加学習</x:v>
      </x:c>
      <x:c r="C61" s="20" t="str">
        <x:v>HACARUS</x:v>
      </x:c>
      <x:c r="D61" s="7" t="str">
        <x:v>HACARUS Check ZERO</x:v>
      </x:c>
      <x:c r="E61" s="7" t="str">
        <x:v>S1031</x:v>
      </x:c>
      <x:c r="F61" s="7" t="str">
        <x:v>製品表面の傷・欠け等を判定する</x:v>
      </x:c>
      <x:c r="G61" s="7" t="str">
        <x:v>ZEROは良品との差で異常を検出し、人の良否注釈で追加調整。</x:v>
      </x:c>
      <x:c r="H61" s="7" t="str">
        <x:v>目視検査の工数・判定ばらつき、不良画像不足による立上げ負担</x:v>
      </x:c>
      <x:c r="I61" s="7" t="str">
        <x:v>2024同名出展詳細なし。ただし2025/7/7の公式発表は、従来Check AIの少量良品学習を基準に、ZEROの追加学習機能を新搭載と説明。</x:v>
      </x:c>
      <x:c r="J61" s="7" t="str">
        <x:v>2026で良品学習と追加調整を説明</x:v>
      </x:c>
      <x:c r="K61" s="7" t="str">
        <x:v>追加学習は2025/7発表済み。2026だけの新機能としない。</x:v>
      </x:c>
      <x:c r="L61" s="7" t="str">
        <x:v>個別比較あり</x:v>
      </x:c>
      <x:c r="M61" s="7" t="str">
        <x:v>詳細比較済み</x:v>
      </x:c>
      <x:c r="N61" s="7" t="str"/>
      <x:c r="O61" s="7" t="str">
        <x:v>人が画像・注釈を準備。更新モデル採用と出荷判定の権限は未確認。</x:v>
      </x:c>
      <x:c r="P61" s="7" t="str">
        <x:v>JIMTOF2026公式カタログ掲載・現地未確認
2025年7月9日販売開始の既存製品。2026展示予定</x:v>
      </x:c>
      <x:c r="Q61" s="7" t="str">
        <x:v>FC036</x:v>
      </x:c>
      <x:c t="str" r="R61" s="21">
        <x:f>HYPERLINK("https://www.jimtof.org/search/jp/ESdetails?e=oatArsOZ-Wc","JIMTOF2026 出展ページ")</x:f>
        <x:v>JIMTOF2026 出展ページ</x:v>
      </x:c>
      <x:c r="S61" s="21" t="str"/>
      <x:c r="T61" s="7" t="str">
        <x:v>EOV-V021-2026-1: https://www.jimtof.org/search/jp/ESdetails?e=oatArsOZ-Wc
該当箇所: main &gt; div.col-md-8.mb-5 の出展紹介、見出し「主な出展物」直後
EOV-W06: https://hacarus.com/ja/technology/hacarus-check-series/
該当箇所: 2026.04.06本文
EDP-14: https://hacarus.com/ja/press-release/20250707-news/
該当箇所: 2025/7/9販売／良品学習とアノテーション追加学習／判定UI
EDP-15: https://check.hacarus.com/ja/
該当箇所: Check ZERO／デュアルチューニング／機器構成
ERF-05: https://check.hacarus.com/ja/aisoftware/
該当箇所: 特徴／異常箇所表示・良否アノテーション追加学習</x:v>
      </x:c>
    </x:row>
    <x:row r="62" ht="155" customHeight="1">
      <x:c r="A62" s="7" t="str">
        <x:v>検査・診断</x:v>
      </x:c>
      <x:c r="B62" s="7" t="str">
        <x:v>外観検査・撮像と追加学習</x:v>
      </x:c>
      <x:c r="C62" s="20" t="str">
        <x:v>日東商事</x:v>
      </x:c>
      <x:c r="D62" s="7" t="str">
        <x:v>HACARUS Check：協働ロボット多面検査</x:v>
      </x:c>
      <x:c r="E62" s="7" t="str">
        <x:v>S1031</x:v>
      </x:c>
      <x:c r="F62" s="7" t="str">
        <x:v>ワークを多方向から撮り外観を検査する</x:v>
      </x:c>
      <x:c r="G62" s="7" t="str">
        <x:v>協働ロボットで多角度撮像し、AIで傷・欠けを判定。</x:v>
      </x:c>
      <x:c r="H62" s="7" t="str">
        <x:v>目視検査の工数・判定ばらつき、不良画像不足による立上げ負担</x:v>
      </x:c>
      <x:c r="I62" s="7" t="str">
        <x:v>日東商事は放電加工機2機種を紹介</x:v>
      </x:c>
      <x:c r="J62" s="7" t="str">
        <x:v>AI検査システムと協働ロボットによる多面撮像を追加</x:v>
      </x:c>
      <x:c r="K62" s="7" t="str">
        <x:v>日東商事2024の放電加工機展示から、AI検査を追加記載。</x:v>
      </x:c>
      <x:c r="L62" s="7" t="str">
        <x:v>個別比較あり</x:v>
      </x:c>
      <x:c r="M62" s="7" t="str">
        <x:v>詳細比較済み</x:v>
      </x:c>
      <x:c r="N62" s="7" t="str"/>
      <x:c r="O62" s="7" t="str">
        <x:v>姿勢教示・再撮像・不良排出の権限は未確認。</x:v>
      </x:c>
      <x:c r="P62" s="7" t="str">
        <x:v>JIMTOF2026公式カタログ掲載・現地未確認
2026展示予定・提供段階未確認</x:v>
      </x:c>
      <x:c r="Q62" s="7" t="str">
        <x:v>FC037</x:v>
      </x:c>
      <x:c t="str" r="R62" s="21">
        <x:f>HYPERLINK("https://www.jimtof.org/search/jp/ESdetails?e=GozGZRxlviw","JIMTOF2026 出展ページ")</x:f>
        <x:v>JIMTOF2026 出展ページ</x:v>
      </x:c>
      <x:c t="str" r="S62" s="21">
        <x:f>HYPERLINK("https://www.jimtof.org/2024/search/jp/ESdetails?e=S23RMUbJOQs","JIMTOF2024 出展ページ")</x:f>
        <x:v>JIMTOF2024 出展ページ</x:v>
      </x:c>
      <x:c r="T62" s="7" t="str">
        <x:v>EOV-V022-2024-1: https://www.jimtof.org/2024/search/jp/ESdetails?e=S23RMUbJOQs
該当箇所: main &gt; div.col-md-8.mb-5 の出展紹介、見出し「主な出展物」直後
EOV-V022-2026-1: https://www.jimtof.org/search/jp/ESdetails?e=GozGZRxlviw
該当箇所: main &gt; div.col-md-8.mb-5 の出展紹介、見出し「主な出展物」直後</x:v>
      </x:c>
    </x:row>
    <x:row r="63" ht="155" customHeight="1">
      <x:c r="A63" s="7" t="str">
        <x:v>検査・診断</x:v>
      </x:c>
      <x:c r="B63" s="7" t="str">
        <x:v>外観検査・撮像と追加学習</x:v>
      </x:c>
      <x:c r="C63" s="20" t="str">
        <x:v>サンゲン株式会社</x:v>
      </x:c>
      <x:c r="D63" s="7" t="str">
        <x:v>NewVista　ロボット用ネジ検査ユニット</x:v>
      </x:c>
      <x:c r="E63" s="7" t="str">
        <x:v>S4032</x:v>
      </x:c>
      <x:c r="F63" s="7" t="str">
        <x:v>外観検査・撮像と追加学習 ／ 自動計測・測定計画・品質データ</x:v>
      </x:c>
      <x:c r="G63" s="7" t="str">
        <x:v>原典抜粋：ロボットを使用した自動ネジ検査システムの実演と、小型ワークの表裏・側面の6面を高速度で検査する画像外観検査装置『ガラミちゃん6面タイプ』を出展しています。 / 自動化しにくいネジ検査の問題解決のヒントがあります。 / NewVista　ロボット用ネジ検査ユニット / Kassow Robots 7軸協働ロボット / Ovit　自動外観画像検査装置</x:v>
      </x:c>
      <x:c r="H63" s="7" t="str">
        <x:v>少量不良データ、撮像ばらつき、見逃しと過検出。 ／ 測定の段取り・搬送・記録に人手が残り、結果が加工改善につながりにくい。</x:v>
      </x:c>
      <x:c r="I63" s="7" t="str">
        <x:v>2024原典抜粋：検査の自動化・省力化をテーマに、ロボットによる全自動ネジ検査と、切削工具（チップ）の外観検査装置を展示致します。 ネジ検査はゲージの挿入を完全に自動化しており、通り・止まりのOK・NGだけでなく、ネジ深さの数値もデータとして出力します。 ロボットは協同タイプの7軸ロボットを使用して、いろいろな角度からのアプローチができる様子を 御覧下さい。 チップの外観検査装置は、シンプルな構造で、ローコストで導入でき『良品比較検査』という、NGの外部流出がなく、扱いやすいソフトウェアを用い、どなたにも扱いやすい検査装置です。 ①</x:v>
      </x:c>
      <x:c r="J63" s="7" t="str">
        <x:v>2026原典抜粋：ロボットを使用した自動ネジ検査システムの実演と、小型ワークの表裏・側面の6面を高速度で検査する画像外観検査装置『ガラミちゃん6面タイプ』を出展しています。 / 自動化しにくいネジ検査の問題解決のヒントがあります。 / NewVista　ロボット用ネジ検査ユニット / Kassow Robots 7軸協働ロボット / Ovit　自動外観画像検査装置</x:v>
      </x:c>
      <x:c r="K63" s="7" t="str">
        <x:v>原典記述の対照。個別機能の追加・性能差・初登場年は未判定。</x:v>
      </x:c>
      <x:c r="L63" s="7" t="str">
        <x:v>両年説明あり・機能差未判定</x:v>
      </x:c>
      <x:c r="M63" s="7" t="str">
        <x:v>出展説明の一次分類</x:v>
      </x:c>
      <x:c r="N63" s="7" t="str"/>
      <x:c r="O63" s="7" t="str">
        <x:v>承認・例外対応・停止・復帰の境界は未確認</x:v>
      </x:c>
      <x:c r="P63" s="7" t="str">
        <x:v>2026公式カタログ掲載・現地未確認
2026展示予定。既存製品・参考出展・構想等は原典で個別確認</x:v>
      </x:c>
      <x:c r="Q63" s="7" t="str">
        <x:v>AC088</x:v>
      </x:c>
      <x:c t="str" r="R63" s="21">
        <x:f>HYPERLINK("https://www.jimtof.org/search/jp/ESdetails?e=I2fW30uvRgk","JIMTOF2026 出展ページ")</x:f>
        <x:v>JIMTOF2026 出展ページ</x:v>
      </x:c>
      <x:c t="str" r="S63" s="21">
        <x:f>HYPERLINK("https://www.jimtof.org/2024/search/jp/ESdetails?e=8-9_c7w9DM4","JIMTOF2024 出展ページ")</x:f>
        <x:v>JIMTOF2024 出展ページ</x:v>
      </x:c>
      <x:c r="T63" s="7" t="str">
        <x:v>EEX-EXH-2026-5c08ccfcdfa12bac: https://www.jimtof.org/search/jp/ESdetails?e=I2fW30uvRgk
該当箇所: 出展紹介・主な出展物。追加カードの原典抜粋で検索
EEX-EXH-2024-40d9e616e01efb41: https://www.jimtof.org/2024/search/jp/ESdetails?e=8-9_c7w9DM4
該当箇所: 出展紹介・主な出展物。追加カードの原典抜粋で検索</x:v>
      </x:c>
    </x:row>
    <x:row r="64" ht="155" customHeight="1">
      <x:c r="A64" s="7" t="str">
        <x:v>検査・診断</x:v>
      </x:c>
      <x:c r="B64" s="7" t="str">
        <x:v>外観検査・撮像と追加学習</x:v>
      </x:c>
      <x:c r="C64" s="20" t="str">
        <x:v>株式会社松楽産業</x:v>
      </x:c>
      <x:c r="D64" s="7" t="str">
        <x:v>同じ2機種でも、見る角度で強みが変わります。</x:v>
      </x:c>
      <x:c r="E64" s="7" t="str">
        <x:v>S3105</x:v>
      </x:c>
      <x:c r="F64" s="7" t="str">
        <x:v>外観検査・撮像と追加学習</x:v>
      </x:c>
      <x:c r="G64" s="7" t="str">
        <x:v>原典抜粋：JIMTOF2026では、カメラ画像処理とAI制御による最新の計数技術を2機種でご紹介します。 / AI学習機能により、両機種とも使うほどに精度が向上します。 / ②2方向ミラー分光画像処理型ビジョンカウンター®：世界初の粒度分布計でゴミ・ホコリを自動除外し、空中落差誤差補正装置と分散バーで排出時の数量誤差を防止。</x:v>
      </x:c>
      <x:c r="H64" s="7" t="str">
        <x:v>少量不良データ、撮像ばらつき、見逃しと過検出。</x:v>
      </x:c>
      <x:c r="I64" s="7" t="str">
        <x:v>2024原典抜粋：新型カメラ式画像処理型パーツカウンター、VC-200初登場！とうとう待ちに待った、CCDラインスキャンカメラ搭載、シャッタースピード15,000回、AI学習機能搭載のカメラ式画像処理型パーツカウンターが発表されました。 このカウンターは10ミリ上のパーツのカウントを得意としています。 500個カウント時に大量フィーダーで485個カウントしながら、隣では残り15個をカウントしています。つまり、15個カウントしているときには、次の485個をカウントしています。それにより、精度とカウントスピードが高まりました。 パーツカ</x:v>
      </x:c>
      <x:c r="J64" s="7" t="str">
        <x:v>2026原典抜粋：JIMTOF2026では、カメラ画像処理とAI制御による最新の計数技術を2機種でご紹介します。 / AI学習機能により、両機種とも使うほどに精度が向上します。 / ②2方向ミラー分光画像処理型ビジョンカウンター®：世界初の粒度分布計でゴミ・ホコリを自動除外し、空中落差誤差補正装置と分散バーで排出時の数量誤差を防止。</x:v>
      </x:c>
      <x:c r="K64" s="7" t="str">
        <x:v>原典記述の対照。個別機能の追加・性能差・初登場年は未判定。</x:v>
      </x:c>
      <x:c r="L64" s="7" t="str">
        <x:v>両年説明あり・機能差未判定</x:v>
      </x:c>
      <x:c r="M64" s="7" t="str">
        <x:v>出展説明の一次分類</x:v>
      </x:c>
      <x:c r="N64" s="7" t="str"/>
      <x:c r="O64" s="7" t="str">
        <x:v>承認・例外対応・停止・復帰の境界は未確認</x:v>
      </x:c>
      <x:c r="P64" s="7" t="str">
        <x:v>2026公式カタログ掲載・現地未確認
2026展示予定。既存製品・参考出展・構想等は原典で個別確認</x:v>
      </x:c>
      <x:c r="Q64" s="7" t="str">
        <x:v>AC107</x:v>
      </x:c>
      <x:c t="str" r="R64" s="21">
        <x:f>HYPERLINK("https://www.jimtof.org/search/jp/ESdetails?e=L-V39ptNjvw","JIMTOF2026 出展ページ")</x:f>
        <x:v>JIMTOF2026 出展ページ</x:v>
      </x:c>
      <x:c t="str" r="S64" s="21">
        <x:f>HYPERLINK("https://www.jimtof.org/2024/search/jp/ESdetails?e=wuxmmCYbJCQ","JIMTOF2024 出展ページ")</x:f>
        <x:v>JIMTOF2024 出展ページ</x:v>
      </x:c>
      <x:c r="T64" s="7" t="str">
        <x:v>EEX-EXH-2026-652d399463a4c9e2: https://www.jimtof.org/search/jp/ESdetails?e=L-V39ptNjvw
該当箇所: 出展紹介・主な出展物。追加カードの原典抜粋で検索
EEX-EXH-2024-bff03ee7f8f78f1f: https://www.jimtof.org/2024/search/jp/ESdetails?e=wuxmmCYbJCQ
該当箇所: 出展紹介・主な出展物。追加カードの原典抜粋で検索</x:v>
      </x:c>
    </x:row>
    <x:row r="65" ht="155" customHeight="1">
      <x:c r="A65" s="7" t="str">
        <x:v>検査・診断</x:v>
      </x:c>
      <x:c r="B65" s="7" t="str">
        <x:v>外観検査・撮像と追加学習</x:v>
      </x:c>
      <x:c r="C65" s="20" t="str">
        <x:v>株式会社トミタ</x:v>
      </x:c>
      <x:c r="D65" s="7" t="str">
        <x:v>ミツテック（株）製外観検査装置　高速で外観検査を行いNG品流出を防ぎます。</x:v>
      </x:c>
      <x:c r="E65" s="7" t="str">
        <x:v>W2060</x:v>
      </x:c>
      <x:c r="F65" s="7" t="str">
        <x:v>外観検査・撮像と追加学習</x:v>
      </x:c>
      <x:c r="G65" s="7" t="str">
        <x:v>原典抜粋：国産の外観検査装置及びマルチ組立て装置、ドイツ製の輸入機器のAI監視カメラ、世界初のフルカーボンスピンドル、揺動ジェットノズル、目視検査支援ソフト、超高速・超大型の五面加工機、グループ会社の新日本産業及びフィールドの会社概要をご紹介。 / ・ドイツZimmermann社製超高速、超大型の五面化工機、自動車開発で使用されるモデリング加工を / ・ドイツFDX Fluid Dynamix社製揺動ジェットノズル.　特殊構造により可動部品を使用</x:v>
      </x:c>
      <x:c r="H65" s="7" t="str">
        <x:v>少量不良データ、撮像ばらつき、見逃しと過検出。</x:v>
      </x:c>
      <x:c r="I65" s="7" t="str">
        <x:v>2024原典抜粋：生産ラインに合った商品を出展。多品種対応高速外観検査装置、高速回転仕様立型NCフライス盤、自動車開発モデリングに使用される五面加工機、工具破損検出器、揺動ジェットノズル。 ・エツキ社製立型CNCフライス盤（ファイバーレーザーユニット複合機）MS-VNC3 小型フライス盤として世界最高クラスの主軸回転速度（20000回転）を実現し、微細加工を可能にした。 ・ミツテック社製多品種に対応したミツテック製高速外観検査装置 MAR3500 Motion技術とvision技術を融合させ、さまざまの検査に対応しました。 ・ドイツ</x:v>
      </x:c>
      <x:c r="J65" s="7" t="str">
        <x:v>2026原典抜粋：国産の外観検査装置及びマルチ組立て装置、ドイツ製の輸入機器のAI監視カメラ、世界初のフルカーボンスピンドル、揺動ジェットノズル、目視検査支援ソフト、超高速・超大型の五面加工機、グループ会社の新日本産業及びフィールドの会社概要をご紹介。 / ・ドイツZimmermann社製超高速、超大型の五面化工機、自動車開発で使用されるモデリング加工を / ・ドイツFDX Fluid Dynamix社製揺動ジェットノズル.　特殊構造により可動部品を使用</x:v>
      </x:c>
      <x:c r="K65" s="7" t="str">
        <x:v>原典記述の対照。個別機能の追加・性能差・初登場年は未判定。</x:v>
      </x:c>
      <x:c r="L65" s="7" t="str">
        <x:v>両年説明あり・機能差未判定</x:v>
      </x:c>
      <x:c r="M65" s="7" t="str">
        <x:v>出展説明の一次分類</x:v>
      </x:c>
      <x:c r="N65" s="7" t="str"/>
      <x:c r="O65" s="7" t="str">
        <x:v>承認・例外対応・停止・復帰の境界は未確認</x:v>
      </x:c>
      <x:c r="P65" s="7" t="str">
        <x:v>2026公式カタログ掲載・現地未確認
2026展示予定。既存製品・参考出展・構想等は原典で個別確認</x:v>
      </x:c>
      <x:c r="Q65" s="7" t="str">
        <x:v>AC154</x:v>
      </x:c>
      <x:c t="str" r="R65" s="21">
        <x:f>HYPERLINK("https://www.jimtof.org/search/jp/ESdetails?e=C6Hx1wzP4fA","JIMTOF2026 出展ページ")</x:f>
        <x:v>JIMTOF2026 出展ページ</x:v>
      </x:c>
      <x:c t="str" r="S65" s="21">
        <x:f>HYPERLINK("https://www.jimtof.org/2024/search/jp/ESdetails?e=vPn4LnKzWJI","JIMTOF2024 出展ページ")</x:f>
        <x:v>JIMTOF2024 出展ページ</x:v>
      </x:c>
      <x:c r="T65" s="7" t="str">
        <x:v>EEX-EXH-2026-20a8d3222020ce04: https://www.jimtof.org/search/jp/ESdetails?e=C6Hx1wzP4fA
該当箇所: 出展紹介・主な出展物。追加カードの原典抜粋で検索
EEX-EXH-2024-3811d8dfe02cb32b: https://www.jimtof.org/2024/search/jp/ESdetails?e=vPn4LnKzWJI
該当箇所: 出展紹介・主な出展物。追加カードの原典抜粋で検索</x:v>
      </x:c>
    </x:row>
    <x:row r="66" ht="155" customHeight="1">
      <x:c r="A66" s="7" t="str">
        <x:v>検査・診断</x:v>
      </x:c>
      <x:c r="B66" s="7" t="str">
        <x:v>外観検査・撮像と追加学習</x:v>
      </x:c>
      <x:c r="C66" s="20" t="str">
        <x:v>ミツテック株式会社</x:v>
      </x:c>
      <x:c r="D66" s="7" t="str">
        <x:v>立体物の6面検査を実現する「高速外観検査装置MAR3500 レボニー」</x:v>
      </x:c>
      <x:c r="E66" s="7" t="str">
        <x:v>W2060</x:v>
      </x:c>
      <x:c r="F66" s="7" t="str">
        <x:v>外観検査・撮像と追加学習</x:v>
      </x:c>
      <x:c r="G66" s="7" t="str">
        <x:v>原典抜粋：今回展示するモデルは、反転ユニットの搭載により従来は目視に頼っていた裏面検査を自動化し、立体物の6面検査を可能にした高速外観検査装置です。 / また、目視検査自動化に向けた検査基準づくりや導入検討に関するご相談も承ります。 / これまで目視検査に依存していた、多品種・多面・多項目の検査工程を自動化。</x:v>
      </x:c>
      <x:c r="H66" s="7" t="str">
        <x:v>少量不良データ、撮像ばらつき、見逃しと過検出。</x:v>
      </x:c>
      <x:c r="I66" s="7" t="str">
        <x:v>同一正規化名称の2024詳細なし。新規出展・技術不存在とは判断しない。</x:v>
      </x:c>
      <x:c r="J66" s="7" t="str">
        <x:v>2026原典抜粋：今回展示するモデルは、反転ユニットの搭載により従来は目視に頼っていた裏面検査を自動化し、立体物の6面検査を可能にした高速外観検査装置です。 / また、目視検査自動化に向けた検査基準づくりや導入検討に関するご相談も承ります。 / これまで目視検査に依存していた、多品種・多面・多項目の検査工程を自動化。</x:v>
      </x:c>
      <x:c r="K66" s="7" t="str">
        <x:v>原典記述の対照。個別機能の追加・性能差・初登場年は未判定。</x:v>
      </x:c>
      <x:c r="L66" s="7" t="str">
        <x:v>年度資料不足・比較不能</x:v>
      </x:c>
      <x:c r="M66" s="7" t="str">
        <x:v>出展説明の一次分類</x:v>
      </x:c>
      <x:c r="N66" s="7" t="str"/>
      <x:c r="O66" s="7" t="str">
        <x:v>承認・例外対応・停止・復帰の境界は未確認</x:v>
      </x:c>
      <x:c r="P66" s="7" t="str">
        <x:v>2026公式カタログ掲載・現地未確認
2026展示予定。既存製品・参考出展・構想等は原典で個別確認</x:v>
      </x:c>
      <x:c r="Q66" s="7" t="str">
        <x:v>AC221</x:v>
      </x:c>
      <x:c t="str" r="R66" s="21">
        <x:f>HYPERLINK("https://www.jimtof.org/search/jp/ESdetails?e=kOA339rt0Co","JIMTOF2026 出展ページ")</x:f>
        <x:v>JIMTOF2026 出展ページ</x:v>
      </x:c>
      <x:c r="S66" s="21" t="str"/>
      <x:c r="T66" s="7" t="str">
        <x:v>EEX-EXH-2026-1232fea08643b011: https://www.jimtof.org/search/jp/ESdetails?e=kOA339rt0Co
該当箇所: 出展紹介・主な出展物。追加カードの原典抜粋で検索</x:v>
      </x:c>
    </x:row>
    <x:row r="67" ht="155" customHeight="1">
      <x:c r="A67" s="7" t="str">
        <x:v>検査・診断</x:v>
      </x:c>
      <x:c r="B67" s="7" t="str">
        <x:v>外観検査・撮像と追加学習</x:v>
      </x:c>
      <x:c r="C67" s="20" t="str">
        <x:v>BUFFOLI TRANSFER S.p.A.</x:v>
      </x:c>
      <x:c r="D67" s="7" t="str">
        <x:v>CNCトランスファーマシン</x:v>
      </x:c>
      <x:c r="E67" s="7" t="str">
        <x:v>E1034</x:v>
      </x:c>
      <x:c r="F67" s="7" t="str">
        <x:v>外観検査・撮像と追加学習 ／ 自動加工セル・工程集約</x:v>
      </x:c>
      <x:c r="G67" s="7" t="str">
        <x:v>原典抜粋：人材不足が深刻化する製造業界において【搬送・ロボット・検査・ソフトウェア】までを一体化した自動化・ターンキーシステムを提供します。 / さらにAIによる品質検査や予知保全など、Industry 4.0/5.0を見据えた次世代の自動化技術にも注目です。</x:v>
      </x:c>
      <x:c r="H67" s="7" t="str">
        <x:v>少量不良データ、撮像ばらつき、見逃しと過検出。 ／ 設備間の持替えや繰返し作業が、人手・待ち時間・品質差につながる。</x:v>
      </x:c>
      <x:c r="I67" s="7" t="str">
        <x:v>同一正規化名称の2024詳細なし。新規出展・技術不存在とは判断しない。</x:v>
      </x:c>
      <x:c r="J67" s="7" t="str">
        <x:v>2026原典抜粋：人材不足が深刻化する製造業界において【搬送・ロボット・検査・ソフトウェア】までを一体化した自動化・ターンキーシステムを提供します。 / さらにAIによる品質検査や予知保全など、Industry 4.0/5.0を見据えた次世代の自動化技術にも注目です。</x:v>
      </x:c>
      <x:c r="K67" s="7" t="str">
        <x:v>原典記述の対照。個別機能の追加・性能差・初登場年は未判定。</x:v>
      </x:c>
      <x:c r="L67" s="7" t="str">
        <x:v>年度資料不足・比較不能</x:v>
      </x:c>
      <x:c r="M67" s="7" t="str">
        <x:v>出展説明の一次分類</x:v>
      </x:c>
      <x:c r="N67" s="7" t="str"/>
      <x:c r="O67" s="7" t="str">
        <x:v>承認・例外対応・停止・復帰の境界は未確認</x:v>
      </x:c>
      <x:c r="P67" s="7" t="str">
        <x:v>2026公式カタログ掲載・現地未確認
2026展示予定。既存製品・参考出展・構想等は原典で個別確認</x:v>
      </x:c>
      <x:c r="Q67" s="7" t="str">
        <x:v>AC252</x:v>
      </x:c>
      <x:c t="str" r="R67" s="21">
        <x:f>HYPERLINK("https://www.jimtof.org/search/jp/ESdetails?e=XR5ASqmy4zw","JIMTOF2026 出展ページ")</x:f>
        <x:v>JIMTOF2026 出展ページ</x:v>
      </x:c>
      <x:c r="S67" s="21" t="str"/>
      <x:c r="T67" s="7" t="str">
        <x:v>EEX-EXH-2026-606bae6e521953bf: https://www.jimtof.org/search/jp/ESdetails?e=XR5ASqmy4zw
該当箇所: 出展紹介・主な出展物。追加カードの原典抜粋で検索</x:v>
      </x:c>
    </x:row>
    <x:row r="68" ht="155" customHeight="1">
      <x:c r="A68" s="7" t="str">
        <x:v>検査・診断</x:v>
      </x:c>
      <x:c r="B68" s="7" t="str">
        <x:v>工具摩耗の判定・交換判断</x:v>
      </x:c>
      <x:c r="C68" s="20" t="str">
        <x:v>マーポス</x:v>
      </x:c>
      <x:c r="D68" s="7" t="str">
        <x:v>ARTIS／BLU／VTS</x:v>
      </x:c>
      <x:c r="E68" s="7" t="str">
        <x:v>E7087</x:v>
      </x:c>
      <x:c r="F68" s="7" t="str">
        <x:v>工具寸法と加工状態を測り・監視する</x:v>
      </x:c>
      <x:c r="G68" s="7" t="str">
        <x:v>カメラ・レーザーの工具測定と、工具・機械・加工プロセスの監視を展示。</x:v>
      </x:c>
      <x:c r="H68" s="7" t="str">
        <x:v>加工中の異常・工具状態を把握するための監視と診断技能</x:v>
      </x:c>
      <x:c r="I68" s="7" t="str">
        <x:v>ARTIS等の監視・計測群を掲載</x:v>
      </x:c>
      <x:c r="J68" s="7" t="str">
        <x:v>同名群を継続しスキルレス化を訴求</x:v>
      </x:c>
      <x:c r="K68" s="7" t="str">
        <x:v>ARTIS・VTS等は2024にも掲載。2026の展示名だけでは機能の増分を断定できない。</x:v>
      </x:c>
      <x:c r="L68" s="7" t="str">
        <x:v>個別比較あり</x:v>
      </x:c>
      <x:c r="M68" s="7" t="str">
        <x:v>詳細比較済み</x:v>
      </x:c>
      <x:c r="N68" s="7" t="str"/>
      <x:c r="O68" s="7" t="str">
        <x:v>交換・停止を決める基準と、各機能のAI使用は未確認。</x:v>
      </x:c>
      <x:c r="P68" s="7" t="str">
        <x:v>JIMTOF2026公式カタログ掲載・現地未確認
2026展示予定・提供段階未確認</x:v>
      </x:c>
      <x:c r="Q68" s="7" t="str">
        <x:v>FC035</x:v>
      </x:c>
      <x:c t="str" r="R68" s="21">
        <x:f>HYPERLINK("https://www.jimtof.org/search/jp/ESdetails?e=tThKOA-gm8s","JIMTOF2026 出展ページ")</x:f>
        <x:v>JIMTOF2026 出展ページ</x:v>
      </x:c>
      <x:c t="str" r="S68" s="21">
        <x:f>HYPERLINK("https://www.jimtof.org/2024/search/jp/ESdetails?e=K8FKaawJkn0","JIMTOF2024 出展ページ")</x:f>
        <x:v>JIMTOF2024 出展ページ</x:v>
      </x:c>
      <x:c r="T68" s="7" t="str">
        <x:v>EOV-V020-2024-1: https://www.jimtof.org/2024/search/jp/ESdetails?e=K8FKaawJkn0
該当箇所: main &gt; div.col-md-8.mb-5 の出展紹介、見出し「主な出展物」直後
EOV-V020-2026-1: https://www.jimtof.org/search/jp/ESdetails?e=tThKOA-gm8s
該当箇所: main &gt; div.col-md-8.mb-5 の出展紹介、見出し「主な出展物」直後</x:v>
      </x:c>
    </x:row>
    <x:row r="69" ht="155" customHeight="1">
      <x:c r="A69" s="7" t="str">
        <x:v>検査・診断</x:v>
      </x:c>
      <x:c r="B69" s="7" t="str">
        <x:v>工具摩耗の判定・交換判断</x:v>
      </x:c>
      <x:c r="C69" s="20" t="str">
        <x:v>ハイデンハイン</x:v>
      </x:c>
      <x:c r="D69" s="7" t="str">
        <x:v>VT122＋VTC 6.0</x:v>
      </x:c>
      <x:c r="E69" s="7" t="str">
        <x:v>E7043</x:v>
      </x:c>
      <x:c r="F69" s="7" t="str">
        <x:v>工具画像から摩耗状態を診断する</x:v>
      </x:c>
      <x:c r="G69" s="7" t="str">
        <x:v>VT122にVTC 6.0のAI摩耗診断・工具長機能を記載。</x:v>
      </x:c>
      <x:c r="H69" s="7" t="str">
        <x:v>刃先の欠け・摩耗を目視で判定する技能と検査工数</x:v>
      </x:c>
      <x:c r="I69" s="7" t="str">
        <x:v>VT122工具検査を掲載</x:v>
      </x:c>
      <x:c r="J69" s="7" t="str">
        <x:v>AI摩耗診断と工具長機能を明記</x:v>
      </x:c>
      <x:c r="K69" s="7" t="str">
        <x:v>2024はVT122検査。2026はAI摩耗診断を追加記載。</x:v>
      </x:c>
      <x:c r="L69" s="7" t="str">
        <x:v>個別比較あり</x:v>
      </x:c>
      <x:c r="M69" s="7" t="str">
        <x:v>詳細比較済み</x:v>
      </x:c>
      <x:c r="N69" s="7" t="str"/>
      <x:c r="O69" s="7" t="str">
        <x:v>判定閾値と自動交換への接続は未確認。</x:v>
      </x:c>
      <x:c r="P69" s="7" t="str">
        <x:v>JIMTOF2026公式カタログ掲載・現地未確認
2026展示予定・提供段階未確認</x:v>
      </x:c>
      <x:c r="Q69" s="7" t="str">
        <x:v>FC038</x:v>
      </x:c>
      <x:c t="str" r="R69" s="21">
        <x:f>HYPERLINK("https://www.jimtof.org/search/jp/ESdetails?e=iohDR5yR9VA","JIMTOF2026 出展ページ")</x:f>
        <x:v>JIMTOF2026 出展ページ</x:v>
      </x:c>
      <x:c t="str" r="S69" s="21">
        <x:f>HYPERLINK("https://www.jimtof.org/2024/search/jp/ESdetails?e=GFSwCXSxe9o","JIMTOF2024 出展ページ")</x:f>
        <x:v>JIMTOF2024 出展ページ</x:v>
      </x:c>
      <x:c r="T69" s="7" t="str">
        <x:v>EOV-V023-2024-1: https://www.jimtof.org/2024/search/jp/ESdetails?e=GFSwCXSxe9o
該当箇所: main &gt; div.col-md-8.mb-5 の出展紹介、見出し「主な出展物」直後
EOV-V023-2026-1: https://www.jimtof.org/search/jp/ESdetails?e=iohDR5yR9VA
該当箇所: main &gt; div.col-md-8.mb-5 の出展紹介、見出し「主な出展物」直後</x:v>
      </x:c>
    </x:row>
    <x:row r="70" ht="155" customHeight="1">
      <x:c r="A70" s="7" t="str">
        <x:v>検査・診断</x:v>
      </x:c>
      <x:c r="B70" s="7" t="str">
        <x:v>工具摩耗の判定・交換判断</x:v>
      </x:c>
      <x:c r="C70" s="20" t="str">
        <x:v>モリマシナリー</x:v>
      </x:c>
      <x:c r="D70" s="7" t="str">
        <x:v>ツールコラージュ</x:v>
      </x:c>
      <x:c r="E70" s="7" t="str">
        <x:v>S3048</x:v>
      </x:c>
      <x:c r="F70" s="7" t="str">
        <x:v>刃先の欠け・摩耗を判定し記録する</x:v>
      </x:c>
      <x:c r="G70" s="7" t="str">
        <x:v>刃先の診断箇所を認知し、欠け・摩耗をAI判定・記録。</x:v>
      </x:c>
      <x:c r="H70" s="7" t="str">
        <x:v>刃先の欠け・摩耗を目視で判定する技能と検査工数</x:v>
      </x:c>
      <x:c r="I70" s="7" t="str">
        <x:v>診断箇所自動認知とAI摩耗判定を説明済み</x:v>
      </x:c>
      <x:c r="J70" s="7" t="str">
        <x:v>撮像・AI・判定記録を継続掲載</x:v>
      </x:c>
      <x:c r="K70" s="7" t="str">
        <x:v>AI摩耗判定は2024にも説明済み。2026は継続。</x:v>
      </x:c>
      <x:c r="L70" s="7" t="str">
        <x:v>個別比較あり</x:v>
      </x:c>
      <x:c r="M70" s="7" t="str">
        <x:v>詳細比較済み</x:v>
      </x:c>
      <x:c r="N70" s="7" t="str"/>
      <x:c r="O70" s="7" t="str">
        <x:v>対象工具と撮像条件を準備。継続使用の最終決定者は未確認。</x:v>
      </x:c>
      <x:c r="P70" s="7" t="str">
        <x:v>JIMTOF2026公式カタログ掲載・現地未確認
2026展示予定・提供段階未確認</x:v>
      </x:c>
      <x:c r="Q70" s="7" t="str">
        <x:v>FC039</x:v>
      </x:c>
      <x:c t="str" r="R70" s="21">
        <x:f>HYPERLINK("https://www.jimtof.org/search/jp/ESdetails?e=ZvT3Lci-hnM","JIMTOF2026 出展ページ")</x:f>
        <x:v>JIMTOF2026 出展ページ</x:v>
      </x:c>
      <x:c t="str" r="S70" s="21">
        <x:f>HYPERLINK("https://www.jimtof.org/2024/search/jp/ESdetails?e=yEoPl5sH6Sg","JIMTOF2024 出展ページ")</x:f>
        <x:v>JIMTOF2024 出展ページ</x:v>
      </x:c>
      <x:c r="T70" s="7" t="str">
        <x:v>EOV-V024-2024-1: https://www.jimtof.org/2024/search/jp/ESdetails?e=yEoPl5sH6Sg
該当箇所: main &gt; div.col-md-8.mb-5 の出展紹介、見出し「主な出展物」直後
EOV-V024-2026-1: https://www.jimtof.org/search/jp/ESdetails?e=ZvT3Lci-hnM
該当箇所: main &gt; div.col-md-8.mb-5 の出展紹介、見出し「主な出展物」直後
EDP-12: https://mori-machinery.com/en/product/tool-sommelier?post_id=1066
該当箇所: 刃先撮像・欠け摩耗自動検出／FAQの工具・径制約</x:v>
      </x:c>
    </x:row>
    <x:row r="71" ht="155" customHeight="1">
      <x:c r="A71" s="7" t="str">
        <x:v>検査・診断</x:v>
      </x:c>
      <x:c r="B71" s="7" t="str">
        <x:v>工具摩耗の判定・交換判断</x:v>
      </x:c>
      <x:c r="C71" s="20" t="str">
        <x:v>モリマシナリー</x:v>
      </x:c>
      <x:c r="D71" s="7" t="str">
        <x:v>ツールコラージュアナライザー</x:v>
      </x:c>
      <x:c r="E71" s="7" t="str">
        <x:v>S3048</x:v>
      </x:c>
      <x:c r="F71" s="7" t="str">
        <x:v>切削工具をいつ交換するか</x:v>
      </x:c>
      <x:c r="G71" s="7" t="str">
        <x:v>摩耗幅のデータを蓄積・学習し、工具寿命と交換時期を提案する。</x:v>
      </x:c>
      <x:c r="H71" s="7" t="str">
        <x:v>工具の過早交換・摩耗による不良を抑える交換時期の判断</x:v>
      </x:c>
      <x:c r="I71" s="7" t="str">
        <x:v>2024展示は主に欠け・摩耗判定。寿命推定研究は2023にも発表</x:v>
      </x:c>
      <x:c r="J71" s="7" t="str">
        <x:v>2026はアナライザーと寿命・交換提案を具体掲載</x:v>
      </x:c>
      <x:c r="K71" s="7" t="str">
        <x:v>2026は寿命予測と交換提案を具体掲載。ただし研究発表は2023にもあり、新方式の誕生とは扱わない。</x:v>
      </x:c>
      <x:c r="L71" s="7" t="str">
        <x:v>個別比較あり</x:v>
      </x:c>
      <x:c r="M71" s="7" t="str">
        <x:v>詳細比較済み</x:v>
      </x:c>
      <x:c r="N71" s="7" t="str"/>
      <x:c r="O71" s="7" t="str">
        <x:v>人が工具・加工条件と提案の適用を確認する運用は要確認。</x:v>
      </x:c>
      <x:c r="P71" s="7" t="str">
        <x:v>JIMTOF2026公式カタログ掲載・現地未確認
2026展示予定・寿命推定研究自体は既存</x:v>
      </x:c>
      <x:c r="Q71" s="7" t="str">
        <x:v>FC040</x:v>
      </x:c>
      <x:c t="str" r="R71" s="21">
        <x:f>HYPERLINK("https://www.jimtof.org/search/jp/ESdetails?e=ZvT3Lci-hnM","JIMTOF2026 出展ページ")</x:f>
        <x:v>JIMTOF2026 出展ページ</x:v>
      </x:c>
      <x:c t="str" r="S71" s="21">
        <x:f>HYPERLINK("https://www.jimtof.org/2024/search/jp/ESdetails?e=yEoPl5sH6Sg","JIMTOF2024 出展ページ")</x:f>
        <x:v>JIMTOF2024 出展ページ</x:v>
      </x:c>
      <x:c r="T71" s="7" t="str">
        <x:v>EOV-V024-2024-1: https://www.jimtof.org/2024/search/jp/ESdetails?e=yEoPl5sH6Sg
該当箇所: main &gt; div.col-md-8.mb-5 の出展紹介、見出し「主な出展物」直後
EOV-V024-2026-1: https://www.jimtof.org/search/jp/ESdetails?e=ZvT3Lci-hnM
該当箇所: main &gt; div.col-md-8.mb-5 の出展紹介、見出し「主な出展物」直後
EOV-W08: https://mori-machinery.com/wp-content/uploads/2023/06/%E7%86%9F%E7%B7%B4%E8%80%85%E3%81%AE%E7%B5%8C%E9%A8%93%E7%9F%A5%E3%82%92%E3%82%82%E3%81%A8%E3%81%AB%E5%88%87%E5%89%8A%E5%B7%A5%E5%85%B7%E3%81%AE%E6%AC%A0%E3%81%91%E3%83%BB%E6%91%A9%E8%80%97%E3%83%BB%E5%AF%BF%E5%91%BD%E3%82%92%E6%8E%A8%E5%AE%9A%E3%81%99%E3%82%8BAI%E3%82%92%E9%96%8B%E7%99%BA.pdf
該当箇所: 2023年6月2日、成果と今後の展望</x:v>
      </x:c>
    </x:row>
    <x:row r="72" ht="155" customHeight="1">
      <x:c r="A72" s="7" t="str">
        <x:v>検査・診断</x:v>
      </x:c>
      <x:c r="B72" s="7" t="str">
        <x:v>工具摩耗の判定・交換判断</x:v>
      </x:c>
      <x:c r="C72" s="20" t="str">
        <x:v>興和オプトロニクス</x:v>
      </x:c>
      <x:c r="D72" s="7" t="str">
        <x:v>RW耐環境ビジョンユニット</x:v>
      </x:c>
      <x:c r="E72" s="7" t="str">
        <x:v>S3104</x:v>
      </x:c>
      <x:c r="F72" s="7" t="str">
        <x:v>加工機内の工具折損・摩耗を見つける</x:v>
      </x:c>
      <x:c r="G72" s="7" t="str">
        <x:v>水・油・ミスト環境で撮像し、AIで工具折損・摩耗や切粉の異常蓄積を検知するとの説明。</x:v>
      </x:c>
      <x:c r="H72" s="7" t="str">
        <x:v>油・水・切粉・ミストで必要な画像を安定して得られない問題</x:v>
      </x:c>
      <x:c r="I72" s="7" t="str">
        <x:v>2024詳細なし</x:v>
      </x:c>
      <x:c r="J72" s="7" t="str">
        <x:v>2026は耐環境撮像とAIによる切粉・工具異常検知を具体説明</x:v>
      </x:c>
      <x:c r="K72" s="7" t="str">
        <x:v>2024同名原典なし。2026の耐環境撮像とAI検知は確認、登場時期は比較不能。</x:v>
      </x:c>
      <x:c r="L72" s="7" t="str">
        <x:v>個別比較あり</x:v>
      </x:c>
      <x:c r="M72" s="7" t="str">
        <x:v>詳細比較済み</x:v>
      </x:c>
      <x:c r="N72" s="7" t="str"/>
      <x:c r="O72" s="7" t="str">
        <x:v>対象工具、判定の閾値、検知後の停止・交換の分担は未確認。</x:v>
      </x:c>
      <x:c r="P72" s="7" t="str">
        <x:v>JIMTOF2026公式カタログ掲載・現地未確認
2026展示予定・提供段階未確認</x:v>
      </x:c>
      <x:c r="Q72" s="7" t="str">
        <x:v>FC063</x:v>
      </x:c>
      <x:c t="str" r="R72" s="21">
        <x:f>HYPERLINK("https://www.jimtof.org/search/jp/ESdetails?e=v6nw4APC-vQ","JIMTOF2026 出展ページ")</x:f>
        <x:v>JIMTOF2026 出展ページ</x:v>
      </x:c>
      <x:c r="S72" s="21" t="str"/>
      <x:c r="T72" s="7" t="str">
        <x:v>EOV-V042-2026-1: https://www.jimtof.org/search/jp/ESdetails?e=v6nw4APC-vQ
該当箇所: main &gt; div.col-md-8.mb-5 の出展紹介、見出し「主な出展物」直後
EDP-33: https://optical.kowa-opt.co.jp/camera-rw/
該当箇所: ビジョンプロセッサ併用の不良ヒートマップ・切粉巻付きアラート・工具欠損検出</x:v>
      </x:c>
    </x:row>
    <x:row r="73" ht="155" customHeight="1">
      <x:c r="A73" s="7" t="str">
        <x:v>検査・診断</x:v>
      </x:c>
      <x:c r="B73" s="7" t="str">
        <x:v>工具摩耗の判定・交換判断</x:v>
      </x:c>
      <x:c r="C73" s="20" t="str">
        <x:v>三菱電機</x:v>
      </x:c>
      <x:c r="D73" s="7" t="str">
        <x:v>NC MachiningAID（2024）／2026 CNC省人化</x:v>
      </x:c>
      <x:c r="E73" s="7" t="str">
        <x:v>S2003</x:v>
      </x:c>
      <x:c r="F73" s="7" t="str">
        <x:v>加工異常・工具摩耗・作業ミスを検知する</x:v>
      </x:c>
      <x:c r="G73" s="7" t="str">
        <x:v>2024のMachiningAIDは加工異常・工具摩耗・作業ミスをAI検知。</x:v>
      </x:c>
      <x:c r="H73" s="7" t="str">
        <x:v>加工中の異常・工具状態を把握するための監視と診断技能</x:v>
      </x:c>
      <x:c r="I73" s="7" t="str">
        <x:v>2024にNC MachiningAIDの3種類の検知タスクを記載</x:v>
      </x:c>
      <x:c r="J73" s="7" t="str">
        <x:v>2026は設計から加工・保守までのAI省人化を訴求するが、個別差分は不明</x:v>
      </x:c>
      <x:c r="K73" s="7" t="str">
        <x:v>2026はAI省人化の総論。個別機能の進化は比較不能。</x:v>
      </x:c>
      <x:c r="L73" s="7" t="str">
        <x:v>個別比較あり</x:v>
      </x:c>
      <x:c r="M73" s="7" t="str">
        <x:v>詳細比較済み</x:v>
      </x:c>
      <x:c r="N73" s="7" t="str"/>
      <x:c r="O73" s="7" t="str">
        <x:v>2026の継承機能と自動停止・交換権限は未確認。</x:v>
      </x:c>
      <x:c r="P73" s="7" t="str">
        <x:v>JIMTOF2026公式カタログ掲載・現地未確認
2026展示予定・提供段階未確認</x:v>
      </x:c>
      <x:c r="Q73" s="7" t="str">
        <x:v>FC064</x:v>
      </x:c>
      <x:c t="str" r="R73" s="21">
        <x:f>HYPERLINK("https://www.jimtof.org/search/jp/ESdetails?e=AjLnzm01WWU","JIMTOF2026 出展ページ")</x:f>
        <x:v>JIMTOF2026 出展ページ</x:v>
      </x:c>
      <x:c t="str" r="S73" s="21">
        <x:f>HYPERLINK("https://www.jimtof.org/2024/search/jp/ESdetails?e=30li0vWcseI","JIMTOF2024 出展ページ")</x:f>
        <x:v>JIMTOF2024 出展ページ</x:v>
      </x:c>
      <x:c r="T73" s="7" t="str">
        <x:v>EAT-V043-2024-1: https://www.jimtof.org/2024/search/jp/ESdetails?e=30li0vWcseI
該当箇所: 出展紹介・主な出展物（カードの製品名・機能語で検索）
EAT-V043-2026-1: https://www.jimtof.org/search/jp/ESdetails?e=AjLnzm01WWU
該当箇所: 出展紹介・主な出展物（カードの製品名・機能語で検索）</x:v>
      </x:c>
    </x:row>
    <x:row r="74" ht="155" customHeight="1">
      <x:c r="A74" s="7" t="str">
        <x:v>検査・診断</x:v>
      </x:c>
      <x:c r="B74" s="7" t="str">
        <x:v>工具摩耗の判定・交換判断</x:v>
      </x:c>
      <x:c r="C74" s="20" t="str">
        <x:v>Dongguan Dongfangqidu Metrology Co Ltd</x:v>
      </x:c>
      <x:c r="D74" s="7" t="str">
        <x:v>赤外線プローブ DOP40</x:v>
      </x:c>
      <x:c r="E74" s="7" t="str">
        <x:v>E7006</x:v>
      </x:c>
      <x:c r="F74" s="7" t="str">
        <x:v>工具摩耗の判定・交換判断 ／ 自動計測・測定計画・品質データ</x:v>
      </x:c>
      <x:c r="G74" s="7" t="str">
        <x:v>原典抜粋：ワークの位置決め・寸法確認、工具長・工具径測定、工具破損検出など、加工工程内での自動計測に対応。 / 安定した繰返し精度、柔軟なシステム構成、容易な導入を通じて、段取り時間の短縮、加工の安定化、無人運転・自動化をサポートします。</x:v>
      </x:c>
      <x:c r="H74" s="7" t="str">
        <x:v>工具を早く捨てすぎず、欠損や品質悪化を避ける判断。 ／ 測定の段取り・搬送・記録に人手が残り、結果が加工改善につながりにくい。</x:v>
      </x:c>
      <x:c r="I74" s="7" t="str">
        <x:v>同一正規化名称の2024詳細なし。新規出展・技術不存在とは判断しない。</x:v>
      </x:c>
      <x:c r="J74" s="7" t="str">
        <x:v>2026原典抜粋：ワークの位置決め・寸法確認、工具長・工具径測定、工具破損検出など、加工工程内での自動計測に対応。 / 安定した繰返し精度、柔軟なシステム構成、容易な導入を通じて、段取り時間の短縮、加工の安定化、無人運転・自動化をサポートします。</x:v>
      </x:c>
      <x:c r="K74" s="7" t="str">
        <x:v>原典記述の対照。個別機能の追加・性能差・初登場年は未判定。</x:v>
      </x:c>
      <x:c r="L74" s="7" t="str">
        <x:v>年度資料不足・比較不能</x:v>
      </x:c>
      <x:c r="M74" s="7" t="str">
        <x:v>出展説明の一次分類</x:v>
      </x:c>
      <x:c r="N74" s="7" t="str"/>
      <x:c r="O74" s="7" t="str">
        <x:v>承認・例外対応・停止・復帰の境界は未確認</x:v>
      </x:c>
      <x:c r="P74" s="7" t="str">
        <x:v>2026公式カタログ掲載・現地未確認
2026展示予定。既存製品・参考出展・構想等は原典で個別確認</x:v>
      </x:c>
      <x:c r="Q74" s="7" t="str">
        <x:v>AC257</x:v>
      </x:c>
      <x:c t="str" r="R74" s="21">
        <x:f>HYPERLINK("https://www.jimtof.org/search/jp/ESdetails?e=25HOX5M84N0","JIMTOF2026 出展ページ")</x:f>
        <x:v>JIMTOF2026 出展ページ</x:v>
      </x:c>
      <x:c r="S74" s="21" t="str"/>
      <x:c r="T74" s="7" t="str">
        <x:v>EEX-EXH-2026-d39b5dc8b972e1a4: https://www.jimtof.org/search/jp/ESdetails?e=25HOX5M84N0
該当箇所: 出展紹介・主な出展物。追加カードの原典抜粋で検索</x:v>
      </x:c>
    </x:row>
    <x:row r="75" ht="155" customHeight="1">
      <x:c r="A75" s="7" t="str">
        <x:v>検査・診断</x:v>
      </x:c>
      <x:c r="B75" s="7" t="str">
        <x:v>工具摩耗の判定・交換判断</x:v>
      </x:c>
      <x:c r="C75" s="20" t="str">
        <x:v>Masterlink</x:v>
      </x:c>
      <x:c r="D75" s="7" t="str">
        <x:v>工作機械センシングの知能化による生産性向上：</x:v>
      </x:c>
      <x:c r="E75" s="7" t="str">
        <x:v>E1050</x:v>
      </x:c>
      <x:c r="F75" s="7" t="str">
        <x:v>工具の異常を監視する（方式要確認）</x:v>
      </x:c>
      <x:c r="G75" s="7" t="str">
        <x:v>工具監視、適応加工、予知保全を出展項目として掲載。入力信号と判定方式は未記載。</x:v>
      </x:c>
      <x:c r="H75" s="7" t="str">
        <x:v>工具を早く捨てすぎず、欠損や品質悪化を避ける判断。 ／ 品種・量の変化に合わせて人の供給往復を減らす。</x:v>
      </x:c>
      <x:c r="I75" s="7" t="str">
        <x:v>2024原典抜粋：2016年に設立されたMasterlink Intelligent Technology Co., LTD.(以下、Masterlink)は、金属加工とインテリジェント製造のソリューションに焦点を当てており、工作機械、生産ラインからワークショップまで、製品とソリューションのあらゆる側面をユーザーに提供することに取り組んでいます。ビッグデータ技術を通じて、MasterLinkは生産現場の包括的な管理システムを構築し、センサー、エッジコンピューティング、クラウドコンピューティング、その他の技術と組み合わせることで、Ma</x:v>
      </x:c>
      <x:c r="J75" s="7" t="str">
        <x:v>2026原典抜粋：工具監視システム： / 重荷重パレタイジングロボット： / インテリジェント IoT ゲートウェイ： / 工具監視システム： / 重荷重パレタイジングロボット： / インテリジェント IoT ゲートウェイ：</x:v>
      </x:c>
      <x:c r="K75" s="7" t="str">
        <x:v>2024はセンシング・現場管理の総論。2026は工具監視等を列挙。性能差は不明。</x:v>
      </x:c>
      <x:c r="L75" s="7" t="str">
        <x:v>個別比較あり</x:v>
      </x:c>
      <x:c r="M75" s="7" t="str">
        <x:v>詳細比較済み</x:v>
      </x:c>
      <x:c r="N75" s="7" t="str"/>
      <x:c r="O75" s="7" t="str">
        <x:v>監視結果から停止・交換へ移す手順、担当者は未確認。</x:v>
      </x:c>
      <x:c r="P75" s="7" t="str">
        <x:v>2026公式カタログ掲載・現地未確認
2026展示予定。既存製品・参考出展・構想等は原典で個別確認</x:v>
      </x:c>
      <x:c r="Q75" s="7" t="str">
        <x:v>AC271</x:v>
      </x:c>
      <x:c t="str" r="R75" s="21">
        <x:f>HYPERLINK("https://www.jimtof.org/search/jp/ESdetails?e=kygm0UxJL-M","JIMTOF2026 出展ページ")</x:f>
        <x:v>JIMTOF2026 出展ページ</x:v>
      </x:c>
      <x:c t="str" r="S75" s="21">
        <x:f>HYPERLINK("https://www.jimtof.org/2024/search/jp/ESdetails?e=58-lhh4o9Oo","JIMTOF2024 出展ページ")</x:f>
        <x:v>JIMTOF2024 出展ページ</x:v>
      </x:c>
      <x:c r="T75" s="7" t="str">
        <x:v>EEX-EXH-2026-19ce238d137fe275: https://www.jimtof.org/search/jp/ESdetails?e=kygm0UxJL-M
該当箇所: 出展紹介・主な出展物。追加カードの原典抜粋で検索
EEX-EXH-2024-a2fae1d1864676d1: https://www.jimtof.org/2024/search/jp/ESdetails?e=58-lhh4o9Oo
該当箇所: 出展紹介・主な出展物。追加カードの原典抜粋で検索</x:v>
      </x:c>
    </x:row>
    <x:row r="76" ht="155" customHeight="1">
      <x:c r="A76" s="7" t="str">
        <x:v>検査・診断</x:v>
      </x:c>
      <x:c r="B76" s="7" t="str">
        <x:v>設備・刃具の異常検知と保全</x:v>
      </x:c>
      <x:c r="C76" s="20" t="str">
        <x:v>DMG森精機</x:v>
      </x:c>
      <x:c r="D76" s="7" t="str">
        <x:v>Condition Agent</x:v>
      </x:c>
      <x:c r="E76" s="7" t="str">
        <x:v>E8005</x:v>
      </x:c>
      <x:c r="F76" s="7" t="str">
        <x:v>保全診断・知識支援</x:v>
      </x:c>
      <x:c r="G76" s="7" t="str">
        <x:v>クラウドAIで異常兆候を分析</x:v>
      </x:c>
      <x:c r="H76" s="7" t="str">
        <x:v>異常原因・保全対処の属人化と、記録・診断情報を調べる負担</x:v>
      </x:c>
      <x:c r="I76" s="7" t="str">
        <x:v>2024カタログから同サービスの機能は比較できない</x:v>
      </x:c>
      <x:c r="J76" s="7" t="str">
        <x:v>2026年4月受注分から対象機標準。従来WALC CAREの診断対象・分析を拡張との公式説明</x:v>
      </x:c>
      <x:c r="K76" s="7" t="str">
        <x:v>出展説明・公式資料の記載比較。初発明年・実演成功・性能向上を証明するものではない。</x:v>
      </x:c>
      <x:c r="L76" s="7" t="str">
        <x:v>比較記録あり</x:v>
      </x:c>
      <x:c r="M76" s="7" t="str">
        <x:v>個別タスク整理</x:v>
      </x:c>
      <x:c r="N76" s="7" t="str"/>
      <x:c r="O76" s="7" t="str">
        <x:v>現場操作で診断開始。修理・部品交換まで自律実行する説明なし</x:v>
      </x:c>
      <x:c r="P76" s="7" t="str">
        <x:v>個別JIMTOF展示未確認・企業公式製品資料のみ
提供開始・対応機限定</x:v>
      </x:c>
      <x:c r="Q76" s="7" t="str">
        <x:v>FC004</x:v>
      </x:c>
      <x:c t="str" r="R76" s="21">
        <x:f>HYPERLINK("https://www.jimtof.org/search/jp/ESdetails?e=zcqDj1lSkGs","JIMTOF2026 出展ページ")</x:f>
        <x:v>JIMTOF2026 出展ページ</x:v>
      </x:c>
      <x:c t="str" r="S76" s="21">
        <x:f>HYPERLINK("https://www.jimtof.org/2024/search/jp/ESdetails?e=lOXEEpvlXpM","JIMTOF2024 出展ページ")</x:f>
        <x:v>JIMTOF2024 出展ページ</x:v>
      </x:c>
      <x:c r="T76" s="7" t="str">
        <x:v>EOV-V001-2024-1: https://www.jimtof.org/2024/search/jp/ESdetails?e=lOXEEpvlXpM
該当箇所: main &gt; div.col-md-8.mb-5 の出展紹介、見出し「主な出展物」直後
EOV-V001-2026-1: https://www.jimtof.org/search/jp/ESdetails?e=zcqDj1lSkGs
該当箇所: main &gt; div.col-md-8.mb-5 の出展紹介、見出し「主な出展物」直後
EAT-N07: https://www.dmgmori.co.jp/corporate/news/2026/20260706_conditionagent.html
該当箇所: 2026/07/06本文・主な特長</x:v>
      </x:c>
    </x:row>
    <x:row r="77" ht="155" customHeight="1">
      <x:c r="A77" s="7" t="str">
        <x:v>検査・診断</x:v>
      </x:c>
      <x:c r="B77" s="7" t="str">
        <x:v>設備・刃具の異常検知と保全</x:v>
      </x:c>
      <x:c r="C77" s="20" t="str">
        <x:v>ベッコフオートメーション</x:v>
      </x:c>
      <x:c r="D77" s="7" t="str">
        <x:v>TwinCAT CoAgent for Operations</x:v>
      </x:c>
      <x:c r="E77" s="7" t="str">
        <x:v>E2028</x:v>
      </x:c>
      <x:c r="F77" s="7" t="str">
        <x:v>機械のアラーム原因と対処方法を調べる</x:v>
      </x:c>
      <x:c r="G77" s="7" t="str">
        <x:v>Operationsは機械データと文書から原因仮説・対処案を作る。</x:v>
      </x:c>
      <x:c r="H77" s="7" t="str">
        <x:v>異常原因・保全対処の属人化と、記録・診断情報を調べる負担</x:v>
      </x:c>
      <x:c r="I77" s="7" t="str">
        <x:v>2024詳細不足</x:v>
      </x:c>
      <x:c r="J77" s="7" t="str">
        <x:v>一般的なアラーム対策支援をHMI・データ接続・実行機能へ具体化</x:v>
      </x:c>
      <x:c r="K77" s="7" t="str">
        <x:v>2024比較不能。製品発表・投入時期要問合せ。</x:v>
      </x:c>
      <x:c r="L77" s="7" t="str">
        <x:v>個別比較あり</x:v>
      </x:c>
      <x:c r="M77" s="7" t="str">
        <x:v>詳細比較済み</x:v>
      </x:c>
      <x:c r="N77" s="7" t="str"/>
      <x:c r="O77" s="7" t="str">
        <x:v>専門家が制御権保持。毎回承認・書込権限・失敗復帰は未公開。</x:v>
      </x:c>
      <x:c r="P77" s="7" t="str">
        <x:v>JIMTOF2026公式カタログ掲載・現地未確認
製品発表・投入時期要問い合わせ</x:v>
      </x:c>
      <x:c r="Q77" s="7" t="str">
        <x:v>FC013</x:v>
      </x:c>
      <x:c t="str" r="R77" s="21">
        <x:f>HYPERLINK("https://www.jimtof.org/search/jp/ESdetails?e=K7DqahO2h08","JIMTOF2026 出展ページ")</x:f>
        <x:v>JIMTOF2026 出展ページ</x:v>
      </x:c>
      <x:c r="S77" s="21" t="str"/>
      <x:c r="T77" s="7" t="str">
        <x:v>EOV-V005-2026-1: https://www.jimtof.org/search/jp/ESdetails?e=K7DqahO2h08
該当箇所: main &gt; div.col-md-8.mb-5 の出展紹介、見出し「主な出展物」直後
EAT-N04: https://www.beckhoff.com/ko-kr/products/automation/twincat/tfxxxx-twincat-3-functions/tf1xxx-system/tf1700.html
該当箇所: Properties／Product status
EAT-N05: https://www.beckhoff.com/ko-kr/products/automation/twincat-projects-with-ai-supported-engineering/
該当箇所: CoAgents for development and machine operation
EDP-03: https://www.beckhoff.com/en-en/company/press/twincat-chat-using-innovative-chatbot-technology-in-twincat-engineering-2023-04.html
該当箇所: TwinCAT XAE／コード作成・追加・最適化・文書化
ERF-02: https://www.beckhoff.com/en-en/products/automation/twincat/tfxxxx-twincat-3-functions/tf1xxx-system/tf1700.html
該当箇所: Properties／direct system access；Product status／market release on request</x:v>
      </x:c>
    </x:row>
    <x:row r="78" ht="155" customHeight="1">
      <x:c r="A78" s="7" t="str">
        <x:v>検査・診断</x:v>
      </x:c>
      <x:c r="B78" s="7" t="str">
        <x:v>設備・刃具の異常検知と保全</x:v>
      </x:c>
      <x:c r="C78" s="20" t="str">
        <x:v>日本精工</x:v>
      </x:c>
      <x:c r="D78" s="7" t="str">
        <x:v>振動診断AI・遠隔監視</x:v>
      </x:c>
      <x:c r="E78" s="7" t="str">
        <x:v>W2048</x:v>
      </x:c>
      <x:c r="F78" s="7" t="str">
        <x:v>振動から設備状態を診断する</x:v>
      </x:c>
      <x:c r="G78" s="7" t="str">
        <x:v>2024はAI振動診断と遠隔監視を紹介。</x:v>
      </x:c>
      <x:c r="H78" s="7" t="str">
        <x:v>異常原因・保全対処の属人化と、記録・診断情報を調べる負担</x:v>
      </x:c>
      <x:c r="I78" s="7" t="str">
        <x:v>AI振動診断・遠隔監視を掲載</x:v>
      </x:c>
      <x:c r="J78" s="7" t="str">
        <x:v>2026総論から個別AI機能差を比較できない</x:v>
      </x:c>
      <x:c r="K78" s="7" t="str">
        <x:v>2026の総論だけでは2024比の増分を判定できない。</x:v>
      </x:c>
      <x:c r="L78" s="7" t="str">
        <x:v>個別比較あり</x:v>
      </x:c>
      <x:c r="M78" s="7" t="str">
        <x:v>詳細比較済み</x:v>
      </x:c>
      <x:c r="N78" s="7" t="str"/>
      <x:c r="O78" s="7" t="str">
        <x:v>2026の個別機能、保全判断への接続は資料不足。</x:v>
      </x:c>
      <x:c r="P78" s="7" t="str">
        <x:v>JIMTOF2026公式カタログ掲載・現地未確認
2026展示予定・提供段階未確認</x:v>
      </x:c>
      <x:c r="Q78" s="7" t="str">
        <x:v>FC052</x:v>
      </x:c>
      <x:c t="str" r="R78" s="21">
        <x:f>HYPERLINK("https://www.jimtof.org/search/jp/ESdetails?e=hzAGGAi5wL4","JIMTOF2026 出展ページ")</x:f>
        <x:v>JIMTOF2026 出展ページ</x:v>
      </x:c>
      <x:c t="str" r="S78" s="21">
        <x:f>HYPERLINK("https://www.jimtof.org/2024/search/jp/ESdetails?e=5maDHvHPff8","JIMTOF2024 出展ページ")</x:f>
        <x:v>JIMTOF2024 出展ページ</x:v>
      </x:c>
      <x:c r="T78" s="7" t="str">
        <x:v>EOV-V032-2024-1: https://www.jimtof.org/2024/search/jp/ESdetails?e=5maDHvHPff8
該当箇所: main &gt; div.col-md-8.mb-5 の出展紹介、見出し「主な出展物」直後
EOV-V032-2026-1: https://www.jimtof.org/search/jp/ESdetails?e=hzAGGAi5wL4
該当箇所: main &gt; div.col-md-8.mb-5 の出展紹介、見出し「主な出展物」直後</x:v>
      </x:c>
    </x:row>
    <x:row r="79" ht="155" customHeight="1">
      <x:c r="A79" s="7" t="str">
        <x:v>検査・診断</x:v>
      </x:c>
      <x:c r="B79" s="7" t="str">
        <x:v>設備・刃具の異常検知と保全</x:v>
      </x:c>
      <x:c r="C79" s="20" t="str">
        <x:v>日本エスケイエフ</x:v>
      </x:c>
      <x:c r="D79" s="7" t="str">
        <x:v>Adaptive Lubrication／主軸監視</x:v>
      </x:c>
      <x:c r="E79" s="7" t="str">
        <x:v>S3031</x:v>
      </x:c>
      <x:c r="F79" s="7" t="str">
        <x:v>潤滑・主軸状態管理</x:v>
      </x:c>
      <x:c r="G79" s="7" t="str">
        <x:v>適応潤滑と監視・主軸構成を紹介</x:v>
      </x:c>
      <x:c r="H79" s="7" t="str">
        <x:v>主軸の信頼性維持と潤滑・監視に伴う運用負荷</x:v>
      </x:c>
      <x:c r="I79" s="7" t="str">
        <x:v>監視・潤滑を掲載</x:v>
      </x:c>
      <x:c r="J79" s="7" t="str">
        <x:v>Adaptive Lubrication等を具体掲載</x:v>
      </x:c>
      <x:c r="K79" s="7" t="str">
        <x:v>出展説明・公式資料の記載比較。初発明年・実演成功・性能向上を証明するものではない。</x:v>
      </x:c>
      <x:c r="L79" s="7" t="str">
        <x:v>比較記録あり</x:v>
      </x:c>
      <x:c r="M79" s="7" t="str">
        <x:v>個別タスク整理</x:v>
      </x:c>
      <x:c r="N79" s="7" t="str"/>
      <x:c r="O79" s="7" t="str">
        <x:v>自動調整の条件・AI使用・効果実測は未確認</x:v>
      </x:c>
      <x:c r="P79" s="7" t="str">
        <x:v>JIMTOF2026公式カタログ掲載・現地未確認
2026展示予定・提供段階未確認</x:v>
      </x:c>
      <x:c r="Q79" s="7" t="str">
        <x:v>FC053</x:v>
      </x:c>
      <x:c t="str" r="R79" s="21">
        <x:f>HYPERLINK("https://www.jimtof.org/search/jp/ESdetails?e=h22pEjdpmdU","JIMTOF2026 出展ページ")</x:f>
        <x:v>JIMTOF2026 出展ページ</x:v>
      </x:c>
      <x:c t="str" r="S79" s="21">
        <x:f>HYPERLINK("https://www.jimtof.org/2024/search/jp/ESdetails?e=_wNjhm1EAFE","JIMTOF2024 出展ページ")</x:f>
        <x:v>JIMTOF2024 出展ページ</x:v>
      </x:c>
      <x:c r="T79" s="7" t="str">
        <x:v>EOV-V033-2024-1: https://www.jimtof.org/2024/search/jp/ESdetails?e=_wNjhm1EAFE
該当箇所: main &gt; div.col-md-8.mb-5 の出展紹介、見出し「主な出展物」直後
EOV-V033-2026-1: https://www.jimtof.org/search/jp/ESdetails?e=h22pEjdpmdU
該当箇所: main &gt; div.col-md-8.mb-5 の出展紹介、見出し「主な出展物」直後</x:v>
      </x:c>
    </x:row>
    <x:row r="80" ht="155" customHeight="1">
      <x:c r="A80" s="7" t="str">
        <x:v>検査・診断</x:v>
      </x:c>
      <x:c r="B80" s="7" t="str">
        <x:v>設備・刃具の異常検知と保全</x:v>
      </x:c>
      <x:c r="C80" s="20" t="str">
        <x:v>ミロクリエ</x:v>
      </x:c>
      <x:c r="D80" s="7" t="str">
        <x:v>ミロクルAI保全ナビ／分析レポート</x:v>
      </x:c>
      <x:c r="E80" s="7" t="str">
        <x:v>E2016</x:v>
      </x:c>
      <x:c r="F80" s="7" t="str">
        <x:v>保全診断・知識支援</x:v>
      </x:c>
      <x:c r="G80" s="7" t="str">
        <x:v>記録を整形し類似トラブルのヒント、KPIと分析解説を生成</x:v>
      </x:c>
      <x:c r="H80" s="7" t="str">
        <x:v>異常原因・保全対処の属人化と、記録・診断情報を調べる負担</x:v>
      </x:c>
      <x:c r="I80" s="7" t="str">
        <x:v>2024詳細なし</x:v>
      </x:c>
      <x:c r="J80" s="7" t="str">
        <x:v>2026は保全ナビ・分析・ヘルプを個別説明</x:v>
      </x:c>
      <x:c r="K80" s="7" t="str">
        <x:v>出展説明・公式資料の記載比較。初発明年・実演成功・性能向上を証明するものではない。</x:v>
      </x:c>
      <x:c r="L80" s="7" t="str">
        <x:v>年度資料不足・比較不能</x:v>
      </x:c>
      <x:c r="M80" s="7" t="str">
        <x:v>個別タスク整理</x:v>
      </x:c>
      <x:c r="N80" s="7" t="str"/>
      <x:c r="O80" s="7" t="str">
        <x:v>設備への操作指示・修理実行は説明なし。AIオプションと本体を区別</x:v>
      </x:c>
      <x:c r="P80" s="7" t="str">
        <x:v>JIMTOF2026公式カタログ掲載・現地未確認
本体とは別のAIオプション・提供範囲未確認</x:v>
      </x:c>
      <x:c r="Q80" s="7" t="str">
        <x:v>FC058</x:v>
      </x:c>
      <x:c t="str" r="R80" s="21">
        <x:f>HYPERLINK("https://www.jimtof.org/search/jp/ESdetails?e=IQhLnLagU5I","JIMTOF2026 出展ページ")</x:f>
        <x:v>JIMTOF2026 出展ページ</x:v>
      </x:c>
      <x:c r="S80" s="21" t="str"/>
      <x:c r="T80" s="7" t="str">
        <x:v>EOV-V038-2026-1: https://www.jimtof.org/search/jp/ESdetails?e=IQhLnLagU5I
該当箇所: main &gt; div.col-md-8.mb-5 の出展紹介、見出し「主な出展物」直後</x:v>
      </x:c>
    </x:row>
    <x:row r="81" ht="155" customHeight="1">
      <x:c r="A81" s="7" t="str">
        <x:v>検査・診断</x:v>
      </x:c>
      <x:c r="B81" s="7" t="str">
        <x:v>設備・刃具の異常検知と保全</x:v>
      </x:c>
      <x:c r="C81" s="20" t="str">
        <x:v>株式会社赤松電機製作所</x:v>
      </x:c>
      <x:c r="D81" s="7" t="str">
        <x:v>【ミストコレクター】</x:v>
      </x:c>
      <x:c r="E81" s="7" t="str">
        <x:v>W2032</x:v>
      </x:c>
      <x:c r="F81" s="7" t="str">
        <x:v>設備・刃具の異常検知と保全</x:v>
      </x:c>
      <x:c r="G81" s="7" t="str">
        <x:v>原典抜粋：既存設備が最新鋭に生まれ変わる！ミストコレクター最新ソリューション / ✨ JIMTOF初出品！ニッチながら高機能なオプション ✨ / これまで現物を見られる機会が少なかった「あったらいいな」を実現した赤松独自のソリューションを、3つのゾーン展示で多数ご用意いたしております。 / ①スマート保全ゾーン / ミストコレクター「スマートミストゼロ（SMXシリーズ）」 / 目詰まりセンサーユニットで計画保全を実現！ / 設備稼働率向上と保全工</x:v>
      </x:c>
      <x:c r="H81" s="7" t="str">
        <x:v>故障や工具破損の兆候を捉え、点検・交換につなぐ負担。</x:v>
      </x:c>
      <x:c r="I81" s="7" t="str">
        <x:v>2024原典抜粋：弊社の主力製品であるミストコレクター3機種（HVS・SMG・SMX）を展示いたします。 今回の展示の目玉は、手間いらずでクリーンな工場環境を実現するミストコレクター「スマートミストゼロ（SMX）」の実演展示です。 ＜特徴＞ ■フィルターレスミストコレクターでトップクラスの捕集効率（1µm以上99%） ■吸引力の低下を限りなく”ゼロ”に近づける捕集構造 ■本体を開閉することなく捕集部の清掃が可能な逆洗配管付き ■運転状況の可視化も可能！ 吸引している様子はもちろん、インバータユニットや逆洗ユニット、目詰まりセンサーユ</x:v>
      </x:c>
      <x:c r="J81" s="7" t="str">
        <x:v>2026原典抜粋：既存設備が最新鋭に生まれ変わる！ミストコレクター最新ソリューション / ✨ JIMTOF初出品！ニッチながら高機能なオプション ✨ / これまで現物を見られる機会が少なかった「あったらいいな」を実現した赤松独自のソリューションを、3つのゾーン展示で多数ご用意いたしております。 / ①スマート保全ゾーン / ミストコレクター「スマートミストゼロ（SMXシリーズ）」 / 目詰まりセンサーユニットで計画保全を実現！ / 設備稼働率向上と保全工</x:v>
      </x:c>
      <x:c r="K81" s="7" t="str">
        <x:v>原典記述の対照。個別機能の追加・性能差・初登場年は未判定。</x:v>
      </x:c>
      <x:c r="L81" s="7" t="str">
        <x:v>両年説明あり・機能差未判定</x:v>
      </x:c>
      <x:c r="M81" s="7" t="str">
        <x:v>出展説明の一次分類</x:v>
      </x:c>
      <x:c r="N81" s="7" t="str"/>
      <x:c r="O81" s="7" t="str">
        <x:v>承認・例外対応・停止・復帰の境界は未確認</x:v>
      </x:c>
      <x:c r="P81" s="7" t="str">
        <x:v>2026公式カタログ掲載・現地未確認
2026展示予定。既存製品・参考出展・構想等は原典で個別確認</x:v>
      </x:c>
      <x:c r="Q81" s="7" t="str">
        <x:v>AC003</x:v>
      </x:c>
      <x:c t="str" r="R81" s="21">
        <x:f>HYPERLINK("https://www.jimtof.org/search/jp/ESdetails?e=lPv1x-bM_CQ","JIMTOF2026 出展ページ")</x:f>
        <x:v>JIMTOF2026 出展ページ</x:v>
      </x:c>
      <x:c t="str" r="S81" s="21">
        <x:f>HYPERLINK("https://www.jimtof.org/2024/search/jp/ESdetails?e=WsI73rbywv8","JIMTOF2024 出展ページ")</x:f>
        <x:v>JIMTOF2024 出展ページ</x:v>
      </x:c>
      <x:c r="T81" s="7" t="str">
        <x:v>EEX-EXH-2026-e01dca63e90b3edc: https://www.jimtof.org/search/jp/ESdetails?e=lPv1x-bM_CQ
該当箇所: 出展紹介・主な出展物。追加カードの原典抜粋で検索
EEX-EXH-2024-e846a033c656fdd5: https://www.jimtof.org/2024/search/jp/ESdetails?e=WsI73rbywv8
該当箇所: 出展紹介・主な出展物。追加カードの原典抜粋で検索</x:v>
      </x:c>
    </x:row>
    <x:row r="82" ht="155" customHeight="1">
      <x:c r="A82" s="7" t="str">
        <x:v>検査・診断</x:v>
      </x:c>
      <x:c r="B82" s="7" t="str">
        <x:v>設備・刃具の異常検知と保全</x:v>
      </x:c>
      <x:c r="C82" s="20" t="str">
        <x:v>アズビルTACO株式会社</x:v>
      </x:c>
      <x:c r="D82" s="7" t="str">
        <x:v>アズビルTACO</x:v>
      </x:c>
      <x:c r="E82" s="7" t="str">
        <x:v>W4070</x:v>
      </x:c>
      <x:c r="F82" s="7" t="str">
        <x:v>設備・刃具の異常検知と保全 ／ 安全監視・自動化を支える機器</x:v>
      </x:c>
      <x:c r="G82" s="7" t="str">
        <x:v>原典抜粋：① 工作機械の自動扉に合わせた形状で、確実に挟まれを検知する、セーフティエッジスイッチ。 / ・工作機械の自動扉の挟まれ検知に最適なエッジスイッチ / ・自動扉の形状に合わせて設置可能。 / ② 状態監視用振動・温度センサ　形:QM30VT3 / ・3軸振動・温度監視と自動しきい値設定機能を搭載したコンパクトな状態監視センサ。</x:v>
      </x:c>
      <x:c r="H82" s="7" t="str">
        <x:v>故障や工具破損の兆候を捉え、点検・交換につなぐ負担。 ／ 無人運転やロボット導入には、安全確保と機器・配線・力の伝達が必要。</x:v>
      </x:c>
      <x:c r="I82" s="7" t="str">
        <x:v>2024原典抜粋：工作機械など各種機械要素の潤滑課題に対応したフォグ潤滑装置「ミクロンルブ™潤滑ユニット」を展示しております。 ミクロンルブ™潤滑ユニットは、工作機械のパフォーマンスの最適化や運用コストを削減するために非常に重要な役割を果たしています。 ミクロンルブ™潤滑ユニット</x:v>
      </x:c>
      <x:c r="J82" s="7" t="str">
        <x:v>2026原典抜粋：① 工作機械の自動扉に合わせた形状で、確実に挟まれを検知する、セーフティエッジスイッチ。 / ・工作機械の自動扉の挟まれ検知に最適なエッジスイッチ / ・自動扉の形状に合わせて設置可能。 / ② 状態監視用振動・温度センサ　形:QM30VT3 / ・3軸振動・温度監視と自動しきい値設定機能を搭載したコンパクトな状態監視センサ。</x:v>
      </x:c>
      <x:c r="K82" s="7" t="str">
        <x:v>原典記述の対照。個別機能の追加・性能差・初登場年は未判定。</x:v>
      </x:c>
      <x:c r="L82" s="7" t="str">
        <x:v>両年説明あり・機能差未判定</x:v>
      </x:c>
      <x:c r="M82" s="7" t="str">
        <x:v>出展説明の一次分類</x:v>
      </x:c>
      <x:c r="N82" s="7" t="str"/>
      <x:c r="O82" s="7" t="str">
        <x:v>承認・例外対応・停止・復帰の境界は未確認</x:v>
      </x:c>
      <x:c r="P82" s="7" t="str">
        <x:v>2026公式カタログ掲載・現地未確認
2026展示予定。既存製品・参考出展・構想等は原典で個別確認</x:v>
      </x:c>
      <x:c r="Q82" s="7" t="str">
        <x:v>AC007</x:v>
      </x:c>
      <x:c t="str" r="R82" s="21">
        <x:f>HYPERLINK("https://www.jimtof.org/search/jp/ESdetails?e=x6DdroBnfSA","JIMTOF2026 出展ページ")</x:f>
        <x:v>JIMTOF2026 出展ページ</x:v>
      </x:c>
      <x:c t="str" r="S82" s="21">
        <x:f>HYPERLINK("https://www.jimtof.org/2024/search/jp/ESdetails?e=vJBoIDNEQPQ","JIMTOF2024 出展ページ")</x:f>
        <x:v>JIMTOF2024 出展ページ</x:v>
      </x:c>
      <x:c r="T82" s="7" t="str">
        <x:v>EEX-EXH-2026-2c48cf1373cedc75: https://www.jimtof.org/search/jp/ESdetails?e=x6DdroBnfSA
該当箇所: 出展紹介・主な出展物。追加カードの原典抜粋で検索
EEX-EXH-2024-88a3ebaf12d0b049: https://www.jimtof.org/2024/search/jp/ESdetails?e=vJBoIDNEQPQ
該当箇所: 出展紹介・主な出展物。追加カードの原典抜粋で検索</x:v>
      </x:c>
    </x:row>
    <x:row r="83" ht="155" customHeight="1">
      <x:c r="A83" s="7" t="str">
        <x:v>検査・診断</x:v>
      </x:c>
      <x:c r="B83" s="7" t="str">
        <x:v>設備・刃具の異常検知と保全</x:v>
      </x:c>
      <x:c r="C83" s="20" t="str">
        <x:v>イグス株式会社</x:v>
      </x:c>
      <x:c r="D83" s="7" t="str">
        <x:v>直動及び旋回用ケーブル保護管 [エナジーチェーン]、3D動作用ケーブル保護管 [トライフレックスR]</x:v>
      </x:c>
      <x:c r="E83" s="7" t="str">
        <x:v>E3004</x:v>
      </x:c>
      <x:c r="F83" s="7" t="str">
        <x:v>設備・刃具の異常検知と保全</x:v>
      </x:c>
      <x:c r="G83" s="7" t="str">
        <x:v>原典抜粋：予知保全・状態監視システム [スマートプラスチック]</x:v>
      </x:c>
      <x:c r="H83" s="7" t="str">
        <x:v>故障や工具破損の兆候を捉え、点検・交換につなぐ負担。</x:v>
      </x:c>
      <x:c r="I83" s="7" t="str">
        <x:v>2024原典抜粋：自動化への希求が高まる工作機械業界に向けてmotion plastics companyとして、直動のみならず旋回用途にも対応出来るケーブル保護管：エナジーチェーン / 可動ケーブル：チェーンフレックス / 無潤滑リニアガイド：ドライリンなど、メンテナンスフリー/長寿命化が実現可能な製品をご提案します。 さらに自動化に欠かせないロボットシステムの構築においては、3D動作に適したケーブル保護管：トライフレックスRに加え、ローコストオートメーションとして協働型ロボット ReBeL / ロボット搬送 7th axis な</x:v>
      </x:c>
      <x:c r="J83" s="7" t="str">
        <x:v>2026原典抜粋：予知保全・状態監視システム [スマートプラスチック]</x:v>
      </x:c>
      <x:c r="K83" s="7" t="str">
        <x:v>原典記述の対照。個別機能の追加・性能差・初登場年は未判定。</x:v>
      </x:c>
      <x:c r="L83" s="7" t="str">
        <x:v>両年説明あり・機能差未判定</x:v>
      </x:c>
      <x:c r="M83" s="7" t="str">
        <x:v>出展説明の一次分類</x:v>
      </x:c>
      <x:c r="N83" s="7" t="str"/>
      <x:c r="O83" s="7" t="str">
        <x:v>承認・例外対応・停止・復帰の境界は未確認</x:v>
      </x:c>
      <x:c r="P83" s="7" t="str">
        <x:v>2026公式カタログ掲載・現地未確認
2026展示予定。既存製品・参考出展・構想等は原典で個別確認</x:v>
      </x:c>
      <x:c r="Q83" s="7" t="str">
        <x:v>AC014</x:v>
      </x:c>
      <x:c t="str" r="R83" s="21">
        <x:f>HYPERLINK("https://www.jimtof.org/search/jp/ESdetails?e=BnXXMpSPRVw","JIMTOF2026 出展ページ")</x:f>
        <x:v>JIMTOF2026 出展ページ</x:v>
      </x:c>
      <x:c t="str" r="S83" s="21">
        <x:f>HYPERLINK("https://www.jimtof.org/2024/search/jp/ESdetails?e=ZIWyv06nR4M","JIMTOF2024 出展ページ")</x:f>
        <x:v>JIMTOF2024 出展ページ</x:v>
      </x:c>
      <x:c r="T83" s="7" t="str">
        <x:v>EEX-EXH-2026-d7f06610e0cfe3de: https://www.jimtof.org/search/jp/ESdetails?e=BnXXMpSPRVw
該当箇所: 出展紹介・主な出展物。追加カードの原典抜粋で検索
EEX-EXH-2024-2cdc1a5fff3b538c: https://www.jimtof.org/2024/search/jp/ESdetails?e=ZIWyv06nR4M
該当箇所: 出展紹介・主な出展物。追加カードの原典抜粋で検索</x:v>
      </x:c>
    </x:row>
    <x:row r="84" ht="155" customHeight="1">
      <x:c r="A84" s="7" t="str">
        <x:v>検査・診断</x:v>
      </x:c>
      <x:c r="B84" s="7" t="str">
        <x:v>設備・刃具の異常検知と保全</x:v>
      </x:c>
      <x:c r="C84" s="20" t="str">
        <x:v>株式会社ＫＥＬＫ</x:v>
      </x:c>
      <x:c r="D84" s="7" t="str">
        <x:v>熱電EH無線振動センサー</x:v>
      </x:c>
      <x:c r="E84" s="7" t="str">
        <x:v>E1058</x:v>
      </x:c>
      <x:c r="F84" s="7" t="str">
        <x:v>設備・刃具の異常検知と保全</x:v>
      </x:c>
      <x:c r="G84" s="7" t="str">
        <x:v>原典抜粋：環境発電 (EH) で動作するメンテナンスフリーのIoT。 / 大規模事業所の設備状態監視にも活用いただけます。 / ・オンプレミスでまるごと設備状態を監視するモニタリングシステム。</x:v>
      </x:c>
      <x:c r="H84" s="7" t="str">
        <x:v>故障や工具破損の兆候を捉え、点検・交換につなぐ負担。</x:v>
      </x:c>
      <x:c r="I84" s="7" t="str">
        <x:v>同一正規化名称の2024詳細なし。新規出展・技術不存在とは判断しない。</x:v>
      </x:c>
      <x:c r="J84" s="7" t="str">
        <x:v>2026原典抜粋：環境発電 (EH) で動作するメンテナンスフリーのIoT。 / 大規模事業所の設備状態監視にも活用いただけます。 / ・オンプレミスでまるごと設備状態を監視するモニタリングシステム。</x:v>
      </x:c>
      <x:c r="K84" s="7" t="str">
        <x:v>原典記述の対照。個別機能の追加・性能差・初登場年は未判定。</x:v>
      </x:c>
      <x:c r="L84" s="7" t="str">
        <x:v>年度資料不足・比較不能</x:v>
      </x:c>
      <x:c r="M84" s="7" t="str">
        <x:v>出展説明の一次分類</x:v>
      </x:c>
      <x:c r="N84" s="7" t="str"/>
      <x:c r="O84" s="7" t="str">
        <x:v>承認・例外対応・停止・復帰の境界は未確認</x:v>
      </x:c>
      <x:c r="P84" s="7" t="str">
        <x:v>2026公式カタログ掲載・現地未確認
2026展示予定。既存製品・参考出展・構想等は原典で個別確認</x:v>
      </x:c>
      <x:c r="Q84" s="7" t="str">
        <x:v>AC071</x:v>
      </x:c>
      <x:c t="str" r="R84" s="21">
        <x:f>HYPERLINK("https://www.jimtof.org/search/jp/ESdetails?e=bcTCu5edlsM","JIMTOF2026 出展ページ")</x:f>
        <x:v>JIMTOF2026 出展ページ</x:v>
      </x:c>
      <x:c r="S84" s="21" t="str"/>
      <x:c r="T84" s="7" t="str">
        <x:v>EEX-EXH-2026-f9b4b6d720da3a67: https://www.jimtof.org/search/jp/ESdetails?e=bcTCu5edlsM
該当箇所: 出展紹介・主な出展物。追加カードの原典抜粋で検索</x:v>
      </x:c>
    </x:row>
    <x:row r="85" ht="155" customHeight="1">
      <x:c r="A85" s="7" t="str">
        <x:v>検査・診断</x:v>
      </x:c>
      <x:c r="B85" s="7" t="str">
        <x:v>設備・刃具の異常検知と保全</x:v>
      </x:c>
      <x:c r="C85" s="20" t="str">
        <x:v>トーヨーエイテック株式会社</x:v>
      </x:c>
      <x:c r="D85" s="7" t="str">
        <x:v>横形内面研削盤 THG-10Cd</x:v>
      </x:c>
      <x:c r="E85" s="7" t="str">
        <x:v>E7045</x:v>
      </x:c>
      <x:c r="F85" s="7" t="str">
        <x:v>設備・刃具の異常検知と保全</x:v>
      </x:c>
      <x:c r="G85" s="7" t="str">
        <x:v>原典抜粋：加工時間や段替え時間の短縮、設備の安定稼働を実現する最新の研削盤と状態監視システムを展示します。 / ・自動芯出しシステム（TACS）によりワーク専用部品の製作・管理負担を軽減 / ■状態監視システム TOYO Smart Doctor / 機械状態を常時監視し、設備の安定稼働に貢献します。 / ■状態監視システム TOYO Smart Doctor</x:v>
      </x:c>
      <x:c r="H85" s="7" t="str">
        <x:v>故障や工具破損の兆候を捉え、点検・交換につなぐ負担。</x:v>
      </x:c>
      <x:c r="I85" s="7" t="str">
        <x:v>2024原典抜粋：JIMTOF2024では、横形内面研削盤と歯車研削盤の最新モデルを出展します。 高精度・高生産性の実現、自動化・省人化や作業性・操作性の向上、脱炭素への対応など、 製造業の課題に対するソリューションを提案いたします。 ■横形内面研削盤 THG-35C 工作機械主軸等の長尺工作物に対応するチャックタイプ横形内面研削盤です。 現行機(T-1254N)を発展させ、安定加工を実現する新素材の採用と、 芯出し作業の自動化を盛り込み、「高精度加工における熟練作業レス化」を提案いたします。 ① 加工時の温度変化を最小化、安定加工</x:v>
      </x:c>
      <x:c r="J85" s="7" t="str">
        <x:v>2026原典抜粋：加工時間や段替え時間の短縮、設備の安定稼働を実現する最新の研削盤と状態監視システムを展示します。 / ・自動芯出しシステム（TACS）によりワーク専用部品の製作・管理負担を軽減 / ■状態監視システム TOYO Smart Doctor / 機械状態を常時監視し、設備の安定稼働に貢献します。 / ■状態監視システム TOYO Smart Doctor</x:v>
      </x:c>
      <x:c r="K85" s="7" t="str">
        <x:v>原典記述の対照。個別機能の追加・性能差・初登場年は未判定。</x:v>
      </x:c>
      <x:c r="L85" s="7" t="str">
        <x:v>両年説明あり・機能差未判定</x:v>
      </x:c>
      <x:c r="M85" s="7" t="str">
        <x:v>出展説明の一次分類</x:v>
      </x:c>
      <x:c r="N85" s="7" t="str"/>
      <x:c r="O85" s="7" t="str">
        <x:v>承認・例外対応・停止・復帰の境界は未確認</x:v>
      </x:c>
      <x:c r="P85" s="7" t="str">
        <x:v>2026公式カタログ掲載・現地未確認
2026展示予定。既存製品・参考出展・構想等は原典で個別確認</x:v>
      </x:c>
      <x:c r="Q85" s="7" t="str">
        <x:v>AC153</x:v>
      </x:c>
      <x:c t="str" r="R85" s="21">
        <x:f>HYPERLINK("https://www.jimtof.org/search/jp/ESdetails?e=Rs5bSq_a5Nk","JIMTOF2026 出展ページ")</x:f>
        <x:v>JIMTOF2026 出展ページ</x:v>
      </x:c>
      <x:c t="str" r="S85" s="21">
        <x:f>HYPERLINK("https://www.jimtof.org/2024/search/jp/ESdetails?e=5ypc5wYKnUk","JIMTOF2024 出展ページ")</x:f>
        <x:v>JIMTOF2024 出展ページ</x:v>
      </x:c>
      <x:c r="T85" s="7" t="str">
        <x:v>EEX-EXH-2026-bcc9173d97e5998d: https://www.jimtof.org/search/jp/ESdetails?e=Rs5bSq_a5Nk
該当箇所: 出展紹介・主な出展物。追加カードの原典抜粋で検索
EEX-EXH-2024-77256303445bd026: https://www.jimtof.org/2024/search/jp/ESdetails?e=5ypc5wYKnUk
該当箇所: 出展紹介・主な出展物。追加カードの原典抜粋で検索</x:v>
      </x:c>
    </x:row>
    <x:row r="86" ht="155" customHeight="1">
      <x:c r="A86" s="7" t="str">
        <x:v>検査・診断</x:v>
      </x:c>
      <x:c r="B86" s="7" t="str">
        <x:v>設備・刃具の異常検知と保全</x:v>
      </x:c>
      <x:c r="C86" s="20" t="str">
        <x:v>ハイウィン株式会社</x:v>
      </x:c>
      <x:c r="D86" s="7" t="str">
        <x:v>ゼロバックラッシュ・DD方式【トルクモーターロータリーテーブル】</x:v>
      </x:c>
      <x:c r="E86" s="7" t="str">
        <x:v>W2072</x:v>
      </x:c>
      <x:c r="F86" s="7" t="str">
        <x:v>設備・刃具の異常検知と保全</x:v>
      </x:c>
      <x:c r="G86" s="7" t="str">
        <x:v>原典抜粋：最高回転速度1000min⁻¹の2軸同時駆動高速ロータリーテーブルや放電加工機向け水中用DDロータリーテーブル、予知保全に貢献するi4.0シリーズ、高速・高可搬・長尺搬送を実現する単軸ロボット「KHシリーズ」をご紹介します。 / 高精度加工、重荷重搬送、多軸システム構築に対応し、工作機械の高精度化、自動化、省人化をサポートします。 / 当社では各種自動化のPoC（概念検証）から導入までのサポートなど、手厚いビフォー＆アフターサービスも日</x:v>
      </x:c>
      <x:c r="H86" s="7" t="str">
        <x:v>故障や工具破損の兆候を捉え、点検・交換につなぐ負担。</x:v>
      </x:c>
      <x:c r="I86" s="7" t="str">
        <x:v>2024原典抜粋：「Eco Solutions for Green」をHIWINグループのESGテーマとして掲げ、弊社とお客様の持続可能なものづくりを支援する環境に配慮する製品群を、２つのソリューション軸でご紹介します。 ■工作機械ソリューション 最高回転速度2000min-1の高速ロータリーテーブルや放電加工機向け水中用DDロータリーテーブル、予知保全に貢献するi4.0シリーズとHIWINロータリーテーブル採用の工作機械など、工作機械の進化に貢献をサポートする製品をご紹介。当社のロータリーテーブルはゼロバックラッシュ・DD方式で豊</x:v>
      </x:c>
      <x:c r="J86" s="7" t="str">
        <x:v>2026原典抜粋：最高回転速度1000min⁻¹の2軸同時駆動高速ロータリーテーブルや放電加工機向け水中用DDロータリーテーブル、予知保全に貢献するi4.0シリーズ、高速・高可搬・長尺搬送を実現する単軸ロボット「KHシリーズ」をご紹介します。 / 高精度加工、重荷重搬送、多軸システム構築に対応し、工作機械の高精度化、自動化、省人化をサポートします。 / 当社では各種自動化のPoC（概念検証）から導入までのサポートなど、手厚いビフォー＆アフターサービスも日</x:v>
      </x:c>
      <x:c r="K86" s="7" t="str">
        <x:v>原典記述の対照。個別機能の追加・性能差・初登場年は未判定。</x:v>
      </x:c>
      <x:c r="L86" s="7" t="str">
        <x:v>両年説明あり・機能差未判定</x:v>
      </x:c>
      <x:c r="M86" s="7" t="str">
        <x:v>出展説明の一次分類</x:v>
      </x:c>
      <x:c r="N86" s="7" t="str"/>
      <x:c r="O86" s="7" t="str">
        <x:v>承認・例外対応・停止・復帰の境界は未確認</x:v>
      </x:c>
      <x:c r="P86" s="7" t="str">
        <x:v>2026公式カタログ掲載・現地未確認
2026展示予定。既存製品・参考出展・構想等は原典で個別確認</x:v>
      </x:c>
      <x:c r="Q86" s="7" t="str">
        <x:v>AC183</x:v>
      </x:c>
      <x:c t="str" r="R86" s="21">
        <x:f>HYPERLINK("https://www.jimtof.org/search/jp/ESdetails?e=t1osgdfU2Dk","JIMTOF2026 出展ページ")</x:f>
        <x:v>JIMTOF2026 出展ページ</x:v>
      </x:c>
      <x:c t="str" r="S86" s="21">
        <x:f>HYPERLINK("https://www.jimtof.org/2024/search/jp/ESdetails?e=dxXDZmI9FwY","JIMTOF2024 出展ページ")</x:f>
        <x:v>JIMTOF2024 出展ページ</x:v>
      </x:c>
      <x:c r="T86" s="7" t="str">
        <x:v>EEX-EXH-2026-af31f3db6da43220: https://www.jimtof.org/search/jp/ESdetails?e=t1osgdfU2Dk
該当箇所: 出展紹介・主な出展物。追加カードの原典抜粋で検索
EEX-EXH-2024-225418404646935a: https://www.jimtof.org/2024/search/jp/ESdetails?e=dxXDZmI9FwY
該当箇所: 出展紹介・主な出展物。追加カードの原典抜粋で検索</x:v>
      </x:c>
    </x:row>
    <x:row r="87" ht="155" customHeight="1">
      <x:c r="A87" s="7" t="str">
        <x:v>検査・診断</x:v>
      </x:c>
      <x:c r="B87" s="7" t="str">
        <x:v>設備・刃具の異常検知と保全</x:v>
      </x:c>
      <x:c r="C87" s="20" t="str">
        <x:v>株式会社マザーツール</x:v>
      </x:c>
      <x:c r="D87" s="7" t="str">
        <x:v>【AIカメラ】</x:v>
      </x:c>
      <x:c r="E87" s="7" t="str">
        <x:v>S4038</x:v>
      </x:c>
      <x:c r="F87" s="7" t="str">
        <x:v>設備・刃具の異常検知と保全 ／ 安全監視・自動化を支える機器</x:v>
      </x:c>
      <x:c r="G87" s="7" t="str">
        <x:v>原典抜粋：サーモグラフィカメラによる設備の温度監視・異常発熱の検知、高解像度カメラによる作業状況の記録など、カメラを活用した「見える化」を実現します。 / AIカメラでは、作業者の危険箇所への侵入を検知して設備停止につなげたり、一人作業の現場や薬品庫など、人が常駐しないエリアでの転倒を検知してアラームでお知らせしたりするなど、工場内の安全対策もサポートします。 / その他にも、簡単に導入できるワイヤレスカメラモニターセット、熱を持つ設備の保守点検</x:v>
      </x:c>
      <x:c r="H87" s="7" t="str">
        <x:v>故障や工具破損の兆候を捉え、点検・交換につなぐ負担。 ／ 無人運転やロボット導入には、安全確保と機器・配線・力の伝達が必要。</x:v>
      </x:c>
      <x:c r="I87" s="7" t="str">
        <x:v>2024原典抜粋：AI画像解析を搭載したカメラや温度変化をトリガーにアラーム出力可能な設置型サーモグラフィ、高画質8メガピクセルのネットワークIPカメラ等、カメラシステムを活用した安全対策をご提案いたします。 【AI画像解析カメラシステム】 AI画像解析を搭載したカメラシステムにより、人に特化した様々な検知が可能。 作業者の転倒、指定したエリアへの侵入・居残り、人数、境界線横断等をトリガーとしてアラーム信号出力が可能。警報機との連動や機械の制御等、作業者の安全対策に貢献します。 【サーモグラフィカメラ】 撮影範囲内で最大12箇所のエ</x:v>
      </x:c>
      <x:c r="J87" s="7" t="str">
        <x:v>2026原典抜粋：サーモグラフィカメラによる設備の温度監視・異常発熱の検知、高解像度カメラによる作業状況の記録など、カメラを活用した「見える化」を実現します。 / AIカメラでは、作業者の危険箇所への侵入を検知して設備停止につなげたり、一人作業の現場や薬品庫など、人が常駐しないエリアでの転倒を検知してアラームでお知らせしたりするなど、工場内の安全対策もサポートします。 / その他にも、簡単に導入できるワイヤレスカメラモニターセット、熱を持つ設備の保守点検</x:v>
      </x:c>
      <x:c r="K87" s="7" t="str">
        <x:v>原典記述の対照。個別機能の追加・性能差・初登場年は未判定。</x:v>
      </x:c>
      <x:c r="L87" s="7" t="str">
        <x:v>両年説明あり・機能差未判定</x:v>
      </x:c>
      <x:c r="M87" s="7" t="str">
        <x:v>出展説明の一次分類</x:v>
      </x:c>
      <x:c r="N87" s="7" t="str"/>
      <x:c r="O87" s="7" t="str">
        <x:v>承認・例外対応・停止・復帰の境界は未確認</x:v>
      </x:c>
      <x:c r="P87" s="7" t="str">
        <x:v>2026公式カタログ掲載・現地未確認
2026展示予定。既存製品・参考出展・構想等は原典で個別確認</x:v>
      </x:c>
      <x:c r="Q87" s="7" t="str">
        <x:v>AC210</x:v>
      </x:c>
      <x:c t="str" r="R87" s="21">
        <x:f>HYPERLINK("https://www.jimtof.org/search/jp/ESdetails?e=BoITLU2Wxfk","JIMTOF2026 出展ページ")</x:f>
        <x:v>JIMTOF2026 出展ページ</x:v>
      </x:c>
      <x:c t="str" r="S87" s="21">
        <x:f>HYPERLINK("https://www.jimtof.org/2024/search/jp/ESdetails?e=kBYy2TOLHlc","JIMTOF2024 出展ページ")</x:f>
        <x:v>JIMTOF2024 出展ページ</x:v>
      </x:c>
      <x:c r="T87" s="7" t="str">
        <x:v>EEX-EXH-2026-57f4a98dc1098522: https://www.jimtof.org/search/jp/ESdetails?e=BoITLU2Wxfk
該当箇所: 出展紹介・主な出展物。追加カードの原典抜粋で検索
EEX-EXH-2024-441f129a7817c620: https://www.jimtof.org/2024/search/jp/ESdetails?e=kBYy2TOLHlc
該当箇所: 出展紹介・主な出展物。追加カードの原典抜粋で検索</x:v>
      </x:c>
    </x:row>
    <x:row r="88" ht="155" customHeight="1">
      <x:c r="A88" s="7" t="str">
        <x:v>検査・診断</x:v>
      </x:c>
      <x:c r="B88" s="7" t="str">
        <x:v>設備・刃具の異常検知と保全</x:v>
      </x:c>
      <x:c r="C88" s="20" t="str">
        <x:v>ムラテックＣＣＳ株式会社</x:v>
      </x:c>
      <x:c r="D88" s="7" t="str">
        <x:v>プライマリドクタサービス：稼働中データのAI診断</x:v>
      </x:c>
      <x:c r="E88" s="7" t="str">
        <x:v>E3031</x:v>
      </x:c>
      <x:c r="F88" s="7" t="str">
        <x:v>設備の電流・振動から劣化を診断する</x:v>
      </x:c>
      <x:c r="G88" s="7" t="str">
        <x:v>稼働中の電流・振動等を新品状態と比較し劣化・異常を診断。</x:v>
      </x:c>
      <x:c r="H88" s="7" t="str">
        <x:v>故障や工具破損の兆候を捉え、点検・交換につなぐ負担。</x:v>
      </x:c>
      <x:c r="I88" s="7" t="str">
        <x:v>2024に容易に脱着できる機器で稼働中の重要部位データを取得し、AI診断・レポート・追加点検を説明。</x:v>
      </x:c>
      <x:c r="J88" s="7" t="str">
        <x:v>2026も同名AIリモート診断を掲載。</x:v>
      </x:c>
      <x:c r="K88" s="7" t="str">
        <x:v>プライマリドクタのAI診断は2024から継続。</x:v>
      </x:c>
      <x:c r="L88" s="7" t="str">
        <x:v>個別比較あり</x:v>
      </x:c>
      <x:c r="M88" s="7" t="str">
        <x:v>詳細比較済み</x:v>
      </x:c>
      <x:c r="N88" s="7" t="str"/>
      <x:c r="O88" s="7" t="str">
        <x:v>計測後の点検・交換の最終決定者、誤警報時の扱いは未確認。</x:v>
      </x:c>
      <x:c r="P88" s="7" t="str">
        <x:v>2026公式カタログ掲載・現地未確認
2026展示予定。既存製品・参考出展・構想等は原典で個別確認</x:v>
      </x:c>
      <x:c r="Q88" s="7" t="str">
        <x:v>AC225</x:v>
      </x:c>
      <x:c t="str" r="R88" s="21">
        <x:f>HYPERLINK("https://www.jimtof.org/search/jp/ESdetails?e=Z_SbvK_hxBY","JIMTOF2026 出展ページ")</x:f>
        <x:v>JIMTOF2026 出展ページ</x:v>
      </x:c>
      <x:c t="str" r="S88" s="21">
        <x:f>HYPERLINK("https://www.jimtof.org/2024/search/jp/ESdetails?e=2N7pXq5Aehs","JIMTOF2024 出展ページ")</x:f>
        <x:v>JIMTOF2024 出展ページ</x:v>
      </x:c>
      <x:c r="T88" s="7" t="str">
        <x:v>EEX-EXH-2026-308c5194f12fe009: https://www.jimtof.org/search/jp/ESdetails?e=Z_SbvK_hxBY
該当箇所: 出展紹介・主な出展物。追加カードの原典抜粋で検索
EEX-EXH-2024-b0a94c1cd407ea8a: https://www.jimtof.org/2024/search/jp/ESdetails?e=2N7pXq5Aehs
該当箇所: 出展紹介・主な出展物。追加カードの原典抜粋で検索
EDP-13: https://www.muratec.jp/company/ti/rd/detail.php?id=7540
該当箇所: 電流・振動を新品データと比較／補正入力回数・軸負荷による劣化判定</x:v>
      </x:c>
    </x:row>
    <x:row r="89" ht="155" customHeight="1">
      <x:c r="A89" s="7" t="str">
        <x:v>検査・診断</x:v>
      </x:c>
      <x:c r="B89" s="7" t="str">
        <x:v>設備・刃具の異常検知と保全</x:v>
      </x:c>
      <x:c r="C89" s="20" t="str">
        <x:v>山口産業株式会社</x:v>
      </x:c>
      <x:c r="D89" s="7" t="str">
        <x:v>【RDI】</x:v>
      </x:c>
      <x:c r="E89" s="7" t="str">
        <x:v>E7032</x:v>
      </x:c>
      <x:c r="F89" s="7" t="str">
        <x:v>設備・刃具の異常検知と保全 ／ クーラント・潤滑・清掃の省人化</x:v>
      </x:c>
      <x:c r="G89" s="7" t="str">
        <x:v>原典抜粋：非接触振動可視化システム Iris aiONE / 振動状態監視用カメラ Iris EDGE / 振動状態監視用サーバ Iris CM / 自動潤滑システム LUBExpert ON-GUARD / 状態監視システム VIGILANT / モーター状態監視モジュール PdMA EYE / 回転機状態監視システム e-MCM / 2D計測機能付きデジタルマイクロスコープ Omni3 / 人工知能搭載デジタルマイクロスコープ ACUMEN </x:v>
      </x:c>
      <x:c r="H89" s="7" t="str">
        <x:v>故障や工具破損の兆候を捉え、点検・交換につなぐ負担。 ／ 補充・濃度管理・切粉処理などの保守作業で運転が途切れる。</x:v>
      </x:c>
      <x:c r="I89" s="7" t="str">
        <x:v>2024原典抜粋：機械設備の予知保全やメンテナンスに関する機器をご紹介します。 機械の状態を知り、予期せぬダウンタイムやメンテナンスにかかるコストを削減するための機器を多数取り扱っています。貴社の設備を最大限有効活用できるよう、メンテナンス方法の改善や作業時間短縮に有効な機器をご提案いたします。 【RDI】 次世代振動測定装置 Iris M 高周波用オプションカメラ Iris MX 振動監視用オプションカメラ Iris EDGE SPOT積載用遠隔操作システム Iris Explorer その他振動測定システム、オプション 【SDT</x:v>
      </x:c>
      <x:c r="J89" s="7" t="str">
        <x:v>2026原典抜粋：非接触振動可視化システム Iris aiONE / 振動状態監視用カメラ Iris EDGE / 振動状態監視用サーバ Iris CM / 自動潤滑システム LUBExpert ON-GUARD / 状態監視システム VIGILANT / モーター状態監視モジュール PdMA EYE / 回転機状態監視システム e-MCM / 2D計測機能付きデジタルマイクロスコープ Omni3 / 人工知能搭載デジタルマイクロスコープ ACUMEN </x:v>
      </x:c>
      <x:c r="K89" s="7" t="str">
        <x:v>原典記述の対照。個別機能の追加・性能差・初登場年は未判定。</x:v>
      </x:c>
      <x:c r="L89" s="7" t="str">
        <x:v>両年説明あり・機能差未判定</x:v>
      </x:c>
      <x:c r="M89" s="7" t="str">
        <x:v>出展説明の一次分類</x:v>
      </x:c>
      <x:c r="N89" s="7" t="str"/>
      <x:c r="O89" s="7" t="str">
        <x:v>承認・例外対応・停止・復帰の境界は未確認</x:v>
      </x:c>
      <x:c r="P89" s="7" t="str">
        <x:v>2026公式カタログ掲載・現地未確認
2026展示予定。既存製品・参考出展・構想等は原典で個別確認</x:v>
      </x:c>
      <x:c r="Q89" s="7" t="str">
        <x:v>AC231</x:v>
      </x:c>
      <x:c t="str" r="R89" s="21">
        <x:f>HYPERLINK("https://www.jimtof.org/search/jp/ESdetails?e=swNETGQjKXM","JIMTOF2026 出展ページ")</x:f>
        <x:v>JIMTOF2026 出展ページ</x:v>
      </x:c>
      <x:c t="str" r="S89" s="21">
        <x:f>HYPERLINK("https://www.jimtof.org/2024/search/jp/ESdetails?e=4DzCn6Z5EGw","JIMTOF2024 出展ページ")</x:f>
        <x:v>JIMTOF2024 出展ページ</x:v>
      </x:c>
      <x:c r="T89" s="7" t="str">
        <x:v>EEX-EXH-2026-b6977c805d302165: https://www.jimtof.org/search/jp/ESdetails?e=swNETGQjKXM
該当箇所: 出展紹介・主な出展物。追加カードの原典抜粋で検索
EEX-EXH-2024-4e79e2f65ee27f6c: https://www.jimtof.org/2024/search/jp/ESdetails?e=4DzCn6Z5EGw
該当箇所: 出展紹介・主な出展物。追加カードの原典抜粋で検索</x:v>
      </x:c>
    </x:row>
    <x:row r="90" ht="155" customHeight="1">
      <x:c r="A90" s="7" t="str">
        <x:v>検査・診断</x:v>
      </x:c>
      <x:c r="B90" s="7" t="str">
        <x:v>設備・刃具の異常検知と保全</x:v>
      </x:c>
      <x:c r="C90" s="20" t="str">
        <x:v>Theta Precision Co., Ltd.</x:v>
      </x:c>
      <x:c r="D90" s="7" t="str">
        <x:v>1.インテリジェント・ビルトインスピンドル（台湾精品賞受賞）</x:v>
      </x:c>
      <x:c r="E90" s="7" t="str">
        <x:v>W3003</x:v>
      </x:c>
      <x:c r="F90" s="7" t="str">
        <x:v>設備・刃具の異常検知と保全</x:v>
      </x:c>
      <x:c r="G90" s="7" t="str">
        <x:v>原典抜粋：1.スマート製造を加速する監視システム：独自技術で振動・温度・ベアリング安全係数をリアルタイム検知。 / 2.半導体・精密研削市場への高度なカスタム性：AI産業向け高要求スピンドル市場へ本格参入。 / 振動、温度、熱変位をリアルタイム監視。</x:v>
      </x:c>
      <x:c r="H90" s="7" t="str">
        <x:v>故障や工具破損の兆候を捉え、点検・交換につなぐ負担。</x:v>
      </x:c>
      <x:c r="I90" s="7" t="str">
        <x:v>同一正規化名称の2024詳細なし。新規出展・技術不存在とは判断しない。</x:v>
      </x:c>
      <x:c r="J90" s="7" t="str">
        <x:v>2026原典抜粋：1.スマート製造を加速する監視システム：独自技術で振動・温度・ベアリング安全係数をリアルタイム検知。 / 2.半導体・精密研削市場への高度なカスタム性：AI産業向け高要求スピンドル市場へ本格参入。 / 振動、温度、熱変位をリアルタイム監視。</x:v>
      </x:c>
      <x:c r="K90" s="7" t="str">
        <x:v>原典記述の対照。個別機能の追加・性能差・初登場年は未判定。</x:v>
      </x:c>
      <x:c r="L90" s="7" t="str">
        <x:v>年度資料不足・比較不能</x:v>
      </x:c>
      <x:c r="M90" s="7" t="str">
        <x:v>出展説明の一次分類</x:v>
      </x:c>
      <x:c r="N90" s="7" t="str"/>
      <x:c r="O90" s="7" t="str">
        <x:v>承認・例外対応・停止・復帰の境界は未確認</x:v>
      </x:c>
      <x:c r="P90" s="7" t="str">
        <x:v>2026公式カタログ掲載・現地未確認
2026展示予定。既存製品・参考出展・構想等は原典で個別確認</x:v>
      </x:c>
      <x:c r="Q90" s="7" t="str">
        <x:v>AC288</x:v>
      </x:c>
      <x:c t="str" r="R90" s="21">
        <x:f>HYPERLINK("https://www.jimtof.org/search/jp/ESdetails?e=-qpqVRprqhs","JIMTOF2026 出展ページ")</x:f>
        <x:v>JIMTOF2026 出展ページ</x:v>
      </x:c>
      <x:c r="S90" s="21" t="str"/>
      <x:c r="T90" s="7" t="str">
        <x:v>EEX-EXH-2026-b8cf89f9a09c5a9c: https://www.jimtof.org/search/jp/ESdetails?e=-qpqVRprqhs
該当箇所: 出展紹介・主な出展物。追加カードの原典抜粋で検索</x:v>
      </x:c>
    </x:row>
    <x:row r="91" ht="155" customHeight="1">
      <x:c r="A91" s="7" t="str">
        <x:v>検査・診断</x:v>
      </x:c>
      <x:c r="B91" s="7" t="str">
        <x:v>設備・刃具の異常検知と保全</x:v>
      </x:c>
      <x:c r="C91" s="20" t="str">
        <x:v>アズビル（TACO共同出展）</x:v>
      </x:c>
      <x:c r="D91" s="7" t="str">
        <x:v>U4DM01 NC旋盤予兆検知</x:v>
      </x:c>
      <x:c r="E91" s="7" t="str">
        <x:v>W4070</x:v>
      </x:c>
      <x:c r="F91" s="7" t="str">
        <x:v>NC旋盤の刃具破損を検知する</x:v>
      </x:c>
      <x:c r="G91" s="7" t="str">
        <x:v>U4DM01はNC旋盤の刃具破損検知と後付け適用を説明。</x:v>
      </x:c>
      <x:c r="H91" s="7" t="str">
        <x:v>故障や工具破損の兆候を捉え、点検・交換につなぐ負担。</x:v>
      </x:c>
      <x:c r="I91" s="7" t="str">
        <x:v>2024アズビルはU4D NC旋盤パッケージを参考出展。独自アルゴリズム・後付け・設定学習を記載。</x:v>
      </x:c>
      <x:c r="J91" s="7" t="str">
        <x:v>■ アズビルTACO
工作機械の高速化・高精度化の実現に寄与
・次世代フォグ潤滑装置【参考出展】
■ アズビル（共同出展）
捉えられなかった「予兆」を捉え、製造ロスを大幅削減
① NC旋盤予兆検知ユニット　形 U4DM01【Coming soon】
② アジャスタブル近接センサ　H3R【参考出展】
■ アズビルトレーディング（共同出展）
① 工作機械の自動扉に合わせた形状で、確実に挟まれを検知する、セーフティエッジスイッチ。
② 従来の2軸から3軸測定へ進化し、設備の状態をより正確に可視化する、3軸振動・温度センサ。
■ アズビルTACO
・次世代フォグ潤滑装置【参考出展】
フォグ潤滑に計測・制御・通信を備え、安定性と安心・快適を追求した新製品
■ アズビル（共同出展）
① NC旋盤予兆検知ユニット　形 U4DM01【Coming soon】
NC旋盤の刃具破損を検知して製造ロスを大幅削減！！
・メーカー、機種を問わず既存加工機に後付け可能
・ハイポイドギア加工機、ホブカッター、ピンミラーにも適用可能
② アジャスタブル近接センサ　H3R【参考出展】
センサ1台で、主軸の見えない動きを見える化！
・これまで捉えられなかった主軸ストローク情報を1台で検出。
・狭小スペースへの実装を可能にし、工作機械のさらなる小型化に貢献します。
■ アズビルトレーディング（共同出展）
① セーフティエッジスイッチ　形:GS-M01
・工作機械の自動扉の挟まれ検知に最適なエッジスイッチ
・自動扉の形状に合わせて設置可能。
・セーフティコントローラ形:SC-U1D1と組み合わせで、各種国際規格を取得。
EN ISO 13849-1:2015（Category3 PLd）、EN ISO 13856-2:2013
② 状態監視用振動・温度センサ　形:QM30VT3
・3軸振動・温度監視と自動しきい値設定機能を搭載したコンパクトな状態監視センサ。</x:v>
      </x:c>
      <x:c r="K91" s="7" t="str">
        <x:v>2024参考U4Dから2026 Coming soon表記。性能差は不明。</x:v>
      </x:c>
      <x:c r="L91" s="7" t="str">
        <x:v>個別比較あり</x:v>
      </x:c>
      <x:c r="M91" s="7" t="str">
        <x:v>詳細比較済み</x:v>
      </x:c>
      <x:c r="N91" s="7" t="str"/>
      <x:c r="O91" s="7" t="str">
        <x:v>2024は設定・学習開始操作あり。停止や交換権限は未確認。</x:v>
      </x:c>
      <x:c r="P91" s="7" t="str">
        <x:v>2026展示予定
公式カタログ記載</x:v>
      </x:c>
      <x:c r="Q91" s="7" t="str">
        <x:v>RPT003</x:v>
      </x:c>
      <x:c t="str" r="R91" s="21">
        <x:f>HYPERLINK("https://www.jimtof.org/search/jp/ESdetails?e=x6DdroBnfSA","JIMTOF2026 出展ページ")</x:f>
        <x:v>JIMTOF2026 出展ページ</x:v>
      </x:c>
      <x:c t="str" r="S91" s="21">
        <x:f>HYPERLINK("https://www.jimtof.org/2024/search/jp/ESdetails?e=7JiCTnsEx48","JIMTOF2024 出展ページ")</x:f>
        <x:v>JIMTOF2024 出展ページ</x:v>
      </x:c>
      <x:c r="T91" s="7" t="str">
        <x:v>RPT-EXH-2026-2c48cf1373cedc75: https://www.jimtof.org/search/jp/ESdetails?e=x6DdroBnfSA
該当箇所: main &gt; div.container &gt; div.row &gt; div.col-md-8.mb-5; 見出し「主な出展物」と直後のp
RPT-EXH-2024-2caebd449015630d: https://www.jimtof.org/2024/search/jp/ESdetails?e=7JiCTnsEx48
該当箇所: main &gt; div.container &gt; div.row &gt; div.col-md-8.mb-5; 見出し「主な出展物」と直後のp</x:v>
      </x:c>
    </x:row>
    <x:row r="92" ht="155" customHeight="1">
      <x:c r="A92" s="7" t="str">
        <x:v>段取り・物理作業</x:v>
      </x:c>
      <x:c r="B92" s="7" t="str">
        <x:v>爪・治具・ハンドと位置の段取り</x:v>
      </x:c>
      <x:c r="C92" s="20" t="str">
        <x:v>イマオコーポレーション</x:v>
      </x:c>
      <x:c r="D92" s="7" t="str">
        <x:v>ナットランナー治具</x:v>
      </x:c>
      <x:c r="E92" s="7" t="str">
        <x:v>W2001</x:v>
      </x:c>
      <x:c r="F92" s="7" t="str">
        <x:v>加工前にワークを治具へ固定する</x:v>
      </x:c>
      <x:c r="G92" s="7" t="str">
        <x:v>ナットランナーとメカ機構でワークを締結する治具。</x:v>
      </x:c>
      <x:c r="H92" s="7" t="str">
        <x:v>ワーク固定・解除の手作業と、自動化に伴う配管・配線の負担</x:v>
      </x:c>
      <x:c r="I92" s="7" t="str">
        <x:v>2024企業出展パンフにナットランナーのスイング・サイド・引込みクランプ、サポーター等を具体掲載。</x:v>
      </x:c>
      <x:c r="J92" s="7" t="str">
        <x:v>ナットランナー治具の種類追加を説明</x:v>
      </x:c>
      <x:c r="K92" s="7" t="str">
        <x:v>2024も具体治具あり。2026は種類追加を記載。</x:v>
      </x:c>
      <x:c r="L92" s="7" t="str">
        <x:v>個別比較あり</x:v>
      </x:c>
      <x:c r="M92" s="7" t="str">
        <x:v>詳細比較済み</x:v>
      </x:c>
      <x:c r="N92" s="7" t="str"/>
      <x:c r="O92" s="7" t="str">
        <x:v>人が治具・フック等を設計選定。着座・締結異常の扱いは未確認。</x:v>
      </x:c>
      <x:c r="P92" s="7" t="str">
        <x:v>JIMTOF2026公式カタログ掲載・現地未確認
2026展示予定・提供段階未確認</x:v>
      </x:c>
      <x:c r="Q92" s="7" t="str">
        <x:v>FC042</x:v>
      </x:c>
      <x:c t="str" r="R92" s="21">
        <x:f>HYPERLINK("https://www.jimtof.org/search/jp/ESdetails?e=shuDpJLDn-A","JIMTOF2026 出展ページ")</x:f>
        <x:v>JIMTOF2026 出展ページ</x:v>
      </x:c>
      <x:c t="str" r="S92" s="21">
        <x:f>HYPERLINK("https://www.jimtof.org/2024/search/jp/ESdetails?e=MTYTZ2Km3zM","JIMTOF2024 出展ページ")</x:f>
        <x:v>JIMTOF2024 出展ページ</x:v>
      </x:c>
      <x:c r="T92" s="7" t="str">
        <x:v>EOV-V025-2024-1: https://www.jimtof.org/2024/search/jp/ESdetails?e=MTYTZ2Km3zM
該当箇所: main &gt; div.col-md-8.mb-5 の出展紹介、見出し「主な出展物」直後
EOV-V025-2026-1: https://www.jimtof.org/search/jp/ESdetails?e=shuDpJLDn-A
該当箇所: main &gt; div.col-md-8.mb-5 の出展紹介、見出し「主な出展物」直後
EDP-30: https://www.imao.co.jp/products/nutrunnerclamp.html
該当箇所: ロボットのナットランナーでクランプ／配管配線不要／手動も可能
EDP-32: https://www.imao.co.jp/event-20241105-1110-jimtof/jimtof.pdf
該当箇所: ナットランナー治具各型式／人でもロボットでも操作可能</x:v>
      </x:c>
    </x:row>
    <x:row r="93" ht="155" customHeight="1">
      <x:c r="A93" s="7" t="str">
        <x:v>段取り・物理作業</x:v>
      </x:c>
      <x:c r="B93" s="7" t="str">
        <x:v>爪・治具・ハンドと位置の段取り</x:v>
      </x:c>
      <x:c r="C93" s="20" t="str">
        <x:v>イマオコーポレーション</x:v>
      </x:c>
      <x:c r="D93" s="7" t="str">
        <x:v>メカ式フィンガー交換</x:v>
      </x:c>
      <x:c r="E93" s="7" t="str">
        <x:v>W2001</x:v>
      </x:c>
      <x:c r="F93" s="7" t="str">
        <x:v>指・ハンド交換</x:v>
      </x:c>
      <x:c r="G93" s="7" t="str">
        <x:v>締結部品がロックを機械的に保持。自動で交換すべき指を選ぶAIとは記載なし</x:v>
      </x:c>
      <x:c r="H93" s="7" t="str">
        <x:v>多品種に対応するロボット把持部の交換・再設定</x:v>
      </x:c>
      <x:c r="I93" s="7" t="str">
        <x:v>メカ式ツールチェンジャーを掲載</x:v>
      </x:c>
      <x:c r="J93" s="7" t="str">
        <x:v>ばねを用いたフィンガー交換を具体掲載</x:v>
      </x:c>
      <x:c r="K93" s="7" t="str">
        <x:v>出展説明・公式資料の記載比較。初発明年・実演成功・性能向上を証明するものではない。</x:v>
      </x:c>
      <x:c r="L93" s="7" t="str">
        <x:v>比較記録あり</x:v>
      </x:c>
      <x:c r="M93" s="7" t="str">
        <x:v>個別タスク整理</x:v>
      </x:c>
      <x:c r="N93" s="7" t="str"/>
      <x:c r="O93" s="7" t="str">
        <x:v>事前準備：公式：ハンドに合う取付板・フィンガー・ピンを設計して配置／承認：未記載：指の種類識別・締結完了の信号確認。認識センサの標準範囲は要確認／例外対応：未記載：ピン未挿入・切粉噛込み・ロック不足の検出と復帰</x:v>
      </x:c>
      <x:c r="P93" s="7" t="str">
        <x:v>JIMTOF2026公式カタログ掲載・現地未確認
2026展示予定・提供段階未確認</x:v>
      </x:c>
      <x:c r="Q93" s="7" t="str">
        <x:v>FC043</x:v>
      </x:c>
      <x:c t="str" r="R93" s="21">
        <x:f>HYPERLINK("https://www.jimtof.org/search/jp/ESdetails?e=shuDpJLDn-A","JIMTOF2026 出展ページ")</x:f>
        <x:v>JIMTOF2026 出展ページ</x:v>
      </x:c>
      <x:c t="str" r="S93" s="21">
        <x:f>HYPERLINK("https://www.jimtof.org/2024/search/jp/ESdetails?e=MTYTZ2Km3zM","JIMTOF2024 出展ページ")</x:f>
        <x:v>JIMTOF2024 出展ページ</x:v>
      </x:c>
      <x:c r="T93" s="7" t="str">
        <x:v>EOV-V025-2024-1: https://www.jimtof.org/2024/search/jp/ESdetails?e=MTYTZ2Km3zM
該当箇所: main &gt; div.col-md-8.mb-5 の出展紹介、見出し「主な出展物」直後
EOV-V025-2026-1: https://www.jimtof.org/search/jp/ESdetails?e=shuDpJLDn-A
該当箇所: main &gt; div.col-md-8.mb-5 の出展紹介、見出し「主な出展物」直後
EDP-31: https://www.imao.co.jp/products/tsume-changer.html
該当箇所: ボール・クサビ・ばね／イジェクトピンでロック解除／取付板設計</x:v>
      </x:c>
    </x:row>
    <x:row r="94" ht="155" customHeight="1">
      <x:c r="A94" s="7" t="str">
        <x:v>段取り・物理作業</x:v>
      </x:c>
      <x:c r="B94" s="7" t="str">
        <x:v>爪・治具・ハンドと位置の段取り</x:v>
      </x:c>
      <x:c r="C94" s="20" t="str">
        <x:v>中村留精密工業</x:v>
      </x:c>
      <x:c r="D94" s="7" t="str">
        <x:v>RoboSync：移設後の位置復旧</x:v>
      </x:c>
      <x:c r="E94" s="7" t="str">
        <x:v>E2027</x:v>
      </x:c>
      <x:c r="F94" s="7" t="str">
        <x:v>移設したロボットの位置を復旧する</x:v>
      </x:c>
      <x:c r="G94" s="7" t="str">
        <x:v>RoboSyncは移設後にマーカーを読み相対位置を補正。</x:v>
      </x:c>
      <x:c r="H94" s="7" t="str">
        <x:v>移設・再配置・品種変更のたびに生じる位置合わせと段取り作業</x:v>
      </x:c>
      <x:c r="I94" s="7" t="str">
        <x:v>New Robot System等を掲載。RoboSync同一機能は未確認</x:v>
      </x:c>
      <x:c r="J94" s="7" t="str">
        <x:v>既存パレット・台車の利用と位置復旧を具体説明</x:v>
      </x:c>
      <x:c r="K94" s="7" t="str">
        <x:v>2026は位置復旧を具体説明。同一機能の2024版は未確認。</x:v>
      </x:c>
      <x:c r="L94" s="7" t="str">
        <x:v>個別比較あり</x:v>
      </x:c>
      <x:c r="M94" s="7" t="str">
        <x:v>詳細比較済み</x:v>
      </x:c>
      <x:c r="N94" s="7" t="str"/>
      <x:c r="O94" s="7" t="str">
        <x:v>人の移設・復旧操作を含む。未知トラブルの自律復帰とは別。</x:v>
      </x:c>
      <x:c r="P94" s="7" t="str">
        <x:v>JIMTOF2026公式カタログ掲載・現地未確認
既存製品方式確認・2026展示予定</x:v>
      </x:c>
      <x:c r="Q94" s="7" t="str">
        <x:v>FC048</x:v>
      </x:c>
      <x:c t="str" r="R94" s="21">
        <x:f>HYPERLINK("https://www.jimtof.org/search/jp/ESdetails?e=C7A_2ZTDXNw","JIMTOF2026 出展ページ")</x:f>
        <x:v>JIMTOF2026 出展ページ</x:v>
      </x:c>
      <x:c t="str" r="S94" s="21">
        <x:f>HYPERLINK("https://www.jimtof.org/2024/search/jp/ESdetails?e=RYK326OoMn4","JIMTOF2024 出展ページ")</x:f>
        <x:v>JIMTOF2024 出展ページ</x:v>
      </x:c>
      <x:c r="T94" s="7" t="str">
        <x:v>EOV-V029-2024-1: https://www.jimtof.org/2024/search/jp/ESdetails?e=RYK326OoMn4
該当箇所: main &gt; div.col-md-8.mb-5 の出展紹介、見出し「主な出展物」直後
EOV-V029-2026-1: https://www.jimtof.org/search/jp/ESdetails?e=C7A_2ZTDXNw
該当箇所: main &gt; div.col-md-8.mb-5 の出展紹介、見出し「主な出展物」直後
EOV-W04: https://www.nakamura-tome.co.jp/products/automation/robosync/
該当箇所: 製品の特長 &gt; 簡単復旧、簡単操作</x:v>
      </x:c>
    </x:row>
    <x:row r="95" ht="155" customHeight="1">
      <x:c r="A95" s="7" t="str">
        <x:v>段取り・物理作業</x:v>
      </x:c>
      <x:c r="B95" s="7" t="str">
        <x:v>爪・治具・ハンドと位置の段取り</x:v>
      </x:c>
      <x:c r="C95" s="20" t="str">
        <x:v>シマダマシンツール</x:v>
      </x:c>
      <x:c r="D95" s="7" t="str">
        <x:v>HS4200：フィジカルAI自動段取り替え</x:v>
      </x:c>
      <x:c r="E95" s="7" t="str">
        <x:v>E2018</x:v>
      </x:c>
      <x:c r="F95" s="7" t="str">
        <x:v>教示・位置合わせ</x:v>
      </x:c>
      <x:c r="G95" s="7" t="str">
        <x:v>誰でも簡単な自動段取り替えとのメーカー説明</x:v>
      </x:c>
      <x:c r="H95" s="7" t="str">
        <x:v>移設・再配置・品種変更のたびに生じる位置合わせと段取り作業</x:v>
      </x:c>
      <x:c r="I95" s="7" t="str">
        <x:v>レールロボット搬送は既存。AI段取りの記載は確認できず</x:v>
      </x:c>
      <x:c r="J95" s="7" t="str">
        <x:v>2026はフィジカルAIによる自動段取り替えを明記</x:v>
      </x:c>
      <x:c r="K95" s="7" t="str">
        <x:v>出展説明・公式資料の記載比較。初発明年・実演成功・性能向上を証明するものではない。</x:v>
      </x:c>
      <x:c r="L95" s="7" t="str">
        <x:v>比較記録あり</x:v>
      </x:c>
      <x:c r="M95" s="7" t="str">
        <x:v>個別タスク整理</x:v>
      </x:c>
      <x:c r="N95" s="7" t="str"/>
      <x:c r="O95" s="7" t="str">
        <x:v>治具・爪・位置・プログラム等のどこを自動化するか未確認</x:v>
      </x:c>
      <x:c r="P95" s="7" t="str">
        <x:v>JIMTOF2026公式カタログ掲載・現地未確認
2026展示予定・提供段階未確認</x:v>
      </x:c>
      <x:c r="Q95" s="7" t="str">
        <x:v>FC051</x:v>
      </x:c>
      <x:c t="str" r="R95" s="21">
        <x:f>HYPERLINK("https://www.jimtof.org/search/jp/ESdetails?e=xntdeqgs_F4","JIMTOF2026 出展ページ")</x:f>
        <x:v>JIMTOF2026 出展ページ</x:v>
      </x:c>
      <x:c t="str" r="S95" s="21">
        <x:f>HYPERLINK("https://www.jimtof.org/2024/search/jp/ESdetails?e=WZjeoEoTWXw","JIMTOF2024 出展ページ")</x:f>
        <x:v>JIMTOF2024 出展ページ</x:v>
      </x:c>
      <x:c r="T95" s="7" t="str">
        <x:v>EOV-V031-2024-1: https://www.jimtof.org/2024/search/jp/ESdetails?e=WZjeoEoTWXw
該当箇所: main &gt; div.col-md-8.mb-5 の出展紹介、見出し「主な出展物」直後
EOV-V031-2024-2: https://www.jimtof.org/2024/search/jp/ESdetails?e=bLvQhW7XtZw
該当箇所: main &gt; div.col-md-8.mb-5 の出展紹介、見出し「主な出展物」直後
EOV-V031-2026-1: https://www.jimtof.org/search/jp/ESdetails?e=xntdeqgs_F4
該当箇所: main &gt; div.col-md-8.mb-5 の出展紹介、見出し「主な出展物」直後</x:v>
      </x:c>
    </x:row>
    <x:row r="96" ht="155" customHeight="1">
      <x:c r="A96" s="7" t="str">
        <x:v>段取り・物理作業</x:v>
      </x:c>
      <x:c r="B96" s="7" t="str">
        <x:v>爪・治具・ハンドと位置の段取り</x:v>
      </x:c>
      <x:c r="C96" s="20" t="str">
        <x:v>株式会社アルプスツール</x:v>
      </x:c>
      <x:c r="D96" s="7" t="str">
        <x:v>CELSUS 32、ASR X-04A、SWP-RB65、AQ2クイックチェンジシステム , 回転工具ユニット , アルプスナイスミルシリーズ , A</x:v>
      </x:c>
      <x:c r="E96" s="7" t="str">
        <x:v>E7047</x:v>
      </x:c>
      <x:c r="F96" s="7" t="str">
        <x:v>爪・治具・ハンドと位置の段取り</x:v>
      </x:c>
      <x:c r="G96" s="7" t="str">
        <x:v>原典抜粋：【CELSUS 32】 / CELSUS（セルサス）とはラテン語で「至上・最高」という意味があり、CELSUS 32は最新技術を駆使して新しい発想から開発された新機種となります。 / また、アルミ製カバーを採用することによりスタイリッシュな外観を持ったCELSUS 32は機能性とデザインを兼ね備えた機種となっており作業現場においても美しく調和する存在となっております。 / 【ASR X-04A】 / 独自のトップキャッチングシステムを標</x:v>
      </x:c>
      <x:c r="H96" s="7" t="str">
        <x:v>多品種で繰り返す機械的交換と再教示の負担。</x:v>
      </x:c>
      <x:c r="I96" s="7" t="str">
        <x:v>同一正規化名称の2024詳細なし。新規出展・技術不存在とは判断しない。</x:v>
      </x:c>
      <x:c r="J96" s="7" t="str">
        <x:v>2026原典抜粋：【CELSUS 32】 / CELSUS（セルサス）とはラテン語で「至上・最高」という意味があり、CELSUS 32は最新技術を駆使して新しい発想から開発された新機種となります。 / また、アルミ製カバーを採用することによりスタイリッシュな外観を持ったCELSUS 32は機能性とデザインを兼ね備えた機種となっており作業現場においても美しく調和する存在となっております。 / 【ASR X-04A】 / 独自のトップキャッチングシステムを標</x:v>
      </x:c>
      <x:c r="K96" s="7" t="str">
        <x:v>原典記述の対照。個別機能の追加・性能差・初登場年は未判定。</x:v>
      </x:c>
      <x:c r="L96" s="7" t="str">
        <x:v>年度資料不足・比較不能</x:v>
      </x:c>
      <x:c r="M96" s="7" t="str">
        <x:v>出展説明の一次分類</x:v>
      </x:c>
      <x:c r="N96" s="7" t="str"/>
      <x:c r="O96" s="7" t="str">
        <x:v>承認・例外対応・停止・復帰の境界は未確認</x:v>
      </x:c>
      <x:c r="P96" s="7" t="str">
        <x:v>2026公式カタログ掲載・現地未確認
2026展示予定。既存製品・参考出展・構想等は原典で個別確認</x:v>
      </x:c>
      <x:c r="Q96" s="7" t="str">
        <x:v>AC012</x:v>
      </x:c>
      <x:c t="str" r="R96" s="21">
        <x:f>HYPERLINK("https://www.jimtof.org/search/jp/ESdetails?e=2TYreMhMb5Q","JIMTOF2026 出展ページ")</x:f>
        <x:v>JIMTOF2026 出展ページ</x:v>
      </x:c>
      <x:c r="S96" s="21" t="str"/>
      <x:c r="T96" s="7" t="str">
        <x:v>EEX-EXH-2026-aa4cb9abd8dccbec: https://www.jimtof.org/search/jp/ESdetails?e=2TYreMhMb5Q
該当箇所: 出展紹介・主な出展物。追加カードの原典抜粋で検索</x:v>
      </x:c>
    </x:row>
    <x:row r="97" ht="155" customHeight="1">
      <x:c r="A97" s="7" t="str">
        <x:v>段取り・物理作業</x:v>
      </x:c>
      <x:c r="B97" s="7" t="str">
        <x:v>爪・治具・ハンドと位置の段取り</x:v>
      </x:c>
      <x:c r="C97" s="20" t="str">
        <x:v>株式会社イズミコーポレーション</x:v>
      </x:c>
      <x:c r="D97" s="7" t="str">
        <x:v>ディペンドバイスシステム　「ＰＳＳ－５５００、ＰＳＳ－５４００,Ｃ４Ｖセット」、エアーメカロックバイス　「ＡＭＶ－１００５Ｗ、ＡＭＶ－１００７Ｗ、ＡＭ</x:v>
      </x:c>
      <x:c r="E97" s="7" t="str">
        <x:v>WA007</x:v>
      </x:c>
      <x:c r="F97" s="7" t="str">
        <x:v>爪・治具・ハンドと位置の段取り</x:v>
      </x:c>
      <x:c r="G97" s="7" t="str">
        <x:v>原典抜粋：イズミコーポレーションは長年にわたるフライス盤及びマシニングセンターによる精密部品加工分野での経験を生かし、現在はマシニングセンター加工の高効率、高精度、治具レス、無人化をコンセプトとした汎用治具バイス ”ディペンドバイスシステム” をメインに工作機械用各種ワーククランプシステムを製造販売しております。 / 生産現場の視点に立って、お客様に信頼して頂けるユニークな製品開発を続ける事が使命と考えております。 / ディペンドバイスシステム　</x:v>
      </x:c>
      <x:c r="H97" s="7" t="str">
        <x:v>多品種で繰り返す機械的交換と再教示の負担。</x:v>
      </x:c>
      <x:c r="I97" s="7" t="str">
        <x:v>2024原典抜粋：イズミコーポレーションは長年にわたるフライス盤及びマシニングセンターによる精密部品加工分野での経験を生かし、現在はマシニングセンター加工の高効率、高精度、治具レス、無人化をコンセプトとした汎用治具バイス ”ディペンドバイスシステム” をメインに工作機械用各種ワーククランプシステムを製造販売しております。生産現場の視点に立って、お客様に信頼して頂けるユニークな製品開発を続ける事が使命と考えております。 ディペンドバイスシステム「ＰＳＳ－５５００Ｆ、ＰＳＳ－７６００Ｆ、ＰＳＳ－５４００Ｆ，Ｃ４Ｖ」、エアーメカロックバイ</x:v>
      </x:c>
      <x:c r="J97" s="7" t="str">
        <x:v>2026原典抜粋：イズミコーポレーションは長年にわたるフライス盤及びマシニングセンターによる精密部品加工分野での経験を生かし、現在はマシニングセンター加工の高効率、高精度、治具レス、無人化をコンセプトとした汎用治具バイス ”ディペンドバイスシステム” をメインに工作機械用各種ワーククランプシステムを製造販売しております。 / 生産現場の視点に立って、お客様に信頼して頂けるユニークな製品開発を続ける事が使命と考えております。 / ディペンドバイスシステム　</x:v>
      </x:c>
      <x:c r="K97" s="7" t="str">
        <x:v>原典記述の対照。個別機能の追加・性能差・初登場年は未判定。</x:v>
      </x:c>
      <x:c r="L97" s="7" t="str">
        <x:v>両年説明あり・機能差未判定</x:v>
      </x:c>
      <x:c r="M97" s="7" t="str">
        <x:v>出展説明の一次分類</x:v>
      </x:c>
      <x:c r="N97" s="7" t="str"/>
      <x:c r="O97" s="7" t="str">
        <x:v>承認・例外対応・停止・復帰の境界は未確認</x:v>
      </x:c>
      <x:c r="P97" s="7" t="str">
        <x:v>2026公式カタログ掲載・現地未確認
2026展示予定。既存製品・参考出展・構想等は原典で個別確認</x:v>
      </x:c>
      <x:c r="Q97" s="7" t="str">
        <x:v>AC017</x:v>
      </x:c>
      <x:c t="str" r="R97" s="21">
        <x:f>HYPERLINK("https://www.jimtof.org/search/jp/ESdetails?e=Eo7w7UDoYR0","JIMTOF2026 出展ページ")</x:f>
        <x:v>JIMTOF2026 出展ページ</x:v>
      </x:c>
      <x:c t="str" r="S97" s="21">
        <x:f>HYPERLINK("https://www.jimtof.org/2024/search/jp/ESdetails?e=HV_SdA2C6hY","JIMTOF2024 出展ページ")</x:f>
        <x:v>JIMTOF2024 出展ページ</x:v>
      </x:c>
      <x:c r="T97" s="7" t="str">
        <x:v>EEX-EXH-2026-681d5ad2651a63b2: https://www.jimtof.org/search/jp/ESdetails?e=Eo7w7UDoYR0
該当箇所: 出展紹介・主な出展物。追加カードの原典抜粋で検索
EEX-EXH-2024-1f51c05700cf70b0: https://www.jimtof.org/2024/search/jp/ESdetails?e=HV_SdA2C6hY
該当箇所: 出展紹介・主な出展物。追加カードの原典抜粋で検索</x:v>
      </x:c>
    </x:row>
    <x:row r="98" ht="155" customHeight="1">
      <x:c r="A98" s="7" t="str">
        <x:v>段取り・物理作業</x:v>
      </x:c>
      <x:c r="B98" s="7" t="str">
        <x:v>爪・治具・ハンドと位置の段取り</x:v>
      </x:c>
      <x:c r="C98" s="20" t="str">
        <x:v>株式会社ヴィクストリン</x:v>
      </x:c>
      <x:c r="D98" s="7" t="str">
        <x:v>自動ツールチェンジャー／手動ツールチェンジャー／衝突センサー「QuickSTOP™」／</x:v>
      </x:c>
      <x:c r="E98" s="7" t="str">
        <x:v>W4098</x:v>
      </x:c>
      <x:c r="F98" s="7" t="str">
        <x:v>爪・治具・ハンドと位置の段取り ／ 安全監視・自動化を支える機器</x:v>
      </x:c>
      <x:c r="G98" s="7" t="str">
        <x:v>原典抜粋：以来、高度な産業用ロボットやオートメーションのエンジニアリング分野で、50年以上の実績を重ねてまいりました。 / 自動ツールチェンジャー／手動ツールチェンジャー／衝突センサー「QuickSTOP™」／</x:v>
      </x:c>
      <x:c r="H98" s="7" t="str">
        <x:v>多品種で繰り返す機械的交換と再教示の負担。 ／ 無人運転やロボット導入には、安全確保と機器・配線・力の伝達が必要。</x:v>
      </x:c>
      <x:c r="I98" s="7" t="str">
        <x:v>同一正規化名称の2024詳細なし。新規出展・技術不存在とは判断しない。</x:v>
      </x:c>
      <x:c r="J98" s="7" t="str">
        <x:v>2026原典抜粋：以来、高度な産業用ロボットやオートメーションのエンジニアリング分野で、50年以上の実績を重ねてまいりました。 / 自動ツールチェンジャー／手動ツールチェンジャー／衝突センサー「QuickSTOP™」／</x:v>
      </x:c>
      <x:c r="K98" s="7" t="str">
        <x:v>原典記述の対照。個別機能の追加・性能差・初登場年は未判定。</x:v>
      </x:c>
      <x:c r="L98" s="7" t="str">
        <x:v>年度資料不足・比較不能</x:v>
      </x:c>
      <x:c r="M98" s="7" t="str">
        <x:v>出展説明の一次分類</x:v>
      </x:c>
      <x:c r="N98" s="7" t="str"/>
      <x:c r="O98" s="7" t="str">
        <x:v>承認・例外対応・停止・復帰の境界は未確認</x:v>
      </x:c>
      <x:c r="P98" s="7" t="str">
        <x:v>2026公式カタログ掲載・現地未確認
2026展示予定。既存製品・参考出展・構想等は原典で個別確認</x:v>
      </x:c>
      <x:c r="Q98" s="7" t="str">
        <x:v>AC027</x:v>
      </x:c>
      <x:c t="str" r="R98" s="21">
        <x:f>HYPERLINK("https://www.jimtof.org/search/jp/ESdetails?e=aO10VG4tnUs","JIMTOF2026 出展ページ")</x:f>
        <x:v>JIMTOF2026 出展ページ</x:v>
      </x:c>
      <x:c r="S98" s="21" t="str"/>
      <x:c r="T98" s="7" t="str">
        <x:v>EEX-EXH-2026-3884a355dc068f08: https://www.jimtof.org/search/jp/ESdetails?e=aO10VG4tnUs
該当箇所: 出展紹介・主な出展物。追加カードの原典抜粋で検索</x:v>
      </x:c>
    </x:row>
    <x:row r="99" ht="155" customHeight="1">
      <x:c r="A99" s="7" t="str">
        <x:v>段取り・物理作業</x:v>
      </x:c>
      <x:c r="B99" s="7" t="str">
        <x:v>爪・治具・ハンドと位置の段取り</x:v>
      </x:c>
      <x:c r="C99" s="20" t="str">
        <x:v>エスエムダブリューオートブロック株式会社</x:v>
      </x:c>
      <x:c r="D99" s="7" t="str">
        <x:v>クイックジョーチェンジチャック「KNCS-N」</x:v>
      </x:c>
      <x:c r="E99" s="7" t="str">
        <x:v>W2074</x:v>
      </x:c>
      <x:c r="F99" s="7" t="str">
        <x:v>爪・治具・ハンドと位置の段取り</x:v>
      </x:c>
      <x:c r="G99" s="7" t="str">
        <x:v>原典抜粋：当社製品は「段取り替え時間の短縮」・「ワークを歪ませにくい遠心力補正機構」・「完全密閉型でメンテナンスが容易で高精度で長寿命」・「ボディ総焼き入れ（12インチ相当まで）」などの多くの特長があります。 / また、旋盤用製品・マシニングセンタ用製品どちらも需要が増えている自動化（ロボットでの段取り替え等）に対応した製品も取り揃えており、製品を展示します。 / 密閉タイプの「KNCS-2G」、ロボットでの爪交換に対応した「KNCSN-mati</x:v>
      </x:c>
      <x:c r="H99" s="7" t="str">
        <x:v>多品種で繰り返す機械的交換と再教示の負担。</x:v>
      </x:c>
      <x:c r="I99" s="7" t="str">
        <x:v>2024原典抜粋：当社製品は「段取り替え時間の短縮」・「ワークを歪ませにくい遠心力補正機構」・「完全密閉型でメンテナンスが容易で高精度で長寿命」・「ボディ総焼き入れ（12インチ相当まで）」などの多くの特長があります。 旋盤用チャックや振れ止め装置だけでなく、マシニングセンタ用のパレットチェンジシステムや5軸加工機対応マシンバイス、油圧やエアーで動作するバイスも取り扱っており、これら製品も段取り替えの容易さや密閉等の他社にない多くの特長があります。 また、旋盤用製品・マシニングセンタ用製品どちらも需要が増えている自動化（ロボットでの段</x:v>
      </x:c>
      <x:c r="J99" s="7" t="str">
        <x:v>2026原典抜粋：当社製品は「段取り替え時間の短縮」・「ワークを歪ませにくい遠心力補正機構」・「完全密閉型でメンテナンスが容易で高精度で長寿命」・「ボディ総焼き入れ（12インチ相当まで）」などの多くの特長があります。 / また、旋盤用製品・マシニングセンタ用製品どちらも需要が増えている自動化（ロボットでの段取り替え等）に対応した製品も取り揃えており、製品を展示します。 / 密閉タイプの「KNCS-2G」、ロボットでの爪交換に対応した「KNCSN-mati</x:v>
      </x:c>
      <x:c r="K99" s="7" t="str">
        <x:v>原典記述の対照。個別機能の追加・性能差・初登場年は未判定。</x:v>
      </x:c>
      <x:c r="L99" s="7" t="str">
        <x:v>両年説明あり・機能差未判定</x:v>
      </x:c>
      <x:c r="M99" s="7" t="str">
        <x:v>出展説明の一次分類</x:v>
      </x:c>
      <x:c r="N99" s="7" t="str"/>
      <x:c r="O99" s="7" t="str">
        <x:v>承認・例外対応・停止・復帰の境界は未確認</x:v>
      </x:c>
      <x:c r="P99" s="7" t="str">
        <x:v>2026公式カタログ掲載・現地未確認
2026展示予定。既存製品・参考出展・構想等は原典で個別確認</x:v>
      </x:c>
      <x:c r="Q99" s="7" t="str">
        <x:v>AC033</x:v>
      </x:c>
      <x:c t="str" r="R99" s="21">
        <x:f>HYPERLINK("https://www.jimtof.org/search/jp/ESdetails?e=AKC0LsfHQI4","JIMTOF2026 出展ページ")</x:f>
        <x:v>JIMTOF2026 出展ページ</x:v>
      </x:c>
      <x:c t="str" r="S99" s="21">
        <x:f>HYPERLINK("https://www.jimtof.org/2024/search/jp/ESdetails?e=35tDpmqLSDQ","JIMTOF2024 出展ページ")</x:f>
        <x:v>JIMTOF2024 出展ページ</x:v>
      </x:c>
      <x:c r="T99" s="7" t="str">
        <x:v>EEX-EXH-2026-d32f9a2c2a12af7a: https://www.jimtof.org/search/jp/ESdetails?e=AKC0LsfHQI4
該当箇所: 出展紹介・主な出展物。追加カードの原典抜粋で検索
EEX-EXH-2024-2229b68b4691deab: https://www.jimtof.org/2024/search/jp/ESdetails?e=35tDpmqLSDQ
該当箇所: 出展紹介・主な出展物。追加カードの原典抜粋で検索</x:v>
      </x:c>
    </x:row>
    <x:row r="100" ht="155" customHeight="1">
      <x:c r="A100" s="7" t="str">
        <x:v>段取り・物理作業</x:v>
      </x:c>
      <x:c r="B100" s="7" t="str">
        <x:v>爪・治具・ハンドと位置の段取り</x:v>
      </x:c>
      <x:c r="C100" s="20" t="str">
        <x:v>株式会社Any Design</x:v>
      </x:c>
      <x:c r="D100" s="7" t="str">
        <x:v>無線デジタル精密水準器 LevelMan ADL-T5</x:v>
      </x:c>
      <x:c r="E100" s="7" t="str">
        <x:v>S4033</x:v>
      </x:c>
      <x:c r="F100" s="7" t="str">
        <x:v>爪・治具・ハンドと位置の段取り</x:v>
      </x:c>
      <x:c r="G100" s="7" t="str">
        <x:v>原典抜粋：「AdjustMan」は、LevelManの多点測定データを基に重量物のレベル調整を全自動化。 / 「CalibMan」は、水準器の校正を全自動化し、自社での校正を実現します。 / ・無線デジタル精密水準器 LevelMan ADL-T5 / ・無線デジタル水準器 LevelMan ADL-G / ・全自動・水準器構成装置 CalibMan / ・全自動レベル調整システム AdjsutMan（1トン、3トン耐荷重モデルが登場）</x:v>
      </x:c>
      <x:c r="H100" s="7" t="str">
        <x:v>多品種で繰り返す機械的交換と再教示の負担。</x:v>
      </x:c>
      <x:c r="I100" s="7" t="str">
        <x:v>2024原典抜粋：レベル出し熟練作業者の慢性的な不足が課題となる中、測定作業の省力化が求められています。 ＊＊＊レベル出しを完全自動化＊＊＊ こうしたニーズに応える製品として、JIMTOF2024では、自動化でレベル出しの現場を変えるべく、「全自動レベル出し調整装置：AdjustMan」を展示いたします。複数台のデジタル精密水準器のデータを基準に大型装置のレベル出しを完全自動化で行う画期的な製品です。 実稼働デモを実施いたしますのでご期待ください。 ＊＊＊デジタルと無線でレベル出しの現場を楽にする＊＊＊ 上記AdjustManで基準</x:v>
      </x:c>
      <x:c r="J100" s="7" t="str">
        <x:v>2026原典抜粋：「AdjustMan」は、LevelManの多点測定データを基に重量物のレベル調整を全自動化。 / 「CalibMan」は、水準器の校正を全自動化し、自社での校正を実現します。 / ・無線デジタル精密水準器 LevelMan ADL-T5 / ・無線デジタル水準器 LevelMan ADL-G / ・全自動・水準器構成装置 CalibMan / ・全自動レベル調整システム AdjsutMan（1トン、3トン耐荷重モデルが登場）</x:v>
      </x:c>
      <x:c r="K100" s="7" t="str">
        <x:v>原典記述の対照。個別機能の追加・性能差・初登場年は未判定。</x:v>
      </x:c>
      <x:c r="L100" s="7" t="str">
        <x:v>両年説明あり・機能差未判定</x:v>
      </x:c>
      <x:c r="M100" s="7" t="str">
        <x:v>出展説明の一次分類</x:v>
      </x:c>
      <x:c r="N100" s="7" t="str"/>
      <x:c r="O100" s="7" t="str">
        <x:v>承認・例外対応・停止・復帰の境界は未確認</x:v>
      </x:c>
      <x:c r="P100" s="7" t="str">
        <x:v>2026公式カタログ掲載・現地未確認
2026展示予定。既存製品・参考出展・構想等は原典で個別確認</x:v>
      </x:c>
      <x:c r="Q100" s="7" t="str">
        <x:v>AC036</x:v>
      </x:c>
      <x:c t="str" r="R100" s="21">
        <x:f>HYPERLINK("https://www.jimtof.org/search/jp/ESdetails?e=IR4kvy0h_O4","JIMTOF2026 出展ページ")</x:f>
        <x:v>JIMTOF2026 出展ページ</x:v>
      </x:c>
      <x:c t="str" r="S100" s="21">
        <x:f>HYPERLINK("https://www.jimtof.org/2024/search/jp/ESdetails?e=bsgsYcvbud4","JIMTOF2024 出展ページ")</x:f>
        <x:v>JIMTOF2024 出展ページ</x:v>
      </x:c>
      <x:c r="T100" s="7" t="str">
        <x:v>EEX-EXH-2026-6059dd307931eaee: https://www.jimtof.org/search/jp/ESdetails?e=IR4kvy0h_O4
該当箇所: 出展紹介・主な出展物。追加カードの原典抜粋で検索
EEX-EXH-2024-a6d41728f624de76: https://www.jimtof.org/2024/search/jp/ESdetails?e=bsgsYcvbud4
該当箇所: 出展紹介・主な出展物。追加カードの原典抜粋で検索</x:v>
      </x:c>
    </x:row>
    <x:row r="101" ht="155" customHeight="1">
      <x:c r="A101" s="7" t="str">
        <x:v>段取り・物理作業</x:v>
      </x:c>
      <x:c r="B101" s="7" t="str">
        <x:v>爪・治具・ハンドと位置の段取り</x:v>
      </x:c>
      <x:c r="C101" s="20" t="str">
        <x:v>NKワークス株式会社</x:v>
      </x:c>
      <x:c r="D101" s="7" t="str">
        <x:v>「加工提案ゾーン」：空圧式ゼロポイントプレートプレート、ロボット用グリッパー、マニュアルバイス自動開閉装置、MQL装置、製造管理・工程管理システム、ク</x:v>
      </x:c>
      <x:c r="E101" s="7" t="str">
        <x:v>E3015</x:v>
      </x:c>
      <x:c r="F101" s="7" t="str">
        <x:v>爪・治具・ハンドと位置の段取り</x:v>
      </x:c>
      <x:c r="G101" s="7" t="str">
        <x:v>原典抜粋：「加工提案ゾーン」：空圧式ゼロポイントプレートプレート、ロボット用グリッパー、マニュアルバイス自動開閉装置、MQL装置、製造管理・工程管理システム、クーラントなど</x:v>
      </x:c>
      <x:c r="H101" s="7" t="str">
        <x:v>多品種で繰り返す機械的交換と再教示の負担。</x:v>
      </x:c>
      <x:c r="I101" s="7" t="str">
        <x:v>2024原典抜粋：ブース内は目的の製品が見つかりやすい6つのゾーンで構成されます 「ワークホールディングゾーン」：旋盤チャックやMC用バイスなどのワーク保持具など 「ツーリングゾーン」：旋盤、MC用のツールホルダーやボーリングバー、ガンドリルなど 「保全・検査ゾーン」：スピンドル引き込み力測定器や内視鏡、エアフィルターなど 「加工提案ゾーン」：ガンドリルマシンにMQL装置を組み合わせたデモ実施 「仕上げ加工ゾーン」：電解研磨機およびホーニングマシンでのデモ実施 「多軸加工実演ゾーン」：3軸MCとロータリーテーブルを組み合わせた加工実</x:v>
      </x:c>
      <x:c r="J101" s="7" t="str">
        <x:v>2026原典抜粋：「加工提案ゾーン」：空圧式ゼロポイントプレートプレート、ロボット用グリッパー、マニュアルバイス自動開閉装置、MQL装置、製造管理・工程管理システム、クーラントなど</x:v>
      </x:c>
      <x:c r="K101" s="7" t="str">
        <x:v>原典記述の対照。個別機能の追加・性能差・初登場年は未判定。</x:v>
      </x:c>
      <x:c r="L101" s="7" t="str">
        <x:v>両年説明あり・機能差未判定</x:v>
      </x:c>
      <x:c r="M101" s="7" t="str">
        <x:v>出展説明の一次分類</x:v>
      </x:c>
      <x:c r="N101" s="7" t="str"/>
      <x:c r="O101" s="7" t="str">
        <x:v>承認・例外対応・停止・復帰の境界は未確認</x:v>
      </x:c>
      <x:c r="P101" s="7" t="str">
        <x:v>2026公式カタログ掲載・現地未確認
2026展示予定。既存製品・参考出展・構想等は原典で個別確認</x:v>
      </x:c>
      <x:c r="Q101" s="7" t="str">
        <x:v>AC037</x:v>
      </x:c>
      <x:c t="str" r="R101" s="21">
        <x:f>HYPERLINK("https://www.jimtof.org/search/jp/ESdetails?e=UQBQ5yg2WIk","JIMTOF2026 出展ページ")</x:f>
        <x:v>JIMTOF2026 出展ページ</x:v>
      </x:c>
      <x:c t="str" r="S101" s="21">
        <x:f>HYPERLINK("https://www.jimtof.org/2024/search/jp/ESdetails?e=xAOmvy26lWM","JIMTOF2024 出展ページ")</x:f>
        <x:v>JIMTOF2024 出展ページ</x:v>
      </x:c>
      <x:c r="T101" s="7" t="str">
        <x:v>EEX-EXH-2026-9ac2eb87d29b1692: https://www.jimtof.org/search/jp/ESdetails?e=UQBQ5yg2WIk
該当箇所: 出展紹介・主な出展物。追加カードの原典抜粋で検索
EEX-EXH-2024-dc25f7b7a07b7371: https://www.jimtof.org/2024/search/jp/ESdetails?e=xAOmvy26lWM
該当箇所: 出展紹介・主な出展物。追加カードの原典抜粋で検索</x:v>
      </x:c>
    </x:row>
    <x:row r="102" ht="155" customHeight="1">
      <x:c r="A102" s="7" t="str">
        <x:v>段取り・物理作業</x:v>
      </x:c>
      <x:c r="B102" s="7" t="str">
        <x:v>爪・治具・ハンドと位置の段取り</x:v>
      </x:c>
      <x:c r="C102" s="20" t="str">
        <x:v>大野精工株式会社</x:v>
      </x:c>
      <x:c r="D102" s="7" t="str">
        <x:v>モリブデンワイヤ放電加工機【HG400】</x:v>
      </x:c>
      <x:c r="E102" s="7" t="str">
        <x:v>E7075</x:v>
      </x:c>
      <x:c r="F102" s="7" t="str">
        <x:v>爪・治具・ハンドと位置の段取り</x:v>
      </x:c>
      <x:c r="G102" s="7" t="str">
        <x:v>原典抜粋：【自動結線・高速加工・低コスト】 / 今回展示する新機種「HG400」では、これまでモリブデンワイヤでは実現が難しかった「自動結線機能」を新たに搭載。 / ワイヤ結線を自動化することで、穴通し等の段取り時間を短縮し、無人・連続運転による生産性の向上を実現します。 / この自動結線機能を備えたモリブデンワイヤ放電加工機は、日本初上陸となります。</x:v>
      </x:c>
      <x:c r="H102" s="7" t="str">
        <x:v>多品種で繰り返す機械的交換と再教示の負担。</x:v>
      </x:c>
      <x:c r="I102" s="7" t="str">
        <x:v>2024原典抜粋：モリブデンワイヤ放電加工機HB400・TX150を展示 多孔質金属や超鋼/チタン/ニッケル合金/導電性セラミック/SiCなどの難削材の加工が容易であり専用CAD／CAMを搭載により、プログラム作成から加工までをシームレスに実行可能。 モリブデンワイヤは最大100時間（機種、加工条件により変動）の連続加工を可能にし、ランニングコストも抑えられます。また、段取り作業効率化に特化した空圧脱着治具、レベリングベース、ワーククランプ治具も展示いたします。 この機会に、是非弊社ブースにお立ち寄りください。 モリブデンワイヤ放電</x:v>
      </x:c>
      <x:c r="J102" s="7" t="str">
        <x:v>2026原典抜粋：【自動結線・高速加工・低コスト】 / 今回展示する新機種「HG400」では、これまでモリブデンワイヤでは実現が難しかった「自動結線機能」を新たに搭載。 / ワイヤ結線を自動化することで、穴通し等の段取り時間を短縮し、無人・連続運転による生産性の向上を実現します。 / この自動結線機能を備えたモリブデンワイヤ放電加工機は、日本初上陸となります。</x:v>
      </x:c>
      <x:c r="K102" s="7" t="str">
        <x:v>原典記述の対照。個別機能の追加・性能差・初登場年は未判定。</x:v>
      </x:c>
      <x:c r="L102" s="7" t="str">
        <x:v>両年説明あり・機能差未判定</x:v>
      </x:c>
      <x:c r="M102" s="7" t="str">
        <x:v>出展説明の一次分類</x:v>
      </x:c>
      <x:c r="N102" s="7" t="str"/>
      <x:c r="O102" s="7" t="str">
        <x:v>承認・例外対応・停止・復帰の境界は未確認</x:v>
      </x:c>
      <x:c r="P102" s="7" t="str">
        <x:v>2026公式カタログ掲載・現地未確認
2026展示予定。既存製品・参考出展・構想等は原典で個別確認</x:v>
      </x:c>
      <x:c r="Q102" s="7" t="str">
        <x:v>AC045</x:v>
      </x:c>
      <x:c t="str" r="R102" s="21">
        <x:f>HYPERLINK("https://www.jimtof.org/search/jp/ESdetails?e=BUXIodTELh0","JIMTOF2026 出展ページ")</x:f>
        <x:v>JIMTOF2026 出展ページ</x:v>
      </x:c>
      <x:c t="str" r="S102" s="21">
        <x:f>HYPERLINK("https://www.jimtof.org/2024/search/jp/ESdetails?e=tcU_Iu5eoko","JIMTOF2024 出展ページ")</x:f>
        <x:v>JIMTOF2024 出展ページ</x:v>
      </x:c>
      <x:c r="T102" s="7" t="str">
        <x:v>EEX-EXH-2026-426a2f9fe17c70e9: https://www.jimtof.org/search/jp/ESdetails?e=BUXIodTELh0
該当箇所: 出展紹介・主な出展物。追加カードの原典抜粋で検索
EEX-EXH-2024-c6d534ca236fdb91: https://www.jimtof.org/2024/search/jp/ESdetails?e=tcU_Iu5eoko
該当箇所: 出展紹介・主な出展物。追加カードの原典抜粋で検索</x:v>
      </x:c>
    </x:row>
    <x:row r="103" ht="155" customHeight="1">
      <x:c r="A103" s="7" t="str">
        <x:v>段取り・物理作業</x:v>
      </x:c>
      <x:c r="B103" s="7" t="str">
        <x:v>爪・治具・ハンドと位置の段取り</x:v>
      </x:c>
      <x:c r="C103" s="20" t="str">
        <x:v>株式会社北川鉄工所</x:v>
      </x:c>
      <x:c r="D103" s="7" t="str">
        <x:v>パワーチャック</x:v>
      </x:c>
      <x:c r="E103" s="7" t="str">
        <x:v>W2016</x:v>
      </x:c>
      <x:c r="F103" s="7" t="str">
        <x:v>爪・治具・ハンドと位置の段取り</x:v>
      </x:c>
      <x:c r="G103" s="7" t="str">
        <x:v>原典抜粋：また、3つのゾーンに共通して必要となる自動化・省人化のアイディアもご提案いたします。 / ロボットハンド</x:v>
      </x:c>
      <x:c r="H103" s="7" t="str">
        <x:v>多品種で繰り返す機械的交換と再教示の負担。</x:v>
      </x:c>
      <x:c r="I103" s="7" t="str">
        <x:v>2024原典抜粋：本展示、Kitagawaの出展テーマは 『モノづくりのミライへ～Future in your hands～』 お客様第一主義を掲げる北川鉄工所がお客様と対話をして、 ものづくりの課題を解決することが『モノづくりのミライ』へ繋がると考えています。 【加工工程の増加】→【工程集約の提案】 【変形しやすい加工物】→【デザインチャックの提案】 【人手不足・人件費高騰】→【省人化システムの提案】 お客様の課題解決に向けた商品開発を皆様にご覧いただける内容となっています。 ぜひ、Kitagawaブースにご来場いただき皆様の課題</x:v>
      </x:c>
      <x:c r="J103" s="7" t="str">
        <x:v>2026原典抜粋：また、3つのゾーンに共通して必要となる自動化・省人化のアイディアもご提案いたします。 / ロボットハンド</x:v>
      </x:c>
      <x:c r="K103" s="7" t="str">
        <x:v>原典記述の対照。個別機能の追加・性能差・初登場年は未判定。</x:v>
      </x:c>
      <x:c r="L103" s="7" t="str">
        <x:v>両年説明あり・機能差未判定</x:v>
      </x:c>
      <x:c r="M103" s="7" t="str">
        <x:v>出展説明の一次分類</x:v>
      </x:c>
      <x:c r="N103" s="7" t="str"/>
      <x:c r="O103" s="7" t="str">
        <x:v>承認・例外対応・停止・復帰の境界は未確認</x:v>
      </x:c>
      <x:c r="P103" s="7" t="str">
        <x:v>2026公式カタログ掲載・現地未確認
2026展示予定。既存製品・参考出展・構想等は原典で個別確認</x:v>
      </x:c>
      <x:c r="Q103" s="7" t="str">
        <x:v>AC057</x:v>
      </x:c>
      <x:c t="str" r="R103" s="21">
        <x:f>HYPERLINK("https://www.jimtof.org/search/jp/ESdetails?e=XAQiCUDqIGg","JIMTOF2026 出展ページ")</x:f>
        <x:v>JIMTOF2026 出展ページ</x:v>
      </x:c>
      <x:c t="str" r="S103" s="21">
        <x:f>HYPERLINK("https://www.jimtof.org/2024/search/jp/ESdetails?e=MZNMjQYloJg","JIMTOF2024 出展ページ")</x:f>
        <x:v>JIMTOF2024 出展ページ</x:v>
      </x:c>
      <x:c r="T103" s="7" t="str">
        <x:v>EEX-EXH-2026-4e495b7a38654a48: https://www.jimtof.org/search/jp/ESdetails?e=XAQiCUDqIGg
該当箇所: 出展紹介・主な出展物。追加カードの原典抜粋で検索
EEX-EXH-2024-45b7d7cc8c1b01ab: https://www.jimtof.org/2024/search/jp/ESdetails?e=MZNMjQYloJg
該当箇所: 出展紹介・主な出展物。追加カードの原典抜粋で検索</x:v>
      </x:c>
    </x:row>
    <x:row r="104" ht="155" customHeight="1">
      <x:c r="A104" s="7" t="str">
        <x:v>段取り・物理作業</x:v>
      </x:c>
      <x:c r="B104" s="7" t="str">
        <x:v>爪・治具・ハンドと位置の段取り</x:v>
      </x:c>
      <x:c r="C104" s="20" t="str">
        <x:v>共立精機株式会社</x:v>
      </x:c>
      <x:c r="D104" s="7" t="str">
        <x:v>全自動計測システム　HP-6040V-FA</x:v>
      </x:c>
      <x:c r="E104" s="7" t="str">
        <x:v>W2025</x:v>
      </x:c>
      <x:c r="F104" s="7" t="str">
        <x:v>工具を測定・調整し、交換する段取り</x:v>
      </x:c>
      <x:c r="G104" s="7" t="str">
        <x:v>工具の交換、突き出し量調整、刃先測定を連続自動化し、インサート交換装置も展示。</x:v>
      </x:c>
      <x:c r="H104" s="7" t="str">
        <x:v>多品種で繰り返す機械的交換と再教示の負担。 ／ 測定の段取り・搬送・記録に人手が残り、結果が加工改善につながりにくい。</x:v>
      </x:c>
      <x:c r="I104" s="7" t="str">
        <x:v>2024原典抜粋：工具段取り作業を自動化した「全自動計測システムHP-6040V-FA」を出展する。ツーリングや工具の管理、工具の着脱、突き出し量の調整、刃先測定、工作機械へのホルダー搬送と工具補正値入力など、ほとんどが作業者による手作業で行われているのが現状で、工具段取り工程が工場全体におけるＦＡ化の足枷となっている。これらの課題を解決するために、ツールプリセッタをベースにした工具段取り作業の自動化を提案する。生産効率のアップと自動化による人件費の削減、ヒューマンエラー回避で安定品質を実現する。 新商品となる高精度の全自動測定に特</x:v>
      </x:c>
      <x:c r="J104" s="7" t="str">
        <x:v>2026原典抜粋：全自動ツールプリセッタ HP‑6040V‑FA は、締緩装置やロボット搬送との組み合わせにより、工具交換から突き出し量調整、刃先測定までを連続して自動化し、プリセット作業の効率を高める。 / チップチェンジャは、工具先端のチップを自動で交換する装置で、交換作業を迅速化し、段取り時間の短縮と作業負荷の軽減を実現する。 / 全自動計測システム　HP-6040V-FA / インサート自動交換装置 チップチェンジャ</x:v>
      </x:c>
      <x:c r="K104" s="7" t="str">
        <x:v>HP-6040V-FAによる工具段取り自動化は2024にも記載。2026は交換工程等を具体説明。</x:v>
      </x:c>
      <x:c r="L104" s="7" t="str">
        <x:v>個別比較あり</x:v>
      </x:c>
      <x:c r="M104" s="7" t="str">
        <x:v>詳細比較済み</x:v>
      </x:c>
      <x:c r="N104" s="7" t="str"/>
      <x:c r="O104" s="7" t="str">
        <x:v>工具・チップの補給や品種設定、不良時の復旧は要確認。</x:v>
      </x:c>
      <x:c r="P104" s="7" t="str">
        <x:v>2026公式カタログ掲載・現地未確認
2026展示予定。既存製品・参考出展・構想等は原典で個別確認</x:v>
      </x:c>
      <x:c r="Q104" s="7" t="str">
        <x:v>AC063</x:v>
      </x:c>
      <x:c t="str" r="R104" s="21">
        <x:f>HYPERLINK("https://www.jimtof.org/search/jp/ESdetails?e=9k7ro8sL0VA","JIMTOF2026 出展ページ")</x:f>
        <x:v>JIMTOF2026 出展ページ</x:v>
      </x:c>
      <x:c t="str" r="S104" s="21">
        <x:f>HYPERLINK("https://www.jimtof.org/2024/search/jp/ESdetails?e=xT1gIvXxCpQ","JIMTOF2024 出展ページ")</x:f>
        <x:v>JIMTOF2024 出展ページ</x:v>
      </x:c>
      <x:c r="T104" s="7" t="str">
        <x:v>EEX-EXH-2026-1c8938d47b63e4bb: https://www.jimtof.org/search/jp/ESdetails?e=9k7ro8sL0VA
該当箇所: 出展紹介・主な出展物。追加カードの原典抜粋で検索
EEX-EXH-2024-3a9bfb48fcb6542c: https://www.jimtof.org/2024/search/jp/ESdetails?e=xT1gIvXxCpQ
該当箇所: 出展紹介・主な出展物。追加カードの原典抜粋で検索</x:v>
      </x:c>
    </x:row>
    <x:row r="105" ht="155" customHeight="1">
      <x:c r="A105" s="7" t="str">
        <x:v>段取り・物理作業</x:v>
      </x:c>
      <x:c r="B105" s="7" t="str">
        <x:v>爪・治具・ハンドと位置の段取り</x:v>
      </x:c>
      <x:c r="C105" s="20" t="str">
        <x:v>黒田精工株式会社</x:v>
      </x:c>
      <x:c r="D105" s="7" t="str">
        <x:v>【高精度加工を実現する一台】</x:v>
      </x:c>
      <x:c r="E105" s="7" t="str">
        <x:v>E7091</x:v>
      </x:c>
      <x:c r="F105" s="7" t="str">
        <x:v>爪・治具・ハンドと位置の段取り ／ 自動計測・測定計画・品質データ</x:v>
      </x:c>
      <x:c r="G105" s="7" t="str">
        <x:v>原典抜粋：自動車業界を筆頭に豊富な採用実績を有する「ハイドロリックツール」は、時間のかかる芯出し作業が誰でも簡単に行える精密油圧治具。 / 歯車加工の芯出し作業の効率化や歯車計測の自動化対応例を出展いたします。 / －歯車加工の芯出し作業の効率化や歯車計測の自動対応例などを展示</x:v>
      </x:c>
      <x:c r="H105" s="7" t="str">
        <x:v>多品種で繰り返す機械的交換と再教示の負担。 ／ 測定の段取り・搬送・記録に人手が残り、結果が加工改善につながりにくい。</x:v>
      </x:c>
      <x:c r="I105" s="7" t="str">
        <x:v>2024原典抜粋：来年に100周年を迎える黒田精工は「KURODA Smart machines, Smart future for 100th anniversary」をコンセプトに、 ロータリ研削盤をはじめ、加工と計測のSmart化を実現する平面研削盤、様々な場面で効率化と高精度化を実現するハイドロリックツールを出展。 加工実演や採用事例のご紹介を通して、お客様に新しいソリューションを提案いたします。 【新機種】 精密ロータリー研削盤 GSR-600 【加工実演】 精密平面研削盤 GS-126CVs 【ワーク搬送・加工・測定実演</x:v>
      </x:c>
      <x:c r="J105" s="7" t="str">
        <x:v>2026原典抜粋：自動車業界を筆頭に豊富な採用実績を有する「ハイドロリックツール」は、時間のかかる芯出し作業が誰でも簡単に行える精密油圧治具。 / 歯車加工の芯出し作業の効率化や歯車計測の自動化対応例を出展いたします。 / －歯車加工の芯出し作業の効率化や歯車計測の自動対応例などを展示</x:v>
      </x:c>
      <x:c r="K105" s="7" t="str">
        <x:v>原典記述の対照。個別機能の追加・性能差・初登場年は未判定。</x:v>
      </x:c>
      <x:c r="L105" s="7" t="str">
        <x:v>両年説明あり・機能差未判定</x:v>
      </x:c>
      <x:c r="M105" s="7" t="str">
        <x:v>出展説明の一次分類</x:v>
      </x:c>
      <x:c r="N105" s="7" t="str"/>
      <x:c r="O105" s="7" t="str">
        <x:v>承認・例外対応・停止・復帰の境界は未確認</x:v>
      </x:c>
      <x:c r="P105" s="7" t="str">
        <x:v>2026公式カタログ掲載・現地未確認
2026展示予定。既存製品・参考出展・構想等は原典で個別確認</x:v>
      </x:c>
      <x:c r="Q105" s="7" t="str">
        <x:v>AC068</x:v>
      </x:c>
      <x:c t="str" r="R105" s="21">
        <x:f>HYPERLINK("https://www.jimtof.org/search/jp/ESdetails?e=46cG1q7GwI4","JIMTOF2026 出展ページ")</x:f>
        <x:v>JIMTOF2026 出展ページ</x:v>
      </x:c>
      <x:c t="str" r="S105" s="21">
        <x:f>HYPERLINK("https://www.jimtof.org/2024/search/jp/ESdetails?e=cWqFNxFT9X8","JIMTOF2024 出展ページ")</x:f>
        <x:v>JIMTOF2024 出展ページ</x:v>
      </x:c>
      <x:c r="T105" s="7" t="str">
        <x:v>EEX-EXH-2026-d1c4b808057b7341: https://www.jimtof.org/search/jp/ESdetails?e=46cG1q7GwI4
該当箇所: 出展紹介・主な出展物。追加カードの原典抜粋で検索
EEX-EXH-2024-9a19203b36a3d101: https://www.jimtof.org/2024/search/jp/ESdetails?e=cWqFNxFT9X8
該当箇所: 出展紹介・主な出展物。追加カードの原典抜粋で検索</x:v>
      </x:c>
    </x:row>
    <x:row r="106" ht="155" customHeight="1">
      <x:c r="A106" s="7" t="str">
        <x:v>段取り・物理作業</x:v>
      </x:c>
      <x:c r="B106" s="7" t="str">
        <x:v>爪・治具・ハンドと位置の段取り</x:v>
      </x:c>
      <x:c r="C106" s="20" t="str">
        <x:v>株式会社コスメック</x:v>
      </x:c>
      <x:c r="D106" s="7" t="str">
        <x:v>【工作機械用ジグ段取替え製品】無線センシングクランプ、ハイパワーエアクランプ、油圧クランプ、ワークサポート、セパレートバイス、ネジポンプ、ホールクラン</x:v>
      </x:c>
      <x:c r="E106" s="7" t="str">
        <x:v>W2033</x:v>
      </x:c>
      <x:c r="F106" s="7" t="str">
        <x:v>爪・治具・ハンドと位置の段取り</x:v>
      </x:c>
      <x:c r="G106" s="7" t="str">
        <x:v>原典抜粋：加工、ロボット、搬送など様々な設備の段取替えを自動化し、時間短縮・サイクルタイム短縮に寄与する周辺機器を提案いたします。 / 【ロボット自動化製品】ロボットハンドチェンジャー、搬送用クランプ</x:v>
      </x:c>
      <x:c r="H106" s="7" t="str">
        <x:v>多品種で繰り返す機械的交換と再教示の負担。</x:v>
      </x:c>
      <x:c r="I106" s="7" t="str">
        <x:v>2024原典抜粋：加工、ロボット、搬送など様々な設備の段取替えを自動化し、時間短縮に寄与する周辺機器を提案。少ないエネルギーで力を発揮するハイパワーエアクランプや圧力保持による省エネ化を行うノンリークカプラ・バルブなど、カーボンニュートラルを捉えた製品や展示を行う。 【工作機械用ジグ段取替え製品】ハイパワーエアクランプ、油圧クランプ、ワークサポート、パレットクランプ、拡張ロケートピン、ノンリークバルブ・カプラ、ロータリージョイント等 【ロボット自動化製品】ロボットハンドチェンジャー、搬送用クランプ</x:v>
      </x:c>
      <x:c r="J106" s="7" t="str">
        <x:v>2026原典抜粋：加工、ロボット、搬送など様々な設備の段取替えを自動化し、時間短縮・サイクルタイム短縮に寄与する周辺機器を提案いたします。 / 【ロボット自動化製品】ロボットハンドチェンジャー、搬送用クランプ</x:v>
      </x:c>
      <x:c r="K106" s="7" t="str">
        <x:v>原典記述の対照。個別機能の追加・性能差・初登場年は未判定。</x:v>
      </x:c>
      <x:c r="L106" s="7" t="str">
        <x:v>両年説明あり・機能差未判定</x:v>
      </x:c>
      <x:c r="M106" s="7" t="str">
        <x:v>出展説明の一次分類</x:v>
      </x:c>
      <x:c r="N106" s="7" t="str"/>
      <x:c r="O106" s="7" t="str">
        <x:v>承認・例外対応・停止・復帰の境界は未確認</x:v>
      </x:c>
      <x:c r="P106" s="7" t="str">
        <x:v>2026公式カタログ掲載・現地未確認
2026展示予定。既存製品・参考出展・構想等は原典で個別確認</x:v>
      </x:c>
      <x:c r="Q106" s="7" t="str">
        <x:v>AC075</x:v>
      </x:c>
      <x:c t="str" r="R106" s="21">
        <x:f>HYPERLINK("https://www.jimtof.org/search/jp/ESdetails?e=yiHo9SMP4lY","JIMTOF2026 出展ページ")</x:f>
        <x:v>JIMTOF2026 出展ページ</x:v>
      </x:c>
      <x:c t="str" r="S106" s="21">
        <x:f>HYPERLINK("https://www.jimtof.org/2024/search/jp/ESdetails?e=sqCigr-Fu70","JIMTOF2024 出展ページ")</x:f>
        <x:v>JIMTOF2024 出展ページ</x:v>
      </x:c>
      <x:c r="T106" s="7" t="str">
        <x:v>EEX-EXH-2026-0376f488fb693c45: https://www.jimtof.org/search/jp/ESdetails?e=yiHo9SMP4lY
該当箇所: 出展紹介・主な出展物。追加カードの原典抜粋で検索
EEX-EXH-2024-082e592c8a914439: https://www.jimtof.org/2024/search/jp/ESdetails?e=sqCigr-Fu70
該当箇所: 出展紹介・主な出展物。追加カードの原典抜粋で検索</x:v>
      </x:c>
    </x:row>
    <x:row r="107" ht="155" customHeight="1">
      <x:c r="A107" s="7" t="str">
        <x:v>段取り・物理作業</x:v>
      </x:c>
      <x:c r="B107" s="7" t="str">
        <x:v>爪・治具・ハンドと位置の段取り</x:v>
      </x:c>
      <x:c r="C107" s="20" t="str">
        <x:v>株式会社近藤製作所</x:v>
      </x:c>
      <x:c r="D107" s="7" t="str">
        <x:v>FANUC㈱CRXシリーズ プラグイン対応周辺機器（デモ）</x:v>
      </x:c>
      <x:c r="E107" s="7" t="str">
        <x:v>E7096</x:v>
      </x:c>
      <x:c r="F107" s="7" t="str">
        <x:v>爪・治具・ハンドと位置の段取り</x:v>
      </x:c>
      <x:c r="G107" s="7" t="str">
        <x:v>原典抜粋：メカトロ機器事業部では、FANUC製協働ロボットとカメラ、自社製周辺機器のデモを実施します。 / 他にも、工作機械向けの「Wチャックユニット」、緊急時にもワークを保持する「落下防止ハンド」のデモの実施、作業効率を高める「ロータリージョイント」「ツールチェンジャー」「クイックアジャスタ」といったロボット周辺機器のデモも実施します。 / メカトロ機械事業部では「段取り替え自動化」と「スペース確保」を両立するスマートスペースロボを展示。</x:v>
      </x:c>
      <x:c r="H107" s="7" t="str">
        <x:v>多品種で繰り返す機械的交換と再教示の負担。</x:v>
      </x:c>
      <x:c r="I107" s="7" t="str">
        <x:v>2024原典抜粋：【ブ-スの見どころ】 ・部品箱パレタイザ-:3Dビジョン、可変ハンドで箱サイズ毎の仕分けが可能。ガントリ-方式にて、ロボットより省スペ-スに、デパレ、パレタイズが可能。 ・ロボ台車:協働ロボットと台車を一体化したシステム。 移動させたい時に色々な場所に移動可能。 協働ロボットとの組合せの為のティ-チング作業も簡単。 ばら積みピッキングとチャックジョーチェンジャーをバリエーションとして展示 ・ハンド&amp;チャック・ロボット周辺機器: 非接触伝送ロータリ-ジョイント 電動ハンド&amp;チャック(協働ロボットも対応) メカチェンジ</x:v>
      </x:c>
      <x:c r="J107" s="7" t="str">
        <x:v>2026原典抜粋：メカトロ機器事業部では、FANUC製協働ロボットとカメラ、自社製周辺機器のデモを実施します。 / 他にも、工作機械向けの「Wチャックユニット」、緊急時にもワークを保持する「落下防止ハンド」のデモの実施、作業効率を高める「ロータリージョイント」「ツールチェンジャー」「クイックアジャスタ」といったロボット周辺機器のデモも実施します。 / メカトロ機械事業部では「段取り替え自動化」と「スペース確保」を両立するスマートスペースロボを展示。</x:v>
      </x:c>
      <x:c r="K107" s="7" t="str">
        <x:v>原典記述の対照。個別機能の追加・性能差・初登場年は未判定。</x:v>
      </x:c>
      <x:c r="L107" s="7" t="str">
        <x:v>両年説明あり・機能差未判定</x:v>
      </x:c>
      <x:c r="M107" s="7" t="str">
        <x:v>出展説明の一次分類</x:v>
      </x:c>
      <x:c r="N107" s="7" t="str"/>
      <x:c r="O107" s="7" t="str">
        <x:v>承認・例外対応・停止・復帰の境界は未確認</x:v>
      </x:c>
      <x:c r="P107" s="7" t="str">
        <x:v>2026公式カタログ掲載・現地未確認
2026展示予定。既存製品・参考出展・構想等は原典で個別確認</x:v>
      </x:c>
      <x:c r="Q107" s="7" t="str">
        <x:v>AC081</x:v>
      </x:c>
      <x:c t="str" r="R107" s="21">
        <x:f>HYPERLINK("https://www.jimtof.org/search/jp/ESdetails?e=2lZ4aWGpFxM","JIMTOF2026 出展ページ")</x:f>
        <x:v>JIMTOF2026 出展ページ</x:v>
      </x:c>
      <x:c t="str" r="S107" s="21">
        <x:f>HYPERLINK("https://www.jimtof.org/2024/search/jp/ESdetails?e=WuvKQM8X98Y","JIMTOF2024 出展ページ")</x:f>
        <x:v>JIMTOF2024 出展ページ</x:v>
      </x:c>
      <x:c r="T107" s="7" t="str">
        <x:v>EEX-EXH-2026-ff39ef77fc84bf6f: https://www.jimtof.org/search/jp/ESdetails?e=2lZ4aWGpFxM
該当箇所: 出展紹介・主な出展物。追加カードの原典抜粋で検索
EEX-EXH-2024-a438fb3a3a141af0: https://www.jimtof.org/2024/search/jp/ESdetails?e=WuvKQM8X98Y
該当箇所: 出展紹介・主な出展物。追加カードの原典抜粋で検索</x:v>
      </x:c>
    </x:row>
    <x:row r="108" ht="155" customHeight="1">
      <x:c r="A108" s="7" t="str">
        <x:v>段取り・物理作業</x:v>
      </x:c>
      <x:c r="B108" s="7" t="str">
        <x:v>爪・治具・ハンドと位置の段取り</x:v>
      </x:c>
      <x:c r="C108" s="20" t="str">
        <x:v>シュンク・ジャパン株式会社</x:v>
      </x:c>
      <x:c r="D108" s="7" t="str">
        <x:v>バイスオートメーション、ジョーツールチェンジシステム、ワーク＆パレットオートメーション、マグネットチャック、クイックチェンジパレットシステム、電動クラ</x:v>
      </x:c>
      <x:c r="E108" s="7" t="str">
        <x:v>S2024</x:v>
      </x:c>
      <x:c r="F108" s="7" t="str">
        <x:v>爪・治具・ハンドと位置の段取り</x:v>
      </x:c>
      <x:c r="G108" s="7" t="str">
        <x:v>原典抜粋：「マシンテンディング ― SCHUNKが実現する工作機械の自動化」をテーマに、ドイツで培われた最新の自動化技術をご紹介します。 / 工作機械の自動化・省人化・生産性向上に貢献する、SCHUNKならではのトータルソリューションをご提案します。 / バイスオートメーション、ジョーツールチェンジシステム、ワーク＆パレットオートメーション、マグネットチャック、クイックチェンジパレットシステム、電動クランピングシステム、旋盤用チャック、ツールホル</x:v>
      </x:c>
      <x:c r="H108" s="7" t="str">
        <x:v>多品種で繰り返す機械的交換と再教示の負担。</x:v>
      </x:c>
      <x:c r="I108" s="7" t="str">
        <x:v>2024原典抜粋：『マシンテンディング（工作機械の自動化）』をテーマに、SCHUNKが提供するあらゆる要件に対応する効率的な自動化ソリューションの実演および自動化に必要な最新のコンポーネントをご紹介します。 『ワーク＆パレットオートメーション R-C2』 セットアップ時間を大幅に短縮しながら、高精度で完全な6面加工を無人で行う唯一のシステム。 ロボットの先端についたR-C2センタークランプバイスにより、収納ラック内のワークを自動クランプ、クランプされたワークは、パレットのように機械内のクイックチェンジパレットシステムにバイスごとロー</x:v>
      </x:c>
      <x:c r="J108" s="7" t="str">
        <x:v>2026原典抜粋：「マシンテンディング ― SCHUNKが実現する工作機械の自動化」をテーマに、ドイツで培われた最新の自動化技術をご紹介します。 / 工作機械の自動化・省人化・生産性向上に貢献する、SCHUNKならではのトータルソリューションをご提案します。 / バイスオートメーション、ジョーツールチェンジシステム、ワーク＆パレットオートメーション、マグネットチャック、クイックチェンジパレットシステム、電動クランピングシステム、旋盤用チャック、ツールホル</x:v>
      </x:c>
      <x:c r="K108" s="7" t="str">
        <x:v>原典記述の対照。個別機能の追加・性能差・初登場年は未判定。</x:v>
      </x:c>
      <x:c r="L108" s="7" t="str">
        <x:v>両年説明あり・機能差未判定</x:v>
      </x:c>
      <x:c r="M108" s="7" t="str">
        <x:v>出展説明の一次分類</x:v>
      </x:c>
      <x:c r="N108" s="7" t="str"/>
      <x:c r="O108" s="7" t="str">
        <x:v>承認・例外対応・停止・復帰の境界は未確認</x:v>
      </x:c>
      <x:c r="P108" s="7" t="str">
        <x:v>2026公式カタログ掲載・現地未確認
2026展示予定。既存製品・参考出展・構想等は原典で個別確認</x:v>
      </x:c>
      <x:c r="Q108" s="7" t="str">
        <x:v>AC105</x:v>
      </x:c>
      <x:c t="str" r="R108" s="21">
        <x:f>HYPERLINK("https://www.jimtof.org/search/jp/ESdetails?e=2D3NykNxU4o","JIMTOF2026 出展ページ")</x:f>
        <x:v>JIMTOF2026 出展ページ</x:v>
      </x:c>
      <x:c t="str" r="S108" s="21">
        <x:f>HYPERLINK("https://www.jimtof.org/2024/search/jp/ESdetails?e=XcS9JP3cDXc","JIMTOF2024 出展ページ")</x:f>
        <x:v>JIMTOF2024 出展ページ</x:v>
      </x:c>
      <x:c r="T108" s="7" t="str">
        <x:v>EEX-EXH-2026-a1b1c81b9862bd22: https://www.jimtof.org/search/jp/ESdetails?e=2D3NykNxU4o
該当箇所: 出展紹介・主な出展物。追加カードの原典抜粋で検索
EEX-EXH-2024-e143bde310308500: https://www.jimtof.org/2024/search/jp/ESdetails?e=XcS9JP3cDXc
該当箇所: 出展紹介・主な出展物。追加カードの原典抜粋で検索</x:v>
      </x:c>
    </x:row>
    <x:row r="109" ht="155" customHeight="1">
      <x:c r="A109" s="7" t="str">
        <x:v>段取り・物理作業</x:v>
      </x:c>
      <x:c r="B109" s="7" t="str">
        <x:v>爪・治具・ハンドと位置の段取り</x:v>
      </x:c>
      <x:c r="C109" s="20" t="str">
        <x:v>東洋精機工業株式会社</x:v>
      </x:c>
      <x:c r="D109" s="7" t="str">
        <x:v>中小企業向け無人化自動システム</x:v>
      </x:c>
      <x:c r="E109" s="7" t="str">
        <x:v>E3019</x:v>
      </x:c>
      <x:c r="F109" s="7" t="str">
        <x:v>爪・治具・ハンドと位置の段取り ／ 自動計測・測定計画・品質データ ／ 自動加工セル・工程集約</x:v>
      </x:c>
      <x:c r="G109" s="7" t="str">
        <x:v>原典抜粋：中小企業をターゲットにした、自動段取り替えによる多品種少量生産の無人運転システムをメインに / NCインデックスによる多面加工治具を交換式にして2種類のワークをロボットで段取り替え / 自社製の測定器と洗浄機で加工後のワーク洗浄から精度測定まで自動で行います。 / 2個同時加工ができ、横形40番タイプのTHMC420は自動搬送に対応します。 / 弊社は加工機だけでなく、付帯装置も含めたセットアップメーカーとして自動化・省力化の提案を /</x:v>
      </x:c>
      <x:c r="H109" s="7" t="str">
        <x:v>多品種で繰り返す機械的交換と再教示の負担。 ／ 測定の段取り・搬送・記録に人手が残り、結果が加工改善につながりにくい。 ／ 設備間の持替えや繰返し作業が、人手・待ち時間・品質差につながる。</x:v>
      </x:c>
      <x:c r="I109" s="7" t="str">
        <x:v>2024原典抜粋：TVT332をベースに、インバータケースやバッテリケースなどの中型アルミワークに特化した機械を展示する。TVT332Sのテーブル積載重量を500kgにした機械には2軸インデックスを搭載して多面加工のデモを、Y軸を500mmストロークに拡大したTVT332には協働ロボットを付けて自動無人運転のデモを、X軸を1000mmストロークに拡大したTVT332は30本マガジンを両側に搭載した60本仕様としてコンセプト展示をする。#40横型マシニングセンタTHMC420はロボットによる自動無人運転システムを提案する。2軸マシニン</x:v>
      </x:c>
      <x:c r="J109" s="7" t="str">
        <x:v>2026原典抜粋：中小企業をターゲットにした、自動段取り替えによる多品種少量生産の無人運転システムをメインに / NCインデックスによる多面加工治具を交換式にして2種類のワークをロボットで段取り替え / 自社製の測定器と洗浄機で加工後のワーク洗浄から精度測定まで自動で行います。 / 2個同時加工ができ、横形40番タイプのTHMC420は自動搬送に対応します。 / 弊社は加工機だけでなく、付帯装置も含めたセットアップメーカーとして自動化・省力化の提案を /</x:v>
      </x:c>
      <x:c r="K109" s="7" t="str">
        <x:v>原典記述の対照。個別機能の追加・性能差・初登場年は未判定。</x:v>
      </x:c>
      <x:c r="L109" s="7" t="str">
        <x:v>両年説明あり・機能差未判定</x:v>
      </x:c>
      <x:c r="M109" s="7" t="str">
        <x:v>出展説明の一次分類</x:v>
      </x:c>
      <x:c r="N109" s="7" t="str"/>
      <x:c r="O109" s="7" t="str">
        <x:v>承認・例外対応・停止・復帰の境界は未確認</x:v>
      </x:c>
      <x:c r="P109" s="7" t="str">
        <x:v>2026公式カタログ掲載・現地未確認
2026展示予定。既存製品・参考出展・構想等は原典で個別確認</x:v>
      </x:c>
      <x:c r="Q109" s="7" t="str">
        <x:v>AC151</x:v>
      </x:c>
      <x:c t="str" r="R109" s="21">
        <x:f>HYPERLINK("https://www.jimtof.org/search/jp/ESdetails?e=4IGD6jExai0","JIMTOF2026 出展ページ")</x:f>
        <x:v>JIMTOF2026 出展ページ</x:v>
      </x:c>
      <x:c t="str" r="S109" s="21">
        <x:f>HYPERLINK("https://www.jimtof.org/2024/search/jp/ESdetails?e=4gAS80Eu958","JIMTOF2024 出展ページ")</x:f>
        <x:v>JIMTOF2024 出展ページ</x:v>
      </x:c>
      <x:c r="T109" s="7" t="str">
        <x:v>EEX-EXH-2026-0edd272934baf18c: https://www.jimtof.org/search/jp/ESdetails?e=4IGD6jExai0
該当箇所: 出展紹介・主な出展物。追加カードの原典抜粋で検索
EEX-EXH-2024-b813d93a11901422: https://www.jimtof.org/2024/search/jp/ESdetails?e=4gAS80Eu958
該当箇所: 出展紹介・主な出展物。追加カードの原典抜粋で検索</x:v>
      </x:c>
    </x:row>
    <x:row r="110" ht="155" customHeight="1">
      <x:c r="A110" s="7" t="str">
        <x:v>段取り・物理作業</x:v>
      </x:c>
      <x:c r="B110" s="7" t="str">
        <x:v>爪・治具・ハンドと位置の段取り</x:v>
      </x:c>
      <x:c r="C110" s="20" t="str">
        <x:v>株式会社ナベヤ</x:v>
      </x:c>
      <x:c r="D110" s="7" t="str">
        <x:v>自動化対応パレットジグ・エアーマシンバイス・ナットランナークランプ・マグネットチャック・5軸マシンバイス・引込ジグ・バキュームチャック・測定用ジグ、位</x:v>
      </x:c>
      <x:c r="E110" s="7" t="str">
        <x:v>W2053</x:v>
      </x:c>
      <x:c r="F110" s="7" t="str">
        <x:v>爪・治具・ハンドと位置の段取り</x:v>
      </x:c>
      <x:c r="G110" s="7" t="str">
        <x:v>原典抜粋：掴む・支える・おさえる製品で、「自動化」「工程集約」「工数削減」のソリューションをご提案 / ■「自動化」 / ワークの形状・生産量やその他ご要望に合わせた自動化の方向性を、構成・精度から運用までご提案。 / １．ワークをロボットで交換 / ２．外段取りジグをロボットで交換 / 自動化や5軸加工における、ジグの運用方法や方向性など課題をお持ちのお客様はぜひご来場ください！ / 自動化対応パレットジグ・エアーマシンバイス・ナットランナーク</x:v>
      </x:c>
      <x:c r="H110" s="7" t="str">
        <x:v>多品種で繰り返す機械的交換と再教示の負担。</x:v>
      </x:c>
      <x:c r="I110" s="7" t="str">
        <x:v>2024原典抜粋：『マシニング加工の「工数削減」×「工程集約」×「自動化」に貢献』をテーマにジグの課題解決をご提案。 ■「自動化」 ワークの形状・生産量やその他ご要望に合わせた自動化の方向性を、構成・精度から運用までご提案。 １．外段取りジグをロボットで交換 ２．ワークをロボットで交換 ■「工程集約」/「工数削減」 ワーク材質、サイズ等別で活用出来る５軸加工用ジグ、段取り時間を短縮するジグを多数展示しています。 自動化や5軸加工における、ジグの運用方法や方向性など課題をお持ちのお客様はぜひご来場ください！ 自動化対応パレットジグ・エ</x:v>
      </x:c>
      <x:c r="J110" s="7" t="str">
        <x:v>2026原典抜粋：掴む・支える・おさえる製品で、「自動化」「工程集約」「工数削減」のソリューションをご提案 / ■「自動化」 / ワークの形状・生産量やその他ご要望に合わせた自動化の方向性を、構成・精度から運用までご提案。 / １．ワークをロボットで交換 / ２．外段取りジグをロボットで交換 / 自動化や5軸加工における、ジグの運用方法や方向性など課題をお持ちのお客様はぜひご来場ください！ / 自動化対応パレットジグ・エアーマシンバイス・ナットランナーク</x:v>
      </x:c>
      <x:c r="K110" s="7" t="str">
        <x:v>原典記述の対照。個別機能の追加・性能差・初登場年は未判定。</x:v>
      </x:c>
      <x:c r="L110" s="7" t="str">
        <x:v>両年説明あり・機能差未判定</x:v>
      </x:c>
      <x:c r="M110" s="7" t="str">
        <x:v>出展説明の一次分類</x:v>
      </x:c>
      <x:c r="N110" s="7" t="str"/>
      <x:c r="O110" s="7" t="str">
        <x:v>承認・例外対応・停止・復帰の境界は未確認</x:v>
      </x:c>
      <x:c r="P110" s="7" t="str">
        <x:v>2026公式カタログ掲載・現地未確認
2026展示予定。既存製品・参考出展・構想等は原典で個別確認</x:v>
      </x:c>
      <x:c r="Q110" s="7" t="str">
        <x:v>AC157</x:v>
      </x:c>
      <x:c t="str" r="R110" s="21">
        <x:f>HYPERLINK("https://www.jimtof.org/search/jp/ESdetails?e=MNGSajJO4pQ","JIMTOF2026 出展ページ")</x:f>
        <x:v>JIMTOF2026 出展ページ</x:v>
      </x:c>
      <x:c t="str" r="S110" s="21">
        <x:f>HYPERLINK("https://www.jimtof.org/2024/search/jp/ESdetails?e=Ln1NH2a_tvk","JIMTOF2024 出展ページ")</x:f>
        <x:v>JIMTOF2024 出展ページ</x:v>
      </x:c>
      <x:c r="T110" s="7" t="str">
        <x:v>EEX-EXH-2026-5c2eb38f86114993: https://www.jimtof.org/search/jp/ESdetails?e=MNGSajJO4pQ
該当箇所: 出展紹介・主な出展物。追加カードの原典抜粋で検索
EEX-EXH-2024-fa796e0b3873ae15: https://www.jimtof.org/2024/search/jp/ESdetails?e=Ln1NH2a_tvk
該当箇所: 出展紹介・主な出展物。追加カードの原典抜粋で検索</x:v>
      </x:c>
    </x:row>
    <x:row r="111" ht="155" customHeight="1">
      <x:c r="A111" s="7" t="str">
        <x:v>段取り・物理作業</x:v>
      </x:c>
      <x:c r="B111" s="7" t="str">
        <x:v>爪・治具・ハンドと位置の段取り</x:v>
      </x:c>
      <x:c r="C111" s="20" t="str">
        <x:v>株式会社ニイガタマシンテクノ</x:v>
      </x:c>
      <x:c r="D111" s="7" t="str">
        <x:v>軸心冷却機能搭載　中ぐり加工機「HN80E-BAR」</x:v>
      </x:c>
      <x:c r="E111" s="7" t="str">
        <x:v>E3026</x:v>
      </x:c>
      <x:c r="F111" s="7" t="str">
        <x:v>爪・治具・ハンドと位置の段取り</x:v>
      </x:c>
      <x:c r="G111" s="7" t="str">
        <x:v>原典抜粋：軸心冷却機能を搭載した中ぐり加工機「HN80E-BAR」は、ラインバーを自動で機内へ設置するロボットとともに展示。 / Ｚ軸ストローク1020mmに対し、それを上回るツール長1100mmのラインバーをロボットがワーク内へ直接設置し、ツール交換を実施します。 / スペースを最大限に生かし、「自動化・省人化」を両立する当社独自の最新システムをぜひご覧ください。</x:v>
      </x:c>
      <x:c r="H111" s="7" t="str">
        <x:v>多品種で繰り返す機械的交換と再教示の負担。</x:v>
      </x:c>
      <x:c r="I111" s="7" t="str">
        <x:v>2024原典抜粋：ニイガタマシンテクノは「新時代到来」～新世代の技術が切り拓くプロセスイノベーション～をテーマに新世代の3機種、複合機能付横形マシニングセンタ 「HN80E-FC」、高生産性横形マシニングセンタ「HPN800」、ターンテーブル式強力NCフライス盤「JK400Ⅲ」を出展いたします。さらにはレーザとカメラを用いた最新のワーク外観チェックシステム「e-na」を展示し、お客様へものづくりの合理化と生産性向上のご提案をいたします。 フェーシング、溝入れ、ドリル加工等が連続で行えるニイガタFCシリーズの最新機「HN80E-FC」</x:v>
      </x:c>
      <x:c r="J111" s="7" t="str">
        <x:v>2026原典抜粋：軸心冷却機能を搭載した中ぐり加工機「HN80E-BAR」は、ラインバーを自動で機内へ設置するロボットとともに展示。 / Ｚ軸ストローク1020mmに対し、それを上回るツール長1100mmのラインバーをロボットがワーク内へ直接設置し、ツール交換を実施します。 / スペースを最大限に生かし、「自動化・省人化」を両立する当社独自の最新システムをぜひご覧ください。</x:v>
      </x:c>
      <x:c r="K111" s="7" t="str">
        <x:v>原典記述の対照。個別機能の追加・性能差・初登場年は未判定。</x:v>
      </x:c>
      <x:c r="L111" s="7" t="str">
        <x:v>両年説明あり・機能差未判定</x:v>
      </x:c>
      <x:c r="M111" s="7" t="str">
        <x:v>出展説明の一次分類</x:v>
      </x:c>
      <x:c r="N111" s="7" t="str"/>
      <x:c r="O111" s="7" t="str">
        <x:v>承認・例外対応・停止・復帰の境界は未確認</x:v>
      </x:c>
      <x:c r="P111" s="7" t="str">
        <x:v>2026公式カタログ掲載・現地未確認
2026展示予定。既存製品・参考出展・構想等は原典で個別確認</x:v>
      </x:c>
      <x:c r="Q111" s="7" t="str">
        <x:v>AC163</x:v>
      </x:c>
      <x:c t="str" r="R111" s="21">
        <x:f>HYPERLINK("https://www.jimtof.org/search/jp/ESdetails?e=JgNgvfg06ag","JIMTOF2026 出展ページ")</x:f>
        <x:v>JIMTOF2026 出展ページ</x:v>
      </x:c>
      <x:c t="str" r="S111" s="21">
        <x:f>HYPERLINK("https://www.jimtof.org/2024/search/jp/ESdetails?e=xdOzfxdZqLU","JIMTOF2024 出展ページ")</x:f>
        <x:v>JIMTOF2024 出展ページ</x:v>
      </x:c>
      <x:c r="T111" s="7" t="str">
        <x:v>EEX-EXH-2026-b669e6d6d1dc5657: https://www.jimtof.org/search/jp/ESdetails?e=JgNgvfg06ag
該当箇所: 出展紹介・主な出展物。追加カードの原典抜粋で検索
EEX-EXH-2024-0b1c400c1df0d270: https://www.jimtof.org/2024/search/jp/ESdetails?e=xdOzfxdZqLU
該当箇所: 出展紹介・主な出展物。追加カードの原典抜粋で検索</x:v>
      </x:c>
    </x:row>
    <x:row r="112" ht="155" customHeight="1">
      <x:c r="A112" s="7" t="str">
        <x:v>段取り・物理作業</x:v>
      </x:c>
      <x:c r="B112" s="7" t="str">
        <x:v>爪・治具・ハンドと位置の段取り</x:v>
      </x:c>
      <x:c r="C112" s="20" t="str">
        <x:v>ハインブッフ・ジャパン株式会社</x:v>
      </x:c>
      <x:c r="D112" s="7" t="str">
        <x:v>セントロテックス S4 チャック交換システム</x:v>
      </x:c>
      <x:c r="E112" s="7" t="str">
        <x:v>S2018</x:v>
      </x:c>
      <x:c r="F112" s="7" t="str">
        <x:v>爪・治具・ハンドと位置の段取り</x:v>
      </x:c>
      <x:c r="G112" s="7" t="str">
        <x:v>原典抜粋：今回は新たに、ロボットによるコレット自動交換デモを実施し、自動化による段取り作業の短縮と安定した加工品質をご覧いただけます。</x:v>
      </x:c>
      <x:c r="H112" s="7" t="str">
        <x:v>多品種で繰り返す機械的交換と再教示の負担。</x:v>
      </x:c>
      <x:c r="I112" s="7" t="str">
        <x:v>2024原典抜粋：『セントロテックス』 チャック本体クイックチェンジ・インターフェース ３つ爪チャック、外径コレットチャック、内径マンドレルなど、チャック本体を5分以内に交換。 『ハインブッフシステム』 1台の機械で多品種変量加工に対応 外径コレットチャックが内径マンドレル、３つ爪チャックに2分以下で変身！ ワークや加工内容に最適なクランプが可能。 旋盤向けチャック本体交換システム セントロテックスS、トップラスプレミアムチャック、 マクソス内径マンドレル</x:v>
      </x:c>
      <x:c r="J112" s="7" t="str">
        <x:v>2026原典抜粋：今回は新たに、ロボットによるコレット自動交換デモを実施し、自動化による段取り作業の短縮と安定した加工品質をご覧いただけます。</x:v>
      </x:c>
      <x:c r="K112" s="7" t="str">
        <x:v>原典記述の対照。個別機能の追加・性能差・初登場年は未判定。</x:v>
      </x:c>
      <x:c r="L112" s="7" t="str">
        <x:v>両年説明あり・機能差未判定</x:v>
      </x:c>
      <x:c r="M112" s="7" t="str">
        <x:v>出展説明の一次分類</x:v>
      </x:c>
      <x:c r="N112" s="7" t="str"/>
      <x:c r="O112" s="7" t="str">
        <x:v>承認・例外対応・停止・復帰の境界は未確認</x:v>
      </x:c>
      <x:c r="P112" s="7" t="str">
        <x:v>2026公式カタログ掲載・現地未確認
2026展示予定。既存製品・参考出展・構想等は原典で個別確認</x:v>
      </x:c>
      <x:c r="Q112" s="7" t="str">
        <x:v>AC184</x:v>
      </x:c>
      <x:c t="str" r="R112" s="21">
        <x:f>HYPERLINK("https://www.jimtof.org/search/jp/ESdetails?e=zOoraplih0o","JIMTOF2026 出展ページ")</x:f>
        <x:v>JIMTOF2026 出展ページ</x:v>
      </x:c>
      <x:c t="str" r="S112" s="21">
        <x:f>HYPERLINK("https://www.jimtof.org/2024/search/jp/ESdetails?e=DtPO9o9IY_4","JIMTOF2024 出展ページ")</x:f>
        <x:v>JIMTOF2024 出展ページ</x:v>
      </x:c>
      <x:c r="T112" s="7" t="str">
        <x:v>EEX-EXH-2026-4d2afbc1f254e0f7: https://www.jimtof.org/search/jp/ESdetails?e=zOoraplih0o
該当箇所: 出展紹介・主な出展物。追加カードの原典抜粋で検索
EEX-EXH-2024-54dbae7d69cff4ba: https://www.jimtof.org/2024/search/jp/ESdetails?e=DtPO9o9IY_4
該当箇所: 出展紹介・主な出展物。追加カードの原典抜粋で検索</x:v>
      </x:c>
    </x:row>
    <x:row r="113" ht="155" customHeight="1">
      <x:c r="A113" s="7" t="str">
        <x:v>段取り・物理作業</x:v>
      </x:c>
      <x:c r="B113" s="7" t="str">
        <x:v>爪・治具・ハンドと位置の段取り</x:v>
      </x:c>
      <x:c r="C113" s="20" t="str">
        <x:v>パスカル株式会社</x:v>
      </x:c>
      <x:c r="D113" s="7" t="str">
        <x:v>パレットグリッパ</x:v>
      </x:c>
      <x:c r="E113" s="7" t="str">
        <x:v>W2047</x:v>
      </x:c>
      <x:c r="F113" s="7" t="str">
        <x:v>爪・治具・ハンドと位置の段取り</x:v>
      </x:c>
      <x:c r="G113" s="7" t="str">
        <x:v>原典抜粋：さらに、ロボットとの組合せに最適なセンサ付きクランプやワークを自動交換するために必要な周辺機器など、自動化を推進する機器を提案します。 / エアパレットグリッパ（model RPG）を用いた自動パレット交換システムは、独自の構造によりロボットが高速で旋回する際の強烈な慣性モーメントにも耐え、優れた位置再現精度を長期間維持します。 / ストッカと工作機械の間でジグやワークの搬送を完全自動化し、夜間無人運転や多品種変量生産の効率を極限まで高</x:v>
      </x:c>
      <x:c r="H113" s="7" t="str">
        <x:v>多品種で繰り返す機械的交換と再教示の負担。</x:v>
      </x:c>
      <x:c r="I113" s="7" t="str">
        <x:v>2024原典抜粋：小型立形マシニングセンター用に開発した、高速・高精度・長寿命のローラギアインデックステーブルを実演展示します。 新たに開発した、従来モデルよりさらに高速インデックスを可能にするモデルなど、新たなバリエーションを紹介します。 高速インデックスかつブレーキレス加工ができ、タクトタイムが大幅に短縮され生産性に優れます。 ローラギアは転がり伝達のため、 高負荷や高速インデックスでも摩耗が極めて小さく精度が安定し、高品質で長期間安定した機械加工がメンテナンスフリーで行なえます。 コンパクトなボディに内蔵した12ポートの高性能</x:v>
      </x:c>
      <x:c r="J113" s="7" t="str">
        <x:v>2026原典抜粋：さらに、ロボットとの組合せに最適なセンサ付きクランプやワークを自動交換するために必要な周辺機器など、自動化を推進する機器を提案します。 / エアパレットグリッパ（model RPG）を用いた自動パレット交換システムは、独自の構造によりロボットが高速で旋回する際の強烈な慣性モーメントにも耐え、優れた位置再現精度を長期間維持します。 / ストッカと工作機械の間でジグやワークの搬送を完全自動化し、夜間無人運転や多品種変量生産の効率を極限まで高</x:v>
      </x:c>
      <x:c r="K113" s="7" t="str">
        <x:v>原典記述の対照。個別機能の追加・性能差・初登場年は未判定。</x:v>
      </x:c>
      <x:c r="L113" s="7" t="str">
        <x:v>両年説明あり・機能差未判定</x:v>
      </x:c>
      <x:c r="M113" s="7" t="str">
        <x:v>出展説明の一次分類</x:v>
      </x:c>
      <x:c r="N113" s="7" t="str"/>
      <x:c r="O113" s="7" t="str">
        <x:v>承認・例外対応・停止・復帰の境界は未確認</x:v>
      </x:c>
      <x:c r="P113" s="7" t="str">
        <x:v>2026公式カタログ掲載・現地未確認
2026展示予定。既存製品・参考出展・構想等は原典で個別確認</x:v>
      </x:c>
      <x:c r="Q113" s="7" t="str">
        <x:v>AC187</x:v>
      </x:c>
      <x:c t="str" r="R113" s="21">
        <x:f>HYPERLINK("https://www.jimtof.org/search/jp/ESdetails?e=e-bUm2EYnJU","JIMTOF2026 出展ページ")</x:f>
        <x:v>JIMTOF2026 出展ページ</x:v>
      </x:c>
      <x:c t="str" r="S113" s="21">
        <x:f>HYPERLINK("https://www.jimtof.org/2024/search/jp/ESdetails?e=OLPAL7wEL2o","JIMTOF2024 出展ページ")</x:f>
        <x:v>JIMTOF2024 出展ページ</x:v>
      </x:c>
      <x:c r="T113" s="7" t="str">
        <x:v>EEX-EXH-2026-56d3111fc27b5344: https://www.jimtof.org/search/jp/ESdetails?e=e-bUm2EYnJU
該当箇所: 出展紹介・主な出展物。追加カードの原典抜粋で検索
EEX-EXH-2024-08156cf1ad5bf6a0: https://www.jimtof.org/2024/search/jp/ESdetails?e=OLPAL7wEL2o
該当箇所: 出展紹介・主な出展物。追加カードの原典抜粋で検索</x:v>
      </x:c>
    </x:row>
    <x:row r="114" ht="155" customHeight="1">
      <x:c r="A114" s="7" t="str">
        <x:v>段取り・物理作業</x:v>
      </x:c>
      <x:c r="B114" s="7" t="str">
        <x:v>爪・治具・ハンドと位置の段取り</x:v>
      </x:c>
      <x:c r="C114" s="20" t="str">
        <x:v>株式会社ファーステック</x:v>
      </x:c>
      <x:c r="D114" s="7" t="str">
        <x:v>1) 5軸加工機用セルフセンタリングバイス・ゼロポイントシステム</x:v>
      </x:c>
      <x:c r="E114" s="7" t="str">
        <x:v>W2073</x:v>
      </x:c>
      <x:c r="F114" s="7" t="str">
        <x:v>爪・治具・ハンドと位置の段取り</x:v>
      </x:c>
      <x:c r="G114" s="7" t="str">
        <x:v>原典抜粋：株式会社ファーステックは、お客様の工場の機械の稼働率を上げる「生産性向上」と「自動化」に直結する、台湾トップメーカー２社の製品を展示します。 / Earth-Chain Enterprise Co.,Ltd.からは、5面加工や多数個同時加工を可能にする「切削加工用マグバイス」、連続通電不要で熱変位を防ぐ「研削盤用永電磁チャック」、非磁性体も磁性体もどちらも同時に保持できる「真空チャック付きマグネットチャック」、小型でありながら超強力な磁</x:v>
      </x:c>
      <x:c r="H114" s="7" t="str">
        <x:v>多品種で繰り返す機械的交換と再教示の負担。</x:v>
      </x:c>
      <x:c r="I114" s="7" t="str">
        <x:v>2024原典抜粋：コストパフォーマンスと生産性向上を追求するメーカー型輸入商社として、お客様のお役に立てる商品を出展いたします。今回のみどころは、大きく三つ。1)マグネットチャックを使った生産性向上とコスト削減の実現。2)スイング式ジョーを備えた5軸加工機用セルフセンタリングバイスによるワークの強力 なクランプ。3)バイスではつかみにくい丸型ワークや薄型ワークの5軸加工を実現する5軸加工機用マグネットチャック。その他アメリカ製の高精度直径測定用パイ尺パイテープやドリル研磨機、ホーニングエッジ研磨機の展示実演を行います。 マグバイス（</x:v>
      </x:c>
      <x:c r="J114" s="7" t="str">
        <x:v>2026原典抜粋：株式会社ファーステックは、お客様の工場の機械の稼働率を上げる「生産性向上」と「自動化」に直結する、台湾トップメーカー２社の製品を展示します。 / Earth-Chain Enterprise Co.,Ltd.からは、5面加工や多数個同時加工を可能にする「切削加工用マグバイス」、連続通電不要で熱変位を防ぐ「研削盤用永電磁チャック」、非磁性体も磁性体もどちらも同時に保持できる「真空チャック付きマグネットチャック」、小型でありながら超強力な磁</x:v>
      </x:c>
      <x:c r="K114" s="7" t="str">
        <x:v>原典記述の対照。個別機能の追加・性能差・初登場年は未判定。</x:v>
      </x:c>
      <x:c r="L114" s="7" t="str">
        <x:v>両年説明あり・機能差未判定</x:v>
      </x:c>
      <x:c r="M114" s="7" t="str">
        <x:v>出展説明の一次分類</x:v>
      </x:c>
      <x:c r="N114" s="7" t="str"/>
      <x:c r="O114" s="7" t="str">
        <x:v>承認・例外対応・停止・復帰の境界は未確認</x:v>
      </x:c>
      <x:c r="P114" s="7" t="str">
        <x:v>2026公式カタログ掲載・現地未確認
2026展示予定。既存製品・参考出展・構想等は原典で個別確認</x:v>
      </x:c>
      <x:c r="Q114" s="7" t="str">
        <x:v>AC192</x:v>
      </x:c>
      <x:c t="str" r="R114" s="21">
        <x:f>HYPERLINK("https://www.jimtof.org/search/jp/ESdetails?e=IkO-nLPn17Y","JIMTOF2026 出展ページ")</x:f>
        <x:v>JIMTOF2026 出展ページ</x:v>
      </x:c>
      <x:c t="str" r="S114" s="21">
        <x:f>HYPERLINK("https://www.jimtof.org/2024/search/jp/ESdetails?e=yQYbQa77xFU","JIMTOF2024 出展ページ")</x:f>
        <x:v>JIMTOF2024 出展ページ</x:v>
      </x:c>
      <x:c r="T114" s="7" t="str">
        <x:v>EEX-EXH-2026-e4150112aeeac886: https://www.jimtof.org/search/jp/ESdetails?e=IkO-nLPn17Y
該当箇所: 出展紹介・主な出展物。追加カードの原典抜粋で検索
EEX-EXH-2024-592f2d30894e1ef9: https://www.jimtof.org/2024/search/jp/ESdetails?e=yQYbQa77xFU
該当箇所: 出展紹介・主な出展物。追加カードの原典抜粋で検索</x:v>
      </x:c>
    </x:row>
    <x:row r="115" ht="155" customHeight="1">
      <x:c r="A115" s="7" t="str">
        <x:v>段取り・物理作業</x:v>
      </x:c>
      <x:c r="B115" s="7" t="str">
        <x:v>爪・治具・ハンドと位置の段取り</x:v>
      </x:c>
      <x:c r="C115" s="20" t="str">
        <x:v>株式会社FUJI</x:v>
      </x:c>
      <x:c r="D115" s="7" t="str">
        <x:v>立型NC旋盤　「VN40」</x:v>
      </x:c>
      <x:c r="E115" s="7" t="str">
        <x:v>E3021</x:v>
      </x:c>
      <x:c r="F115" s="7" t="str">
        <x:v>爪・治具・ハンドと位置の段取り ／ 自動加工セル・工程集約</x:v>
      </x:c>
      <x:c r="G115" s="7" t="str">
        <x:v>原典抜粋：FUJIブースでは、『“つかみ方”で解決する自動化ソリューション』をコンセプトに、大径・重量物・異形ワークなど、従来は自動化が難しいとされてきた加工現場の課題に対する解決策をご提案します。 / 異形ワークのチャッキングを行うVN40、1スピンドルで表裏加工を完結するTN400ⅡR、大径・重量物ワークの半自動着脱に対応するACUFLEX400S、現場の工具・備品の受渡しを効率化するスマートロッカーシステムQuistを出展いたします。 / </x:v>
      </x:c>
      <x:c r="H115" s="7" t="str">
        <x:v>多品種で繰り返す機械的交換と再教示の負担。 ／ 設備間の持替えや繰返し作業が、人手・待ち時間・品質差につながる。</x:v>
      </x:c>
      <x:c r="I115" s="7" t="str">
        <x:v>2024原典抜粋：JIMTOF2024ではJIMTOF初出展となります新複合旋盤ACUFLEX 400Sをはじめ、FUJIのターンキーソリューションをテーマに、対向2軸旋盤 ANW400ⅢH、正面2軸旋盤 CSD300Ⅱ、NC旋盤 TN300Ⅱの3台を使ってFUJIの様々なターンキーの事例をご紹介します。 さらにはFUJIのスマートロッカーシステムQuistを使った治具や刃具管理の提案も致します。 Y軸付き１タレット複合旋盤「ACUFLEX 400S」 対向２軸旋盤「ANW400ⅢH」 正面２軸旋盤「CSD300Ⅱ」 NC旋盤「TN</x:v>
      </x:c>
      <x:c r="J115" s="7" t="str">
        <x:v>2026原典抜粋：FUJIブースでは、『“つかみ方”で解決する自動化ソリューション』をコンセプトに、大径・重量物・異形ワークなど、従来は自動化が難しいとされてきた加工現場の課題に対する解決策をご提案します。 / 異形ワークのチャッキングを行うVN40、1スピンドルで表裏加工を完結するTN400ⅡR、大径・重量物ワークの半自動着脱に対応するACUFLEX400S、現場の工具・備品の受渡しを効率化するスマートロッカーシステムQuistを出展いたします。 / </x:v>
      </x:c>
      <x:c r="K115" s="7" t="str">
        <x:v>原典記述の対照。個別機能の追加・性能差・初登場年は未判定。</x:v>
      </x:c>
      <x:c r="L115" s="7" t="str">
        <x:v>両年説明あり・機能差未判定</x:v>
      </x:c>
      <x:c r="M115" s="7" t="str">
        <x:v>出展説明の一次分類</x:v>
      </x:c>
      <x:c r="N115" s="7" t="str"/>
      <x:c r="O115" s="7" t="str">
        <x:v>承認・例外対応・停止・復帰の境界は未確認</x:v>
      </x:c>
      <x:c r="P115" s="7" t="str">
        <x:v>2026公式カタログ掲載・現地未確認
2026展示予定。既存製品・参考出展・構想等は原典で個別確認</x:v>
      </x:c>
      <x:c r="Q115" s="7" t="str">
        <x:v>AC198</x:v>
      </x:c>
      <x:c t="str" r="R115" s="21">
        <x:f>HYPERLINK("https://www.jimtof.org/search/jp/ESdetails?e=xJlXi-VNzio","JIMTOF2026 出展ページ")</x:f>
        <x:v>JIMTOF2026 出展ページ</x:v>
      </x:c>
      <x:c t="str" r="S115" s="21">
        <x:f>HYPERLINK("https://www.jimtof.org/2024/search/jp/ESdetails?e=UZiobfgROkY","JIMTOF2024 出展ページ")</x:f>
        <x:v>JIMTOF2024 出展ページ</x:v>
      </x:c>
      <x:c r="T115" s="7" t="str">
        <x:v>EEX-EXH-2026-c0de70c161714618: https://www.jimtof.org/search/jp/ESdetails?e=xJlXi-VNzio
該当箇所: 出展紹介・主な出展物。追加カードの原典抜粋で検索
EEX-EXH-2024-e023ed8f23dcf72e: https://www.jimtof.org/2024/search/jp/ESdetails?e=UZiobfgROkY
該当箇所: 出展紹介・主な出展物。追加カードの原典抜粋で検索</x:v>
      </x:c>
    </x:row>
    <x:row r="116" ht="155" customHeight="1">
      <x:c r="A116" s="7" t="str">
        <x:v>段取り・物理作業</x:v>
      </x:c>
      <x:c r="B116" s="7" t="str">
        <x:v>爪・治具・ハンドと位置の段取り</x:v>
      </x:c>
      <x:c r="C116" s="20" t="str">
        <x:v>富士精工株式会社</x:v>
      </x:c>
      <x:c r="D116" s="7" t="str">
        <x:v>自働化ソリューション展示</x:v>
      </x:c>
      <x:c r="E116" s="7" t="str">
        <x:v>W1062</x:v>
      </x:c>
      <x:c r="F116" s="7" t="str">
        <x:v>爪・治具・ハンドと位置の段取り ／ 認識を伴うピック・付帯加工・除去</x:v>
      </x:c>
      <x:c r="G116" s="7" t="str">
        <x:v>原典抜粋：マシニングセンターなどの既存設備の自働化を促進する工具をはじめ、自動化の阻害要因となる切りくず、バリ、加工不良といった課題に対応する工具を展示します。 / 【ロボット】自働工具交換技術、バリ取りなど</x:v>
      </x:c>
      <x:c r="H116" s="7" t="str">
        <x:v>多品種で繰り返す機械的交換と再教示の負担。 ／ 形状や絡まりが変わる物理作業に固定手順で対応しにくい。</x:v>
      </x:c>
      <x:c r="I116" s="7" t="str">
        <x:v>2024原典抜粋：昨年10月にHPをリニューアルした事に伴い、改めて当社製品の周知及び当社の モノづくりにフォーカスした展示をいたします。展示ではロボットを使った 動きものや触って体験できる展示などお客様により分かりやすい展示品をご用意しております。 切口は『新製品』、『ギヤツーリング製品』、『特殊工程製品』、『モノづくり技術力』、 『3Dプリント製品』、『サービス』にて展示をしております。 《注目製品》 ● 工具の再研自動化に最適な『ユニバーサルチャック』 ● 穴の外観検査の自動化が可能な『アナライザー』 《その他主な展示物》 ●</x:v>
      </x:c>
      <x:c r="J116" s="7" t="str">
        <x:v>2026原典抜粋：マシニングセンターなどの既存設備の自働化を促進する工具をはじめ、自動化の阻害要因となる切りくず、バリ、加工不良といった課題に対応する工具を展示します。 / 【ロボット】自働工具交換技術、バリ取りなど</x:v>
      </x:c>
      <x:c r="K116" s="7" t="str">
        <x:v>原典記述の対照。個別機能の追加・性能差・初登場年は未判定。</x:v>
      </x:c>
      <x:c r="L116" s="7" t="str">
        <x:v>両年説明あり・機能差未判定</x:v>
      </x:c>
      <x:c r="M116" s="7" t="str">
        <x:v>出展説明の一次分類</x:v>
      </x:c>
      <x:c r="N116" s="7" t="str"/>
      <x:c r="O116" s="7" t="str">
        <x:v>承認・例外対応・停止・復帰の境界は未確認</x:v>
      </x:c>
      <x:c r="P116" s="7" t="str">
        <x:v>2026公式カタログ掲載・現地未確認
2026展示予定。既存製品・参考出展・構想等は原典で個別確認</x:v>
      </x:c>
      <x:c r="Q116" s="7" t="str">
        <x:v>AC201</x:v>
      </x:c>
      <x:c t="str" r="R116" s="21">
        <x:f>HYPERLINK("https://www.jimtof.org/search/jp/ESdetails?e=4V4-l4rKNxY","JIMTOF2026 出展ページ")</x:f>
        <x:v>JIMTOF2026 出展ページ</x:v>
      </x:c>
      <x:c t="str" r="S116" s="21">
        <x:f>HYPERLINK("https://www.jimtof.org/2024/search/jp/ESdetails?e=85EwhsF0gYo","JIMTOF2024 出展ページ")</x:f>
        <x:v>JIMTOF2024 出展ページ</x:v>
      </x:c>
      <x:c r="T116" s="7" t="str">
        <x:v>EEX-EXH-2026-60ce989c04f949c1: https://www.jimtof.org/search/jp/ESdetails?e=4V4-l4rKNxY
該当箇所: 出展紹介・主な出展物。追加カードの原典抜粋で検索
EEX-EXH-2024-3433972cc02b009b: https://www.jimtof.org/2024/search/jp/ESdetails?e=85EwhsF0gYo
該当箇所: 出展紹介・主な出展物。追加カードの原典抜粋で検索</x:v>
      </x:c>
    </x:row>
    <x:row r="117" ht="155" customHeight="1">
      <x:c r="A117" s="7" t="str">
        <x:v>段取り・物理作業</x:v>
      </x:c>
      <x:c r="B117" s="7" t="str">
        <x:v>爪・治具・ハンドと位置の段取り</x:v>
      </x:c>
      <x:c r="C117" s="20" t="str">
        <x:v>松本機械工業株式会社</x:v>
      </x:c>
      <x:c r="D117" s="7" t="str">
        <x:v>Smart Terrace Adv／爪・CAPTO工具の交換</x:v>
      </x:c>
      <x:c r="E117" s="7" t="str">
        <x:v>W2070</x:v>
      </x:c>
      <x:c r="F117" s="7" t="str">
        <x:v>爪・工具等を交換して段取りを変える</x:v>
      </x:c>
      <x:c r="G117" s="7" t="str">
        <x:v>Smart Terrace Advは爪等の交換。寸法入力から動作を設定。</x:v>
      </x:c>
      <x:c r="H117" s="7" t="str">
        <x:v>多品種で繰り返す機械的交換と再教示の負担。</x:v>
      </x:c>
      <x:c r="I117" s="7" t="str">
        <x:v>2024/11/11の企業出展報告で、爪交換・ケレ交換・自動計測に加え、CAPTO工具交換とMACチャック丸ごと交換を展示会初披露と明記。</x:v>
      </x:c>
      <x:c r="J117" s="7" t="str">
        <x:v>2026は既設機向けAdvを追加し、爪・CAPTO工具・ケレ交換等を具体展示。</x:v>
      </x:c>
      <x:c r="K117" s="7" t="str">
        <x:v>CAPTO等の交換は2024初披露済み。2026はAdv構成等に注目。</x:v>
      </x:c>
      <x:c r="L117" s="7" t="str">
        <x:v>個別比較あり</x:v>
      </x:c>
      <x:c r="M117" s="7" t="str">
        <x:v>詳細比較済み</x:v>
      </x:c>
      <x:c r="N117" s="7" t="str"/>
      <x:c r="O117" s="7" t="str">
        <x:v>人が寸法入力。初期プログラムはメーカーが組込み。</x:v>
      </x:c>
      <x:c r="P117" s="7" t="str">
        <x:v>2026公式カタログ掲載・現地未確認
2026展示予定。既存製品・参考出展・構想等は原典で個別確認</x:v>
      </x:c>
      <x:c r="Q117" s="7" t="str">
        <x:v>AC214</x:v>
      </x:c>
      <x:c t="str" r="R117" s="21">
        <x:f>HYPERLINK("https://www.jimtof.org/search/jp/ESdetails?e=bhpEIIjKNb4","JIMTOF2026 出展ページ")</x:f>
        <x:v>JIMTOF2026 出展ページ</x:v>
      </x:c>
      <x:c t="str" r="S117" s="21">
        <x:f>HYPERLINK("https://www.jimtof.org/2024/search/jp/ESdetails?e=1cGhqW04Qes","JIMTOF2024 出展ページ")</x:f>
        <x:v>JIMTOF2024 出展ページ</x:v>
      </x:c>
      <x:c r="T117" s="7" t="str">
        <x:v>EEX-EXH-2026-0daa587f8abf6076: https://www.jimtof.org/search/jp/ESdetails?e=bhpEIIjKNb4
該当箇所: 出展紹介・主な出展物。追加カードの原典抜粋で検索
EEX-EXH-2024-1dc10e3b594ed9d8: https://www.jimtof.org/2024/search/jp/ESdetails?e=1cGhqW04Qes
該当箇所: 出展紹介・主な出展物。追加カードの原典抜粋で検索
EDP-26: https://mmkchuck.com/product/7218/
該当箇所: 7つの革新／寸法パラメータ入力・出荷時組込プログラム／レトロフィット
EDP-27: https://mmkchuck.com/news/2024/5903/
該当箇所: 爪・ケレ・計測／展示会初披露のCAPTO・MAC
EDP-28: https://mmkchuck.com/news/2026/7380/
該当箇所: Advハード単体・ストッカー単体販売への対応</x:v>
      </x:c>
    </x:row>
    <x:row r="118" ht="155" customHeight="1">
      <x:c r="A118" s="7" t="str">
        <x:v>段取り・物理作業</x:v>
      </x:c>
      <x:c r="B118" s="7" t="str">
        <x:v>爪・治具・ハンドと位置の段取り</x:v>
      </x:c>
      <x:c r="C118" s="20" t="str">
        <x:v>株式会社メトロール</x:v>
      </x:c>
      <x:c r="D118" s="7" t="str">
        <x:v>【エアミクロンセンサ】</x:v>
      </x:c>
      <x:c r="E118" s="7" t="str">
        <x:v>S4022</x:v>
      </x:c>
      <x:c r="F118" s="7" t="str">
        <x:v>爪・治具・ハンドと位置の段取り</x:v>
      </x:c>
      <x:c r="G118" s="7" t="str">
        <x:v>原典抜粋：ワークの着座確認はもちろん、NC研削盤における回転砥石の自動位置決めなど、さまざまな用途で活用可能です。 / 「加工不良を減らしたい」「設備を安定稼働させたい」「自動化をさらに進めたい」 / ・主な用途：ワークと治具の密着確認・NC研削盤の回転砥石の自動位置決め</x:v>
      </x:c>
      <x:c r="H118" s="7" t="str">
        <x:v>多品種で繰り返す機械的交換と再教示の負担。</x:v>
      </x:c>
      <x:c r="I118" s="7" t="str">
        <x:v>2024原典抜粋：メトロールは工作機械、設備、ロボット向けの「位置決めセンサ」の専門メーカーです。当社のセンサは高精度で低価格、さらに豊富なカスタマイズにも対応。世界74カ国、7,000社以上の企業で生産設備の自動化に貢献しています。 【見どころ】 唯一の日本製！『無線式タッチプローブ』 ・製品価格＋取付費で50万円～ ・繰り返し精度1μm ・国内メーカーならではの迅速なアフターフォロー ・ブースではデモ機でワーク測定動作をご覧いただけます。 ・既存機への「センサ後付けサービス」も分かりやすいプレゼンテーションでご紹介いたします。 </x:v>
      </x:c>
      <x:c r="J118" s="7" t="str">
        <x:v>2026原典抜粋：ワークの着座確認はもちろん、NC研削盤における回転砥石の自動位置決めなど、さまざまな用途で活用可能です。 / 「加工不良を減らしたい」「設備を安定稼働させたい」「自動化をさらに進めたい」 / ・主な用途：ワークと治具の密着確認・NC研削盤の回転砥石の自動位置決め</x:v>
      </x:c>
      <x:c r="K118" s="7" t="str">
        <x:v>原典記述の対照。個別機能の追加・性能差・初登場年は未判定。</x:v>
      </x:c>
      <x:c r="L118" s="7" t="str">
        <x:v>両年説明あり・機能差未判定</x:v>
      </x:c>
      <x:c r="M118" s="7" t="str">
        <x:v>出展説明の一次分類</x:v>
      </x:c>
      <x:c r="N118" s="7" t="str"/>
      <x:c r="O118" s="7" t="str">
        <x:v>承認・例外対応・停止・復帰の境界は未確認</x:v>
      </x:c>
      <x:c r="P118" s="7" t="str">
        <x:v>2026公式カタログ掲載・現地未確認
2026展示予定。既存製品・参考出展・構想等は原典で個別確認</x:v>
      </x:c>
      <x:c r="Q118" s="7" t="str">
        <x:v>AC227</x:v>
      </x:c>
      <x:c t="str" r="R118" s="21">
        <x:f>HYPERLINK("https://www.jimtof.org/search/jp/ESdetails?e=wCfQP1f4Amo","JIMTOF2026 出展ページ")</x:f>
        <x:v>JIMTOF2026 出展ページ</x:v>
      </x:c>
      <x:c t="str" r="S118" s="21">
        <x:f>HYPERLINK("https://www.jimtof.org/2024/search/jp/ESdetails?e=Rjf40-Z2n88","JIMTOF2024 出展ページ")</x:f>
        <x:v>JIMTOF2024 出展ページ</x:v>
      </x:c>
      <x:c r="T118" s="7" t="str">
        <x:v>EEX-EXH-2026-d1b2346e07cb38c8: https://www.jimtof.org/search/jp/ESdetails?e=wCfQP1f4Amo
該当箇所: 出展紹介・主な出展物。追加カードの原典抜粋で検索
EEX-EXH-2024-f7a252ea37e4dc94: https://www.jimtof.org/2024/search/jp/ESdetails?e=Rjf40-Z2n88
該当箇所: 出展紹介・主な出展物。追加カードの原典抜粋で検索</x:v>
      </x:c>
    </x:row>
    <x:row r="119" ht="155" customHeight="1">
      <x:c r="A119" s="7" t="str">
        <x:v>段取り・物理作業</x:v>
      </x:c>
      <x:c r="B119" s="7" t="str">
        <x:v>爪・治具・ハンドと位置の段取り</x:v>
      </x:c>
      <x:c r="C119" s="20" t="str">
        <x:v>ロームヘルド・ハルダー株式会社</x:v>
      </x:c>
      <x:c r="D119" s="7" t="str">
        <x:v>マシンバイス、ネジ山リフティングピン、ハンマー、電動スイングクランプ</x:v>
      </x:c>
      <x:c r="E119" s="7" t="str">
        <x:v>W2003</x:v>
      </x:c>
      <x:c r="F119" s="7" t="str">
        <x:v>爪・治具・ハンドと位置の段取り</x:v>
      </x:c>
      <x:c r="G119" s="7" t="str">
        <x:v>原典抜粋：・これからの自動化に貢献する電動スイングクランプの動作デモ</x:v>
      </x:c>
      <x:c r="H119" s="7" t="str">
        <x:v>多品種で繰り返す機械的交換と再教示の負担。</x:v>
      </x:c>
      <x:c r="I119" s="7" t="str">
        <x:v>同一正規化名称の2024詳細なし。新規出展・技術不存在とは判断しない。</x:v>
      </x:c>
      <x:c r="J119" s="7" t="str">
        <x:v>2026原典抜粋：・これからの自動化に貢献する電動スイングクランプの動作デモ</x:v>
      </x:c>
      <x:c r="K119" s="7" t="str">
        <x:v>原典記述の対照。個別機能の追加・性能差・初登場年は未判定。</x:v>
      </x:c>
      <x:c r="L119" s="7" t="str">
        <x:v>年度資料不足・比較不能</x:v>
      </x:c>
      <x:c r="M119" s="7" t="str">
        <x:v>出展説明の一次分類</x:v>
      </x:c>
      <x:c r="N119" s="7" t="str"/>
      <x:c r="O119" s="7" t="str">
        <x:v>承認・例外対応・停止・復帰の境界は未確認</x:v>
      </x:c>
      <x:c r="P119" s="7" t="str">
        <x:v>2026公式カタログ掲載・現地未確認
2026展示予定。既存製品・参考出展・構想等は原典で個別確認</x:v>
      </x:c>
      <x:c r="Q119" s="7" t="str">
        <x:v>AC243</x:v>
      </x:c>
      <x:c t="str" r="R119" s="21">
        <x:f>HYPERLINK("https://www.jimtof.org/search/jp/ESdetails?e=ouI_rRePhFc","JIMTOF2026 出展ページ")</x:f>
        <x:v>JIMTOF2026 出展ページ</x:v>
      </x:c>
      <x:c r="S119" s="21" t="str"/>
      <x:c r="T119" s="7" t="str">
        <x:v>EEX-EXH-2026-e4d55b299fa70670: https://www.jimtof.org/search/jp/ESdetails?e=ouI_rRePhFc
該当箇所: 出展紹介・主な出展物。追加カードの原典抜粋で検索</x:v>
      </x:c>
    </x:row>
    <x:row r="120" ht="155" customHeight="1">
      <x:c r="A120" s="7" t="str">
        <x:v>段取り・物理作業</x:v>
      </x:c>
      <x:c r="B120" s="7" t="str">
        <x:v>爪・治具・ハンドと位置の段取り</x:v>
      </x:c>
      <x:c r="C120" s="20" t="str">
        <x:v>AUTOGRIP MACHINERY CO., LTD.</x:v>
      </x:c>
      <x:c r="D120" s="7" t="str">
        <x:v>1.3FW-26 アルミホイール加工用フィンガーチャック</x:v>
      </x:c>
      <x:c r="E120" s="7" t="str">
        <x:v>W3001</x:v>
      </x:c>
      <x:c r="F120" s="7" t="str">
        <x:v>爪・治具・ハンドと位置の段取り</x:v>
      </x:c>
      <x:c r="G120" s="7" t="str">
        <x:v>原典抜粋：4.自動化ワークホールディングソリューション</x:v>
      </x:c>
      <x:c r="H120" s="7" t="str">
        <x:v>多品種で繰り返す機械的交換と再教示の負担。</x:v>
      </x:c>
      <x:c r="I120" s="7" t="str">
        <x:v>2024原典抜粋：AUTOGRIP Machinery Company Ltd.は、パワーチャック、ロータリーシリンダー、コレットチャック、およびクランプシリーズ製品の専門メーカーです。1989年以来、高剛性および高精度の品質を持つ旋盤用チャック、フライス盤用チャック、CNCチャックなどの工作機械チャック製品の提供に尽力してきました。 信頼できるワークホールディングのパートナー パワーチャック | 空油圧回転シリンダー | 自動化チャックシリーズ</x:v>
      </x:c>
      <x:c r="J120" s="7" t="str">
        <x:v>2026原典抜粋：4.自動化ワークホールディングソリューション</x:v>
      </x:c>
      <x:c r="K120" s="7" t="str">
        <x:v>原典記述の対照。個別機能の追加・性能差・初登場年は未判定。</x:v>
      </x:c>
      <x:c r="L120" s="7" t="str">
        <x:v>両年説明あり・機能差未判定</x:v>
      </x:c>
      <x:c r="M120" s="7" t="str">
        <x:v>出展説明の一次分類</x:v>
      </x:c>
      <x:c r="N120" s="7" t="str"/>
      <x:c r="O120" s="7" t="str">
        <x:v>承認・例外対応・停止・復帰の境界は未確認</x:v>
      </x:c>
      <x:c r="P120" s="7" t="str">
        <x:v>2026公式カタログ掲載・現地未確認
2026展示予定。既存製品・参考出展・構想等は原典で個別確認</x:v>
      </x:c>
      <x:c r="Q120" s="7" t="str">
        <x:v>AC249</x:v>
      </x:c>
      <x:c t="str" r="R120" s="21">
        <x:f>HYPERLINK("https://www.jimtof.org/search/jp/ESdetails?e=EeJK5dyX8Nc","JIMTOF2026 出展ページ")</x:f>
        <x:v>JIMTOF2026 出展ページ</x:v>
      </x:c>
      <x:c t="str" r="S120" s="21">
        <x:f>HYPERLINK("https://www.jimtof.org/2024/search/jp/ESdetails?e=oUyVPjxvy-U","JIMTOF2024 出展ページ")</x:f>
        <x:v>JIMTOF2024 出展ページ</x:v>
      </x:c>
      <x:c r="T120" s="7" t="str">
        <x:v>EEX-EXH-2026-b9c308c3f5d83ade: https://www.jimtof.org/search/jp/ESdetails?e=EeJK5dyX8Nc
該当箇所: 出展紹介・主な出展物。追加カードの原典抜粋で検索
EEX-EXH-2024-e91d7bb7db85217e: https://www.jimtof.org/2024/search/jp/ESdetails?e=oUyVPjxvy-U
該当箇所: 出展紹介・主な出展物。追加カードの原典抜粋で検索</x:v>
      </x:c>
    </x:row>
    <x:row r="121" ht="155" customHeight="1">
      <x:c r="A121" s="7" t="str">
        <x:v>段取り・物理作業</x:v>
      </x:c>
      <x:c r="B121" s="7" t="str">
        <x:v>爪・治具・ハンドと位置の段取り</x:v>
      </x:c>
      <x:c r="C121" s="20" t="str">
        <x:v>ProGrit GmbH</x:v>
      </x:c>
      <x:c r="D121" s="7" t="str">
        <x:v>クランピング・位置決めシステム</x:v>
      </x:c>
      <x:c r="E121" s="7" t="str">
        <x:v>E3014</x:v>
      </x:c>
      <x:c r="F121" s="7" t="str">
        <x:v>爪・治具・ハンドと位置の段取り</x:v>
      </x:c>
      <x:c r="G121" s="7" t="str">
        <x:v>原典抜粋：ProGrit社は、粉末成形における高精度・長寿命の圧縮金型技術と、成形工程の自動化・デジタル化を一貫して提供しています。 / 今回の展示会では、「Automatic Tool Change（自動金型交換）」と「Automated Filler Plate（自動フィラープレート）」を中心に、次世代のプレス技術をご紹介します。 / Automatic Tool Changeは、ロボットによる金型の自動交換に対応し、金型をブロック単位で交換</x:v>
      </x:c>
      <x:c r="H121" s="7" t="str">
        <x:v>多品種で繰り返す機械的交換と再教示の負担。</x:v>
      </x:c>
      <x:c r="I121" s="7" t="str">
        <x:v>同一正規化名称の2024詳細なし。新規出展・技術不存在とは判断しない。</x:v>
      </x:c>
      <x:c r="J121" s="7" t="str">
        <x:v>2026原典抜粋：ProGrit社は、粉末成形における高精度・長寿命の圧縮金型技術と、成形工程の自動化・デジタル化を一貫して提供しています。 / 今回の展示会では、「Automatic Tool Change（自動金型交換）」と「Automated Filler Plate（自動フィラープレート）」を中心に、次世代のプレス技術をご紹介します。 / Automatic Tool Changeは、ロボットによる金型の自動交換に対応し、金型をブロック単位で交換</x:v>
      </x:c>
      <x:c r="K121" s="7" t="str">
        <x:v>原典記述の対照。個別機能の追加・性能差・初登場年は未判定。</x:v>
      </x:c>
      <x:c r="L121" s="7" t="str">
        <x:v>年度資料不足・比較不能</x:v>
      </x:c>
      <x:c r="M121" s="7" t="str">
        <x:v>出展説明の一次分類</x:v>
      </x:c>
      <x:c r="N121" s="7" t="str"/>
      <x:c r="O121" s="7" t="str">
        <x:v>承認・例外対応・停止・復帰の境界は未確認</x:v>
      </x:c>
      <x:c r="P121" s="7" t="str">
        <x:v>2026公式カタログ掲載・現地未確認
2026展示予定。既存製品・参考出展・構想等は原典で個別確認</x:v>
      </x:c>
      <x:c r="Q121" s="7" t="str">
        <x:v>AC278</x:v>
      </x:c>
      <x:c t="str" r="R121" s="21">
        <x:f>HYPERLINK("https://www.jimtof.org/search/jp/ESdetails?e=zPpO1BUr3Ws","JIMTOF2026 出展ページ")</x:f>
        <x:v>JIMTOF2026 出展ページ</x:v>
      </x:c>
      <x:c r="S121" s="21" t="str"/>
      <x:c r="T121" s="7" t="str">
        <x:v>EEX-EXH-2026-072d2f7215d2c5b5: https://www.jimtof.org/search/jp/ESdetails?e=zPpO1BUr3Ws
該当箇所: 出展紹介・主な出展物。追加カードの原典抜粋で検索</x:v>
      </x:c>
    </x:row>
    <x:row r="122" ht="155" customHeight="1">
      <x:c r="A122" s="7" t="str">
        <x:v>段取り・物理作業</x:v>
      </x:c>
      <x:c r="B122" s="7" t="str">
        <x:v>ワーク・パレット・切粉の搬送</x:v>
      </x:c>
      <x:c r="C122" s="20" t="str">
        <x:v>DMG森精機</x:v>
      </x:c>
      <x:c r="D122" s="7" t="str">
        <x:v>AMR 1000</x:v>
      </x:c>
      <x:c r="E122" s="7" t="str">
        <x:v>E8005</x:v>
      </x:c>
      <x:c r="F122" s="7" t="str">
        <x:v>工場内搬送</x:v>
      </x:c>
      <x:c r="G122" s="7" t="str">
        <x:v>AMRで切粉容器等を運搬</x:v>
      </x:c>
      <x:c r="H122" s="7" t="str">
        <x:v>部品・容器等の運搬と、設備間の受渡し・連携の負担</x:v>
      </x:c>
      <x:c r="I122" s="7" t="str">
        <x:v>AMR 2000／WH-AMR 10を掲載</x:v>
      </x:c>
      <x:c r="J122" s="7" t="str">
        <x:v>AMR 1000とチップバケット搬送を具体記載</x:v>
      </x:c>
      <x:c r="K122" s="7" t="str">
        <x:v>出展説明・公式資料の記載比較。初発明年・実演成功・性能向上を証明するものではない。</x:v>
      </x:c>
      <x:c r="L122" s="7" t="str">
        <x:v>比較記録あり</x:v>
      </x:c>
      <x:c r="M122" s="7" t="str">
        <x:v>個別タスク整理</x:v>
      </x:c>
      <x:c r="N122" s="7" t="str"/>
      <x:c r="O122" s="7" t="str">
        <x:v>積み降ろし・通路障害・異常時の介入条件は未確認</x:v>
      </x:c>
      <x:c r="P122" s="7" t="str">
        <x:v>JIMTOF2026公式カタログ掲載・現地未確認
2026展示予定・提供段階未確認</x:v>
      </x:c>
      <x:c r="Q122" s="7" t="str">
        <x:v>FC001</x:v>
      </x:c>
      <x:c t="str" r="R122" s="21">
        <x:f>HYPERLINK("https://www.jimtof.org/search/jp/ESdetails?e=zcqDj1lSkGs","JIMTOF2026 出展ページ")</x:f>
        <x:v>JIMTOF2026 出展ページ</x:v>
      </x:c>
      <x:c t="str" r="S122" s="21">
        <x:f>HYPERLINK("https://www.jimtof.org/2024/search/jp/ESdetails?e=lOXEEpvlXpM","JIMTOF2024 出展ページ")</x:f>
        <x:v>JIMTOF2024 出展ページ</x:v>
      </x:c>
      <x:c r="T122" s="7" t="str">
        <x:v>EOV-V001-2024-1: https://www.jimtof.org/2024/search/jp/ESdetails?e=lOXEEpvlXpM
該当箇所: main &gt; div.col-md-8.mb-5 の出展紹介、見出し「主な出展物」直後
EOV-V001-2026-1: https://www.jimtof.org/search/jp/ESdetails?e=zcqDj1lSkGs
該当箇所: main &gt; div.col-md-8.mb-5 の出展紹介、見出し「主な出展物」直後</x:v>
      </x:c>
    </x:row>
    <x:row r="123" ht="155" customHeight="1">
      <x:c r="A123" s="7" t="str">
        <x:v>段取り・物理作業</x:v>
      </x:c>
      <x:c r="B123" s="7" t="str">
        <x:v>ワーク・パレット・切粉の搬送</x:v>
      </x:c>
      <x:c r="C123" s="20" t="str">
        <x:v>DMG森精機</x:v>
      </x:c>
      <x:c r="D123" s="7" t="str">
        <x:v>MATRIS WPH 210</x:v>
      </x:c>
      <x:c r="E123" s="7" t="str">
        <x:v>E8005</x:v>
      </x:c>
      <x:c r="F123" s="7" t="str">
        <x:v>ワークとパレットを加工機へ供給する</x:v>
      </x:c>
      <x:c r="G123" s="7" t="str">
        <x:v>MATRIS WPH 210がワークとパレット両方を供給。</x:v>
      </x:c>
      <x:c r="H123" s="7" t="str">
        <x:v>多品種加工でのパレット準備・供給と長時間運転の段取り</x:v>
      </x:c>
      <x:c r="I123" s="7" t="str">
        <x:v>PH Cell 500、MATRIS Light、Robo2Go Millingを掲載</x:v>
      </x:c>
      <x:c r="J123" s="7" t="str">
        <x:v>MATRIS WPH 210を日本初公開と記載</x:v>
      </x:c>
      <x:c r="K123" s="7" t="str">
        <x:v>2024のPH Cell等に対しWPH 210を日本初公開と記載。</x:v>
      </x:c>
      <x:c r="L123" s="7" t="str">
        <x:v>個別比較あり</x:v>
      </x:c>
      <x:c r="M123" s="7" t="str">
        <x:v>詳細比較済み</x:v>
      </x:c>
      <x:c r="N123" s="7" t="str"/>
      <x:c r="O123" s="7" t="str">
        <x:v>把持・治具・品種切替の事前準備と異常対応は未確認。</x:v>
      </x:c>
      <x:c r="P123" s="7" t="str">
        <x:v>JIMTOF2026公式カタログ掲載・現地未確認
2026展示予定・提供段階未確認</x:v>
      </x:c>
      <x:c r="Q123" s="7" t="str">
        <x:v>FC002</x:v>
      </x:c>
      <x:c t="str" r="R123" s="21">
        <x:f>HYPERLINK("https://www.jimtof.org/search/jp/ESdetails?e=zcqDj1lSkGs","JIMTOF2026 出展ページ")</x:f>
        <x:v>JIMTOF2026 出展ページ</x:v>
      </x:c>
      <x:c t="str" r="S123" s="21">
        <x:f>HYPERLINK("https://www.jimtof.org/2024/search/jp/ESdetails?e=lOXEEpvlXpM","JIMTOF2024 出展ページ")</x:f>
        <x:v>JIMTOF2024 出展ページ</x:v>
      </x:c>
      <x:c r="T123" s="7" t="str">
        <x:v>EOV-V001-2024-1: https://www.jimtof.org/2024/search/jp/ESdetails?e=lOXEEpvlXpM
該当箇所: main &gt; div.col-md-8.mb-5 の出展紹介、見出し「主な出展物」直後
EOV-V001-2026-1: https://www.jimtof.org/search/jp/ESdetails?e=zcqDj1lSkGs
該当箇所: main &gt; div.col-md-8.mb-5 の出展紹介、見出し「主な出展物」直後</x:v>
      </x:c>
    </x:row>
    <x:row r="124" ht="155" customHeight="1">
      <x:c r="A124" s="7" t="str">
        <x:v>段取り・物理作業</x:v>
      </x:c>
      <x:c r="B124" s="7" t="str">
        <x:v>ワーク・パレット・切粉の搬送</x:v>
      </x:c>
      <x:c r="C124" s="20" t="str">
        <x:v>オークマ</x:v>
      </x:c>
      <x:c r="D124" s="7" t="str">
        <x:v>ARMROID／OMR20</x:v>
      </x:c>
      <x:c r="E124" s="7" t="str">
        <x:v>E3028</x:v>
      </x:c>
      <x:c r="F124" s="7" t="str">
        <x:v>加工機へのワーク搬入出を自動化する</x:v>
      </x:c>
      <x:c r="G124" s="7" t="str">
        <x:v>ARMROID機内ロボット、OMR20等で工作機械の自動化を構成。</x:v>
      </x:c>
      <x:c r="H124" s="7" t="str">
        <x:v>素材・加工品の受渡し作業と機械の待ち時間</x:v>
      </x:c>
      <x:c r="I124" s="7" t="str">
        <x:v>ARMROID、OMR20、smarTwinCELLを掲載</x:v>
      </x:c>
      <x:c r="J124" s="7" t="str">
        <x:v>ARMROIDとLB3000 EX III＋OMR20等を掲載</x:v>
      </x:c>
      <x:c r="K124" s="7" t="str">
        <x:v>ARMROID・OMR20は2024にも掲載。2026も継続。</x:v>
      </x:c>
      <x:c r="L124" s="7" t="str">
        <x:v>個別比較あり</x:v>
      </x:c>
      <x:c r="M124" s="7" t="str">
        <x:v>詳細比較済み</x:v>
      </x:c>
      <x:c r="N124" s="7" t="str"/>
      <x:c r="O124" s="7" t="str">
        <x:v>手動との切替と品種変更の介入範囲は未確認。</x:v>
      </x:c>
      <x:c r="P124" s="7" t="str">
        <x:v>JIMTOF2026公式カタログ掲載・現地未確認
2026展示予定・提供段階未確認</x:v>
      </x:c>
      <x:c r="Q124" s="7" t="str">
        <x:v>FC008</x:v>
      </x:c>
      <x:c t="str" r="R124" s="21">
        <x:f>HYPERLINK("https://www.jimtof.org/search/jp/ESdetails?e=30li0vWcseI","JIMTOF2026 出展ページ")</x:f>
        <x:v>JIMTOF2026 出展ページ</x:v>
      </x:c>
      <x:c t="str" r="S124" s="21">
        <x:f>HYPERLINK("https://www.jimtof.org/2024/search/jp/ESdetails?e=iFfGVH0vPS8","JIMTOF2024 出展ページ")</x:f>
        <x:v>JIMTOF2024 出展ページ</x:v>
      </x:c>
      <x:c r="T124" s="7" t="str">
        <x:v>EOV-V003-2024-1: https://www.jimtof.org/2024/search/jp/ESdetails?e=iFfGVH0vPS8
該当箇所: main &gt; div.col-md-8.mb-5 の出展紹介、見出し「主な出展物」直後
EOV-V003-2026-1: https://www.jimtof.org/search/jp/ESdetails?e=30li0vWcseI
該当箇所: main &gt; div.col-md-8.mb-5 の出展紹介、見出し「主な出展物」直後</x:v>
      </x:c>
    </x:row>
    <x:row r="125" ht="155" customHeight="1">
      <x:c r="A125" s="7" t="str">
        <x:v>段取り・物理作業</x:v>
      </x:c>
      <x:c r="B125" s="7" t="str">
        <x:v>ワーク・パレット・切粉の搬送</x:v>
      </x:c>
      <x:c r="C125" s="20" t="str">
        <x:v>ヤマザキマザック</x:v>
      </x:c>
      <x:c r="D125" s="7" t="str">
        <x:v>INTEGREX＋Ez LOADER 30</x:v>
      </x:c>
      <x:c r="E125" s="7" t="str">
        <x:v>E1001</x:v>
      </x:c>
      <x:c r="F125" s="7" t="str">
        <x:v>ワーク搬入出</x:v>
      </x:c>
      <x:c r="G125" s="7" t="str">
        <x:v>工作機械とローダの組合せ</x:v>
      </x:c>
      <x:c r="H125" s="7" t="str">
        <x:v>素材・加工品の受渡し作業と機械の待ち時間</x:v>
      </x:c>
      <x:c r="I125" s="7" t="str">
        <x:v>自動化トータルサポートを訴求。今回構成の直接比較は不可</x:v>
      </x:c>
      <x:c r="J125" s="7" t="str">
        <x:v>メーカー特設ページで機械・ローダ組合せを確認</x:v>
      </x:c>
      <x:c r="K125" s="7" t="str">
        <x:v>出展説明・公式資料の記載比較。初発明年・実演成功・性能向上を証明するものではない。</x:v>
      </x:c>
      <x:c r="L125" s="7" t="str">
        <x:v>比較記録あり</x:v>
      </x:c>
      <x:c r="M125" s="7" t="str">
        <x:v>個別タスク整理</x:v>
      </x:c>
      <x:c r="N125" s="7" t="str"/>
      <x:c r="O125" s="7" t="str">
        <x:v>AIに任せる判断範囲は資料から確認できない</x:v>
      </x:c>
      <x:c r="P125" s="7" t="str">
        <x:v>JIMTOF2026公式カタログ掲載・現地未確認
2026展示予定・提供段階未確認</x:v>
      </x:c>
      <x:c r="Q125" s="7" t="str">
        <x:v>FC010</x:v>
      </x:c>
      <x:c t="str" r="R125" s="21">
        <x:f>HYPERLINK("https://www.jimtof.org/search/jp/ESdetails?e=PJEgqNYlWes","JIMTOF2026 出展ページ")</x:f>
        <x:v>JIMTOF2026 出展ページ</x:v>
      </x:c>
      <x:c t="str" r="S125" s="21">
        <x:f>HYPERLINK("https://www.jimtof.org/2024/search/jp/ESdetails?e=q0OrZBKM3uQ","JIMTOF2024 出展ページ")</x:f>
        <x:v>JIMTOF2024 出展ページ</x:v>
      </x:c>
      <x:c r="T125" s="7" t="str">
        <x:v>EOV-V004-2024-1: https://www.jimtof.org/2024/search/jp/ESdetails?e=q0OrZBKM3uQ
該当箇所: main &gt; div.col-md-8.mb-5 の出展紹介、見出し「主な出展物」直後
EOV-V004-2026-1: https://www.jimtof.org/search/jp/ESdetails?e=PJEgqNYlWes
該当箇所: main &gt; div.col-md-8.mb-5 の出展紹介、見出し「主な出展物」直後
EAT-N08: https://www.mazak.com/jp-en/news-media/upcoming-events/jimtof2026/
該当箇所: Machines &amp; Automation Systems／Automation Systems</x:v>
      </x:c>
    </x:row>
    <x:row r="126" ht="155" customHeight="1">
      <x:c r="A126" s="7" t="str">
        <x:v>段取り・物理作業</x:v>
      </x:c>
      <x:c r="B126" s="7" t="str">
        <x:v>ワーク・パレット・切粉の搬送</x:v>
      </x:c>
      <x:c r="C126" s="20" t="str">
        <x:v>エヌティーツール</x:v>
      </x:c>
      <x:c r="D126" s="7" t="str">
        <x:v>マテハンホルダ</x:v>
      </x:c>
      <x:c r="E126" s="7" t="str">
        <x:v>W2019</x:v>
      </x:c>
      <x:c r="F126" s="7" t="str">
        <x:v>ワーク搬入出</x:v>
      </x:c>
      <x:c r="G126" s="7" t="str">
        <x:v>既存の圧力源を利用したワーク搬送</x:v>
      </x:c>
      <x:c r="H126" s="7" t="str">
        <x:v>素材・加工品の受渡し作業と機械の待ち時間</x:v>
      </x:c>
      <x:c r="I126" s="7" t="str">
        <x:v>高圧洗浄と自動プリセットを掲載</x:v>
      </x:c>
      <x:c r="J126" s="7" t="str">
        <x:v>マテハンホルダを具体紹介</x:v>
      </x:c>
      <x:c r="K126" s="7" t="str">
        <x:v>出展説明・公式資料の記載比較。初発明年・実演成功・性能向上を証明するものではない。</x:v>
      </x:c>
      <x:c r="L126" s="7" t="str">
        <x:v>比較記録あり</x:v>
      </x:c>
      <x:c r="M126" s="7" t="str">
        <x:v>個別タスク整理</x:v>
      </x:c>
      <x:c r="N126" s="7" t="str"/>
      <x:c r="O126" s="7" t="str">
        <x:v>形状・重量・機種・搬送経路の適合条件は未確認</x:v>
      </x:c>
      <x:c r="P126" s="7" t="str">
        <x:v>JIMTOF2026公式カタログ掲載・現地未確認
2026展示予定・提供段階未確認</x:v>
      </x:c>
      <x:c r="Q126" s="7" t="str">
        <x:v>FC044</x:v>
      </x:c>
      <x:c t="str" r="R126" s="21">
        <x:f>HYPERLINK("https://www.jimtof.org/search/jp/ESdetails?e=iW3vesxy4DU","JIMTOF2026 出展ページ")</x:f>
        <x:v>JIMTOF2026 出展ページ</x:v>
      </x:c>
      <x:c t="str" r="S126" s="21">
        <x:f>HYPERLINK("https://www.jimtof.org/2024/search/jp/ESdetails?e=pYGmVz5GC1c","JIMTOF2024 出展ページ")</x:f>
        <x:v>JIMTOF2024 出展ページ</x:v>
      </x:c>
      <x:c r="T126" s="7" t="str">
        <x:v>EOV-V026-2024-1: https://www.jimtof.org/2024/search/jp/ESdetails?e=pYGmVz5GC1c
該当箇所: main &gt; div.col-md-8.mb-5 の出展紹介、見出し「主な出展物」直後
EOV-V026-2026-1: https://www.jimtof.org/search/jp/ESdetails?e=iW3vesxy4DU
該当箇所: main &gt; div.col-md-8.mb-5 の出展紹介、見出し「主な出展物」直後</x:v>
      </x:c>
    </x:row>
    <x:row r="127" ht="155" customHeight="1">
      <x:c r="A127" s="7" t="str">
        <x:v>段取り・物理作業</x:v>
      </x:c>
      <x:c r="B127" s="7" t="str">
        <x:v>ワーク・パレット・切粉の搬送</x:v>
      </x:c>
      <x:c r="C127" s="20" t="str">
        <x:v>牧野フライス製作所</x:v>
      </x:c>
      <x:c r="D127" s="7" t="str">
        <x:v>パレット自動化／MAS・ラインエンジニアリング</x:v>
      </x:c>
      <x:c r="E127" s="7" t="str">
        <x:v>E1024</x:v>
      </x:c>
      <x:c r="F127" s="7" t="str">
        <x:v>パレット供給</x:v>
      </x:c>
      <x:c r="G127" s="7" t="str">
        <x:v>機械・パレット・ソフト・ライン設計・保守を組み合わせる</x:v>
      </x:c>
      <x:c r="H127" s="7" t="str">
        <x:v>多品種加工でのパレット準備・供給と長時間運転の段取り</x:v>
      </x:c>
      <x:c r="I127" s="7" t="str">
        <x:v>DA300自動化パッケージ・DA500パレット等を掲載</x:v>
      </x:c>
      <x:c r="J127" s="7" t="str">
        <x:v>MAS、生産ライン全体と保守を訴求</x:v>
      </x:c>
      <x:c r="K127" s="7" t="str">
        <x:v>出展説明・公式資料の記載比較。初発明年・実演成功・性能向上を証明するものではない。</x:v>
      </x:c>
      <x:c r="L127" s="7" t="str">
        <x:v>比較記録あり</x:v>
      </x:c>
      <x:c r="M127" s="7" t="str">
        <x:v>個別タスク整理</x:v>
      </x:c>
      <x:c r="N127" s="7" t="str"/>
      <x:c r="O127" s="7" t="str">
        <x:v>ラインの再計画・例外復帰の自律範囲は未確認</x:v>
      </x:c>
      <x:c r="P127" s="7" t="str">
        <x:v>JIMTOF2026公式カタログ掲載・現地未確認
2026展示予定・提供段階未確認</x:v>
      </x:c>
      <x:c r="Q127" s="7" t="str">
        <x:v>FC046</x:v>
      </x:c>
      <x:c t="str" r="R127" s="21">
        <x:f>HYPERLINK("https://www.jimtof.org/search/jp/ESdetails?e=M5OL10ECBTE","JIMTOF2026 出展ページ")</x:f>
        <x:v>JIMTOF2026 出展ページ</x:v>
      </x:c>
      <x:c t="str" r="S127" s="21">
        <x:f>HYPERLINK("https://www.jimtof.org/2024/search/jp/ESdetails?e=95Yl5dQv2vI","JIMTOF2024 出展ページ")</x:f>
        <x:v>JIMTOF2024 出展ページ</x:v>
      </x:c>
      <x:c r="T127" s="7" t="str">
        <x:v>EOV-V027-2024-1: https://www.jimtof.org/2024/search/jp/ESdetails?e=95Yl5dQv2vI
該当箇所: main &gt; div.col-md-8.mb-5 の出展紹介、見出し「主な出展物」直後
EOV-V027-2026-1: https://www.jimtof.org/search/jp/ESdetails?e=M5OL10ECBTE
該当箇所: main &gt; div.col-md-8.mb-5 の出展紹介、見出し「主な出展物」直後</x:v>
      </x:c>
    </x:row>
    <x:row r="128" ht="155" customHeight="1">
      <x:c r="A128" s="7" t="str">
        <x:v>段取り・物理作業</x:v>
      </x:c>
      <x:c r="B128" s="7" t="str">
        <x:v>ワーク・パレット・切粉の搬送</x:v>
      </x:c>
      <x:c r="C128" s="20" t="str">
        <x:v>松浦機械製作所</x:v>
      </x:c>
      <x:c r="D128" s="7" t="str">
        <x:v>5軸＋マルチパレット／MiOS</x:v>
      </x:c>
      <x:c r="E128" s="7" t="str">
        <x:v>E3030</x:v>
      </x:c>
      <x:c r="F128" s="7" t="str">
        <x:v>パレット供給</x:v>
      </x:c>
      <x:c r="G128" s="7" t="str">
        <x:v>加工データをプロジェクト単位で管理し供給・無人運転を支援</x:v>
      </x:c>
      <x:c r="H128" s="7" t="str">
        <x:v>多品種加工でのパレット準備・供給と長時間運転の段取り</x:v>
      </x:c>
      <x:c r="I128" s="7" t="str">
        <x:v>5軸＋多パレット、MiOS4、CAMの一貫支援を説明</x:v>
      </x:c>
      <x:c r="J128" s="7" t="str">
        <x:v>旋削機能等で加工対象を広げる提案</x:v>
      </x:c>
      <x:c r="K128" s="7" t="str">
        <x:v>出展説明・公式資料の記載比較。初発明年・実演成功・性能向上を証明するものではない。</x:v>
      </x:c>
      <x:c r="L128" s="7" t="str">
        <x:v>比較記録あり</x:v>
      </x:c>
      <x:c r="M128" s="7" t="str">
        <x:v>個別タスク整理</x:v>
      </x:c>
      <x:c r="N128" s="7" t="str"/>
      <x:c r="O128" s="7" t="str">
        <x:v>事前段取り・工具準備・異常時対応の自動範囲は未確認</x:v>
      </x:c>
      <x:c r="P128" s="7" t="str">
        <x:v>JIMTOF2026公式カタログ掲載・現地未確認
2026展示予定・提供段階未確認</x:v>
      </x:c>
      <x:c r="Q128" s="7" t="str">
        <x:v>FC047</x:v>
      </x:c>
      <x:c t="str" r="R128" s="21">
        <x:f>HYPERLINK("https://www.jimtof.org/search/jp/ESdetails?e=K_X61J2xV_w","JIMTOF2026 出展ページ")</x:f>
        <x:v>JIMTOF2026 出展ページ</x:v>
      </x:c>
      <x:c t="str" r="S128" s="21">
        <x:f>HYPERLINK("https://www.jimtof.org/2024/search/jp/ESdetails?e=_4GLIXLZuKE","JIMTOF2024 出展ページ")</x:f>
        <x:v>JIMTOF2024 出展ページ</x:v>
      </x:c>
      <x:c r="T128" s="7" t="str">
        <x:v>EOV-V028-2024-1: https://www.jimtof.org/2024/search/jp/ESdetails?e=_4GLIXLZuKE
該当箇所: main &gt; div.col-md-8.mb-5 の出展紹介、見出し「主な出展物」直後
EOV-V028-2024-2: https://www.jimtof.org/2024/search/jp/ESdetails?e=coHqGCjVn0c
該当箇所: main &gt; div.col-md-8.mb-5 の出展紹介、見出し「主な出展物」直後
EOV-V028-2026-1: https://www.jimtof.org/search/jp/ESdetails?e=K_X61J2xV_w
該当箇所: main &gt; div.col-md-8.mb-5 の出展紹介、見出し「主な出展物」直後</x:v>
      </x:c>
    </x:row>
    <x:row r="129" ht="155" customHeight="1">
      <x:c r="A129" s="7" t="str">
        <x:v>段取り・物理作業</x:v>
      </x:c>
      <x:c r="B129" s="7" t="str">
        <x:v>ワーク・パレット・切粉の搬送</x:v>
      </x:c>
      <x:c r="C129" s="20" t="str">
        <x:v>シマダマシンツール</x:v>
      </x:c>
      <x:c r="D129" s="7" t="str">
        <x:v>HS4200＋レール走行ロボット</x:v>
      </x:c>
      <x:c r="E129" s="7" t="str">
        <x:v>E2018</x:v>
      </x:c>
      <x:c r="F129" s="7" t="str">
        <x:v>ワーク搬入出</x:v>
      </x:c>
      <x:c r="G129" s="7" t="str">
        <x:v>走行範囲を広げ1台で素材・完成品のパレタイジング</x:v>
      </x:c>
      <x:c r="H129" s="7" t="str">
        <x:v>素材・加工品の受渡し作業と機械の待ち時間</x:v>
      </x:c>
      <x:c r="I129" s="7" t="str">
        <x:v>HS4200と機上ロボットのスライドレール搬送を説明</x:v>
      </x:c>
      <x:c r="J129" s="7" t="str">
        <x:v>ガントリーレールで素材・完成品パレタイジングを具体紹介</x:v>
      </x:c>
      <x:c r="K129" s="7" t="str">
        <x:v>出展説明・公式資料の記載比較。初発明年・実演成功・性能向上を証明するものではない。</x:v>
      </x:c>
      <x:c r="L129" s="7" t="str">
        <x:v>比較記録あり</x:v>
      </x:c>
      <x:c r="M129" s="7" t="str">
        <x:v>個別タスク整理</x:v>
      </x:c>
      <x:c r="N129" s="7" t="str"/>
      <x:c r="O129" s="7" t="str">
        <x:v>品種別教示・把持・失敗時の介入範囲は未確認</x:v>
      </x:c>
      <x:c r="P129" s="7" t="str">
        <x:v>JIMTOF2026公式カタログ掲載・現地未確認
2026展示予定・提供段階未確認</x:v>
      </x:c>
      <x:c r="Q129" s="7" t="str">
        <x:v>FC050</x:v>
      </x:c>
      <x:c t="str" r="R129" s="21">
        <x:f>HYPERLINK("https://www.jimtof.org/search/jp/ESdetails?e=xntdeqgs_F4","JIMTOF2026 出展ページ")</x:f>
        <x:v>JIMTOF2026 出展ページ</x:v>
      </x:c>
      <x:c t="str" r="S129" s="21">
        <x:f>HYPERLINK("https://www.jimtof.org/2024/search/jp/ESdetails?e=WZjeoEoTWXw","JIMTOF2024 出展ページ")</x:f>
        <x:v>JIMTOF2024 出展ページ</x:v>
      </x:c>
      <x:c r="T129" s="7" t="str">
        <x:v>EOV-V031-2024-1: https://www.jimtof.org/2024/search/jp/ESdetails?e=WZjeoEoTWXw
該当箇所: main &gt; div.col-md-8.mb-5 の出展紹介、見出し「主な出展物」直後
EOV-V031-2024-2: https://www.jimtof.org/2024/search/jp/ESdetails?e=bLvQhW7XtZw
該当箇所: main &gt; div.col-md-8.mb-5 の出展紹介、見出し「主な出展物」直後
EOV-V031-2026-1: https://www.jimtof.org/search/jp/ESdetails?e=xntdeqgs_F4
該当箇所: main &gt; div.col-md-8.mb-5 の出展紹介、見出し「主な出展物」直後</x:v>
      </x:c>
    </x:row>
    <x:row r="130" ht="155" customHeight="1">
      <x:c r="A130" s="7" t="str">
        <x:v>段取り・物理作業</x:v>
      </x:c>
      <x:c r="B130" s="7" t="str">
        <x:v>ワーク・パレット・切粉の搬送</x:v>
      </x:c>
      <x:c r="C130" s="20" t="str">
        <x:v>Walter Maschinenbau</x:v>
      </x:c>
      <x:c r="D130" s="7" t="str">
        <x:v>ATP：工具製造の工程間搬送</x:v>
      </x:c>
      <x:c r="E130" s="7" t="str">
        <x:v>E8001</x:v>
      </x:c>
      <x:c r="F130" s="7" t="str">
        <x:v>工場内搬送</x:v>
      </x:c>
      <x:c r="G130" s="7" t="str">
        <x:v>ATPで複数の加工・測定工程を接続</x:v>
      </x:c>
      <x:c r="H130" s="7" t="str">
        <x:v>部品・容器等の運搬と、設備間の受渡し・連携の負担</x:v>
      </x:c>
      <x:c r="I130" s="7" t="str">
        <x:v>ATP、他社機連携を掲載</x:v>
      </x:c>
      <x:c r="J130" s="7" t="str">
        <x:v>ATPを日本初公開とするが版・対象の差は不明</x:v>
      </x:c>
      <x:c r="K130" s="7" t="str">
        <x:v>出展説明・公式資料の記載比較。初発明年・実演成功・性能向上を証明するものではない。</x:v>
      </x:c>
      <x:c r="L130" s="7" t="str">
        <x:v>比較記録あり</x:v>
      </x:c>
      <x:c r="M130" s="7" t="str">
        <x:v>個別タスク整理</x:v>
      </x:c>
      <x:c r="N130" s="7" t="str"/>
      <x:c r="O130" s="7" t="str">
        <x:v>機種別連携・工具切替・停止復帰の詳細は未確認</x:v>
      </x:c>
      <x:c r="P130" s="7" t="str">
        <x:v>JIMTOF2026公式カタログ掲載・現地未確認
2026展示予定・提供段階未確認</x:v>
      </x:c>
      <x:c r="Q130" s="7" t="str">
        <x:v>FC055</x:v>
      </x:c>
      <x:c t="str" r="R130" s="21">
        <x:f>HYPERLINK("https://www.jimtof.org/search/jp/ESdetails?e=roSu2EMRXwk","JIMTOF2026 出展ページ")</x:f>
        <x:v>JIMTOF2026 出展ページ</x:v>
      </x:c>
      <x:c t="str" r="S130" s="21">
        <x:f>HYPERLINK("https://www.jimtof.org/2024/search/jp/ESdetails?e=lCRhaAH1JOM","JIMTOF2024 出展ページ")</x:f>
        <x:v>JIMTOF2024 出展ページ</x:v>
      </x:c>
      <x:c r="T130" s="7" t="str">
        <x:v>EOV-V035-2024-1: https://www.jimtof.org/2024/search/jp/ESdetails?e=lCRhaAH1JOM
該当箇所: main &gt; div.col-md-8.mb-5 の出展紹介、見出し「主な出展物」直後
EOV-V035-2026-1: https://www.jimtof.org/search/jp/ESdetails?e=roSu2EMRXwk
該当箇所: main &gt; div.col-md-8.mb-5 の出展紹介、見出し「主な出展物」直後</x:v>
      </x:c>
    </x:row>
    <x:row r="131" ht="155" customHeight="1">
      <x:c r="A131" s="7" t="str">
        <x:v>段取り・物理作業</x:v>
      </x:c>
      <x:c r="B131" s="7" t="str">
        <x:v>ワーク・パレット・切粉の搬送</x:v>
      </x:c>
      <x:c r="C131" s="20" t="str">
        <x:v>三菱商事テクノス</x:v>
      </x:c>
      <x:c r="D131" s="7" t="str">
        <x:v>ロボット＋AMRの工程間連携デモ</x:v>
      </x:c>
      <x:c r="E131" s="7" t="str">
        <x:v>S3100</x:v>
      </x:c>
      <x:c r="F131" s="7" t="str">
        <x:v>工場内搬送</x:v>
      </x:c>
      <x:c r="G131" s="7" t="str">
        <x:v>工程を止めずにワークをつなぐ連携デモを予告</x:v>
      </x:c>
      <x:c r="H131" s="7" t="str">
        <x:v>部品・容器等の運搬と、設備間の受渡し・連携の負担</x:v>
      </x:c>
      <x:c r="I131" s="7" t="str">
        <x:v>Mech Mind×FANUCのビジョン、S-CART、重量物RGV等を個別掲載</x:v>
      </x:c>
      <x:c r="J131" s="7" t="str">
        <x:v>2026はロボットとAMRの連携を具体展示しフィジカルAIと呼ぶ</x:v>
      </x:c>
      <x:c r="K131" s="7" t="str">
        <x:v>出展説明・公式資料の記載比較。初発明年・実演成功・性能向上を証明するものではない。</x:v>
      </x:c>
      <x:c r="L131" s="7" t="str">
        <x:v>比較記録あり</x:v>
      </x:c>
      <x:c r="M131" s="7" t="str">
        <x:v>個別タスク整理</x:v>
      </x:c>
      <x:c r="N131" s="7" t="str"/>
      <x:c r="O131" s="7" t="str">
        <x:v>ロボットとAMR間の位置合わせ・待合せ・エラー対処とAIの担当は未確認</x:v>
      </x:c>
      <x:c r="P131" s="7" t="str">
        <x:v>JIMTOF2026公式カタログ掲載・現地未確認
連携デモ予定・AIの担当範囲未特定</x:v>
      </x:c>
      <x:c r="Q131" s="7" t="str">
        <x:v>FC067</x:v>
      </x:c>
      <x:c t="str" r="R131" s="21">
        <x:f>HYPERLINK("https://www.jimtof.org/search/jp/ESdetails?e=YIwM2AR4N4M","JIMTOF2026 出展ページ")</x:f>
        <x:v>JIMTOF2026 出展ページ</x:v>
      </x:c>
      <x:c t="str" r="S131" s="21">
        <x:f>HYPERLINK("https://www.jimtof.org/2024/search/jp/ESdetails?e=jSH3JMqQ0XA","JIMTOF2024 出展ページ")</x:f>
        <x:v>JIMTOF2024 出展ページ</x:v>
      </x:c>
      <x:c r="T131" s="7" t="str">
        <x:v>EAT-V044-2024-1: https://www.jimtof.org/2024/search/jp/ESdetails?e=jSH3JMqQ0XA
該当箇所: 出展紹介・主な出展物（カードの製品名・機能語で検索）
EAT-V044-2026-1: https://www.jimtof.org/search/jp/ESdetails?e=YIwM2AR4N4M
該当箇所: 出展紹介・主な出展物（カードの製品名・機能語で検索）</x:v>
      </x:c>
    </x:row>
    <x:row r="132" ht="155" customHeight="1">
      <x:c r="A132" s="7" t="str">
        <x:v>段取り・物理作業</x:v>
      </x:c>
      <x:c r="B132" s="7" t="str">
        <x:v>ワーク・パレット・切粉の搬送</x:v>
      </x:c>
      <x:c r="C132" s="20" t="str">
        <x:v>愛知産業株式会社</x:v>
      </x:c>
      <x:c r="D132" s="7" t="str">
        <x:v>1）ハームレ C 12 GEN2＋ロボット自動化システム RS 05-2</x:v>
      </x:c>
      <x:c r="E132" s="7" t="str">
        <x:v>E2024</x:v>
      </x:c>
      <x:c r="F132" s="7" t="str">
        <x:v>ワーク・パレット・切粉の搬送 ／ 自動加工セル・工程集約</x:v>
      </x:c>
      <x:c r="G132" s="7" t="str">
        <x:v>原典抜粋：ハームレ社の「C 12 GEN2」と、ロボット自動化システム「RS 05-2」による、省スペース5軸自動加工ラインをご紹介します。 / RS 05-2は設置面積わずか2m²で、6軸ロボットが工作機械・ストレージと連携し、単品ストレージ、引き出しストレージ、パレットストレージなど様々な構成を選択できます。 / 1）ハームレ C 12 GEN2＋ロボット自動化システム RS 05-2 / ドイツ・ハームレ社の5軸マシニングセンタ「C 12 </x:v>
      </x:c>
      <x:c r="H132" s="7" t="str">
        <x:v>品種・量の変化に合わせて人の供給往復を減らす。 ／ 設備間の持替えや繰返し作業が、人手・待ち時間・品質差につながる。</x:v>
      </x:c>
      <x:c r="I132" s="7" t="str">
        <x:v>2024原典抜粋：＜システム＞ 金属3Dプリンタ分野で技術の黎明期より注目し、AMシステムでは、ドイツ SLMソリューションズ社のパウダーベッドフュージョン方式のSLM、電子ビームによるEBAM、ワイヤーアークによるWAAM、レーザディポジションLMDなど幅広い選択肢をご用意しております。 ＜マテリアル＞ ポーランド 3Dラボ社の小型パウダーアトマイズシステムをご提案します。 ＜デザイン・製造技術＞ 愛知産業の長年培ったノウハウでのコンサルティングや、試作サービスを行っております。 ＜ドイツ ニコンSLMソリューションズ社 レーザ溶</x:v>
      </x:c>
      <x:c r="J132" s="7" t="str">
        <x:v>2026原典抜粋：ハームレ社の「C 12 GEN2」と、ロボット自動化システム「RS 05-2」による、省スペース5軸自動加工ラインをご紹介します。 / RS 05-2は設置面積わずか2m²で、6軸ロボットが工作機械・ストレージと連携し、単品ストレージ、引き出しストレージ、パレットストレージなど様々な構成を選択できます。 / 1）ハームレ C 12 GEN2＋ロボット自動化システム RS 05-2 / ドイツ・ハームレ社の5軸マシニングセンタ「C 12 </x:v>
      </x:c>
      <x:c r="K132" s="7" t="str">
        <x:v>原典記述の対照。個別機能の追加・性能差・初登場年は未判定。</x:v>
      </x:c>
      <x:c r="L132" s="7" t="str">
        <x:v>両年説明あり・機能差未判定</x:v>
      </x:c>
      <x:c r="M132" s="7" t="str">
        <x:v>出展説明の一次分類</x:v>
      </x:c>
      <x:c r="N132" s="7" t="str"/>
      <x:c r="O132" s="7" t="str">
        <x:v>承認・例外対応・停止・復帰の境界は未確認</x:v>
      </x:c>
      <x:c r="P132" s="7" t="str">
        <x:v>2026公式カタログ掲載・現地未確認
2026展示予定。既存製品・参考出展・構想等は原典で個別確認</x:v>
      </x:c>
      <x:c r="Q132" s="7" t="str">
        <x:v>AC001</x:v>
      </x:c>
      <x:c t="str" r="R132" s="21">
        <x:f>HYPERLINK("https://www.jimtof.org/search/jp/ESdetails?e=Yl0biW0wGYQ","JIMTOF2026 出展ページ")</x:f>
        <x:v>JIMTOF2026 出展ページ</x:v>
      </x:c>
      <x:c t="str" r="S132" s="21">
        <x:f>HYPERLINK("https://www.jimtof.org/2024/search/jp/ESdetails?e=IEkaqwch5ys","JIMTOF2024 出展ページ")</x:f>
        <x:v>JIMTOF2024 出展ページ</x:v>
      </x:c>
      <x:c r="T132" s="7" t="str">
        <x:v>EEX-EXH-2026-48e2386f5fc453a1: https://www.jimtof.org/search/jp/ESdetails?e=Yl0biW0wGYQ
該当箇所: 出展紹介・主な出展物。追加カードの原典抜粋で検索
EEX-EXH-2024-37c22841d48e3e8a: https://www.jimtof.org/2024/search/jp/ESdetails?e=IEkaqwch5ys
該当箇所: 出展紹介・主な出展物。追加カードの原典抜粋で検索
EEX-EXH-2024-70e71aea00af46ab: https://www.jimtof.org/2024/search/jp/ESdetails?e=fQIZuGa3hGk
該当箇所: 出展紹介・主な出展物。追加カードの原典抜粋で検索</x:v>
      </x:c>
    </x:row>
    <x:row r="133" ht="155" customHeight="1">
      <x:c r="A133" s="7" t="str">
        <x:v>段取り・物理作業</x:v>
      </x:c>
      <x:c r="B133" s="7" t="str">
        <x:v>ワーク・パレット・切粉の搬送</x:v>
      </x:c>
      <x:c r="C133" s="20" t="str">
        <x:v>株式会社アビコ技術研究所</x:v>
      </x:c>
      <x:c r="D133" s="7" t="str">
        <x:v>ウォーターレーザー加工機　ND-10LA</x:v>
      </x:c>
      <x:c r="E133" s="7" t="str">
        <x:v>S2008</x:v>
      </x:c>
      <x:c r="F133" s="7" t="str">
        <x:v>ワーク・パレット・切粉の搬送</x:v>
      </x:c>
      <x:c r="G133" s="7" t="str">
        <x:v>原典抜粋：チルトテーブル「ゼロTYPE-0C」、ロボットストッカー「AL-1」なども出展します。 / ロボットストッカー　AL-1</x:v>
      </x:c>
      <x:c r="H133" s="7" t="str">
        <x:v>品種・量の変化に合わせて人の供給往復を減らす。</x:v>
      </x:c>
      <x:c r="I133" s="7" t="str">
        <x:v>2024原典抜粋：ベアリング軌道面を超精密に研削できる「GM-10」を初出展いたします！LMガイド、ロボットチャック、スプライン溝研削などに最適です。 その他に超精密グライディングセンタ「AUM-10」、超精密ダイヤモンド工具研磨機「MB-20」、チルトテーブル「ゼロTYPE-0C」なども出展します。 ダイヤモンド工具の超精密研磨・ベアリング軌道面の超精密な溝研磨に興味のある方、是非お立ちよりください。 精密溝研削盤 GM-10 超精密微細加工機 AUM-10 超精密ダイヤモンド工具研磨機 MB-20 CNCチルトテーブル Type</x:v>
      </x:c>
      <x:c r="J133" s="7" t="str">
        <x:v>2026原典抜粋：チルトテーブル「ゼロTYPE-0C」、ロボットストッカー「AL-1」なども出展します。 / ロボットストッカー　AL-1</x:v>
      </x:c>
      <x:c r="K133" s="7" t="str">
        <x:v>原典記述の対照。個別機能の追加・性能差・初登場年は未判定。</x:v>
      </x:c>
      <x:c r="L133" s="7" t="str">
        <x:v>両年説明あり・機能差未判定</x:v>
      </x:c>
      <x:c r="M133" s="7" t="str">
        <x:v>出展説明の一次分類</x:v>
      </x:c>
      <x:c r="N133" s="7" t="str"/>
      <x:c r="O133" s="7" t="str">
        <x:v>承認・例外対応・停止・復帰の境界は未確認</x:v>
      </x:c>
      <x:c r="P133" s="7" t="str">
        <x:v>2026公式カタログ掲載・現地未確認
2026展示予定。既存製品・参考出展・構想等は原典で個別確認</x:v>
      </x:c>
      <x:c r="Q133" s="7" t="str">
        <x:v>AC009</x:v>
      </x:c>
      <x:c t="str" r="R133" s="21">
        <x:f>HYPERLINK("https://www.jimtof.org/search/jp/ESdetails?e=FM2ZTtdHV5w","JIMTOF2026 出展ページ")</x:f>
        <x:v>JIMTOF2026 出展ページ</x:v>
      </x:c>
      <x:c t="str" r="S133" s="21">
        <x:f>HYPERLINK("https://www.jimtof.org/2024/search/jp/ESdetails?e=j5gLefJy6e8","JIMTOF2024 出展ページ")</x:f>
        <x:v>JIMTOF2024 出展ページ</x:v>
      </x:c>
      <x:c r="T133" s="7" t="str">
        <x:v>EEX-EXH-2026-ad740d16e5bf8aeb: https://www.jimtof.org/search/jp/ESdetails?e=FM2ZTtdHV5w
該当箇所: 出展紹介・主な出展物。追加カードの原典抜粋で検索
EEX-EXH-2024-9978a6cc726ef068: https://www.jimtof.org/2024/search/jp/ESdetails?e=j5gLefJy6e8
該当箇所: 出展紹介・主な出展物。追加カードの原典抜粋で検索</x:v>
      </x:c>
    </x:row>
    <x:row r="134" ht="155" customHeight="1">
      <x:c r="A134" s="7" t="str">
        <x:v>段取り・物理作業</x:v>
      </x:c>
      <x:c r="B134" s="7" t="str">
        <x:v>ワーク・パレット・切粉の搬送</x:v>
      </x:c>
      <x:c r="C134" s="20" t="str">
        <x:v>安藤株式会社</x:v>
      </x:c>
      <x:c r="D134" s="7" t="str">
        <x:v>中国発の協働ロボット『FARINO』は、圧倒的な低コストと直感操作で現場の自動化を加速。人との共存を実現する高い安全性を備えています。</x:v>
      </x:c>
      <x:c r="E134" s="7" t="str">
        <x:v>S3034</x:v>
      </x:c>
      <x:c r="F134" s="7" t="str">
        <x:v>ワーク・パレット・切粉の搬送</x:v>
      </x:c>
      <x:c r="G134" s="7" t="str">
        <x:v>原典抜粋：注目は、高いコストパフォーマンスと直感的な操作性を兼ね備えた「FAIRINO」協働ロボットによる溶接デモンストレーションです。 / 深刻な人手不足が続く溶接工程の自動化を、圧倒的な導入しやすさで強力に後押しします。 / ワーク供給の自動化コストを大幅に抑制します。 / そして、今後のヒューマノイドロボット制御や高度な動作解析・位置補正の現場に欠かせない技術として「CHING MU」の高精度モーションキャプチャシステムを展示。 / 中国発</x:v>
      </x:c>
      <x:c r="H134" s="7" t="str">
        <x:v>品種・量の変化に合わせて人の供給往復を減らす。</x:v>
      </x:c>
      <x:c r="I134" s="7" t="str">
        <x:v>同一正規化名称の2024詳細なし。新規出展・技術不存在とは判断しない。</x:v>
      </x:c>
      <x:c r="J134" s="7" t="str">
        <x:v>2026原典抜粋：注目は、高いコストパフォーマンスと直感的な操作性を兼ね備えた「FAIRINO」協働ロボットによる溶接デモンストレーションです。 / 深刻な人手不足が続く溶接工程の自動化を、圧倒的な導入しやすさで強力に後押しします。 / ワーク供給の自動化コストを大幅に抑制します。 / そして、今後のヒューマノイドロボット制御や高度な動作解析・位置補正の現場に欠かせない技術として「CHING MU」の高精度モーションキャプチャシステムを展示。 / 中国発</x:v>
      </x:c>
      <x:c r="K134" s="7" t="str">
        <x:v>原典記述の対照。個別機能の追加・性能差・初登場年は未判定。</x:v>
      </x:c>
      <x:c r="L134" s="7" t="str">
        <x:v>年度資料不足・比較不能</x:v>
      </x:c>
      <x:c r="M134" s="7" t="str">
        <x:v>出展説明の一次分類</x:v>
      </x:c>
      <x:c r="N134" s="7" t="str"/>
      <x:c r="O134" s="7" t="str">
        <x:v>承認・例外対応・停止・復帰の境界は未確認</x:v>
      </x:c>
      <x:c r="P134" s="7" t="str">
        <x:v>2026公式カタログ掲載・現地未確認
2026展示予定。既存製品・参考出展・構想等は原典で個別確認</x:v>
      </x:c>
      <x:c r="Q134" s="7" t="str">
        <x:v>AC013</x:v>
      </x:c>
      <x:c t="str" r="R134" s="21">
        <x:f>HYPERLINK("https://www.jimtof.org/search/jp/ESdetails?e=E-sJ8QNrgW0","JIMTOF2026 出展ページ")</x:f>
        <x:v>JIMTOF2026 出展ページ</x:v>
      </x:c>
      <x:c r="S134" s="21" t="str"/>
      <x:c r="T134" s="7" t="str">
        <x:v>EEX-EXH-2026-af594372ce986f00: https://www.jimtof.org/search/jp/ESdetails?e=E-sJ8QNrgW0
該当箇所: 出展紹介・主な出展物。追加カードの原典抜粋で検索</x:v>
      </x:c>
    </x:row>
    <x:row r="135" ht="155" customHeight="1">
      <x:c r="A135" s="7" t="str">
        <x:v>段取り・物理作業</x:v>
      </x:c>
      <x:c r="B135" s="7" t="str">
        <x:v>ワーク・パレット・切粉の搬送</x:v>
      </x:c>
      <x:c r="C135" s="20" t="str">
        <x:v>伊藤忠マシンテクノス株式会社</x:v>
      </x:c>
      <x:c r="D135" s="7" t="str">
        <x:v>ELHA社(ドイツ)大型特注工作機械　https://www.elha.de/ja/</x:v>
      </x:c>
      <x:c r="E135" s="7" t="str">
        <x:v>E1002</x:v>
      </x:c>
      <x:c r="F135" s="7" t="str">
        <x:v>ワーク・パレット・切粉の搬送 ／ デジタルツイン・物理学習用データ ／ 展示段階と自律化の境界</x:v>
      </x:c>
      <x:c r="G135" s="7" t="str">
        <x:v>原典抜粋：本展示では、加工機単体の提案に留まらず、超重量AGV等を用いた「自動搬送システム」や、最先端AIテクノロジーを活用した「Physical AI・Iot,DXへのAI活用」など次世代のスマートファクトリー実現に向けた最新商材を幅広くラインナップしています。 / 加工・自動化・AI・DXの最新トレンドを体感できるブースへ、ぜひお越しください。 / ・ロボットリアルタイムティーチングソフト / ・Physical AI　二次開発&amp;統合システム</x:v>
      </x:c>
      <x:c r="H135" s="7" t="str">
        <x:v>品種・量の変化に合わせて人の供給往復を減らす。 ／ 仮想上での確認・学習と実機の結果をつなぐための準備。 ／ 人型やAIという名称だけでは任せられる仕事を判断できない。</x:v>
      </x:c>
      <x:c r="I135" s="7" t="str">
        <x:v>2024原典抜粋：今回出展するのは独自のアイデアを持った欧州メーカーを中心に出展します。 ELHA/ドイツ テーブルトラバーストランスファーマシン ・多数個取り同時加工 ・自由度の高いプロダクションモジュールを搭載、ATC可能 パラレルタイプマシニングセンタ ・大型ワークに最適（ギガキャスト、バッテリートレイ、シャーシ等） ・ATC可能 ターニング ・SSDリニアテーブル(割出精度1sec) ・C軸同期で5面加工機と同機能実現 FAMAR/イタリア 縦型逆さ複合旋盤 ・ワーク搬送時間短縮、省スペース ・旋削、穴あけ、ミーリング、ハー</x:v>
      </x:c>
      <x:c r="J135" s="7" t="str">
        <x:v>2026原典抜粋：本展示では、加工機単体の提案に留まらず、超重量AGV等を用いた「自動搬送システム」や、最先端AIテクノロジーを活用した「Physical AI・Iot,DXへのAI活用」など次世代のスマートファクトリー実現に向けた最新商材を幅広くラインナップしています。 / 加工・自動化・AI・DXの最新トレンドを体感できるブースへ、ぜひお越しください。 / ・ロボットリアルタイムティーチングソフト / ・Physical AI　二次開発&amp;統合システム</x:v>
      </x:c>
      <x:c r="K135" s="7" t="str">
        <x:v>原典記述の対照。個別機能の追加・性能差・初登場年は未判定。</x:v>
      </x:c>
      <x:c r="L135" s="7" t="str">
        <x:v>両年説明あり・機能差未判定</x:v>
      </x:c>
      <x:c r="M135" s="7" t="str">
        <x:v>出展説明の一次分類</x:v>
      </x:c>
      <x:c r="N135" s="7" t="str"/>
      <x:c r="O135" s="7" t="str">
        <x:v>承認・例外対応・停止・復帰の境界は未確認</x:v>
      </x:c>
      <x:c r="P135" s="7" t="str">
        <x:v>2026公式カタログ掲載・現地未確認
2026展示予定。既存製品・参考出展・構想等は原典で個別確認</x:v>
      </x:c>
      <x:c r="Q135" s="7" t="str">
        <x:v>AC019</x:v>
      </x:c>
      <x:c t="str" r="R135" s="21">
        <x:f>HYPERLINK("https://www.jimtof.org/search/jp/ESdetails?e=7ypX6WR51KU","JIMTOF2026 出展ページ")</x:f>
        <x:v>JIMTOF2026 出展ページ</x:v>
      </x:c>
      <x:c t="str" r="S135" s="21">
        <x:f>HYPERLINK("https://www.jimtof.org/2024/search/jp/ESdetails?e=oAJf-RFYInA","JIMTOF2024 出展ページ")</x:f>
        <x:v>JIMTOF2024 出展ページ</x:v>
      </x:c>
      <x:c r="T135" s="7" t="str">
        <x:v>EEX-EXH-2026-41dc1e5513fe9737: https://www.jimtof.org/search/jp/ESdetails?e=7ypX6WR51KU
該当箇所: 出展紹介・主な出展物。追加カードの原典抜粋で検索
EEX-EXH-2024-67725eabe6ec70b8: https://www.jimtof.org/2024/search/jp/ESdetails?e=oAJf-RFYInA
該当箇所: 出展紹介・主な出展物。追加カードの原典抜粋で検索</x:v>
      </x:c>
    </x:row>
    <x:row r="136" ht="155" customHeight="1">
      <x:c r="A136" s="7" t="str">
        <x:v>段取り・物理作業</x:v>
      </x:c>
      <x:c r="B136" s="7" t="str">
        <x:v>ワーク・パレット・切粉の搬送</x:v>
      </x:c>
      <x:c r="C136" s="20" t="str">
        <x:v>FNS株式会社</x:v>
      </x:c>
      <x:c r="D136" s="7" t="str">
        <x:v>TM-2800：AMR・ロボット・加工機の統合</x:v>
      </x:c>
      <x:c r="E136" s="7" t="str">
        <x:v>E2034</x:v>
      </x:c>
      <x:c r="F136" s="7" t="str">
        <x:v>ワーク・パレット・切粉の搬送 ／ 工場データ・計画・資源の連携</x:v>
      </x:c>
      <x:c r="G136" s="7" t="str">
        <x:v>TM-2800の工程指示・統合制御の説明。AIによる再計画・最適化の有無は未特定</x:v>
      </x:c>
      <x:c r="H136" s="7" t="str">
        <x:v>品種・量の変化に合わせて人の供給往復を減らす。 ／ 現物・工具マスター・進捗が分断し変更に追従しにくい。</x:v>
      </x:c>
      <x:c r="I136" s="7" t="str">
        <x:v>2024はRK510のストッカー・2D位置補正・ハンド交換と加工機接続。</x:v>
      </x:c>
      <x:c r="J136" s="7" t="str">
        <x:v>2026は高層ストッカーTM-2800を起点にAMR・ロボット・加工機を統合制御する提案。</x:v>
      </x:c>
      <x:c r="K136" s="7" t="str">
        <x:v>セル内供給から工程間統合へ対象拡大を記載。再計画・未知例外対応は未確認。</x:v>
      </x:c>
      <x:c r="L136" s="7" t="str">
        <x:v>両年説明あり・機能差未判定</x:v>
      </x:c>
      <x:c r="M136" s="7" t="str">
        <x:v>出展説明の一次分類</x:v>
      </x:c>
      <x:c r="N136" s="7" t="str"/>
      <x:c r="O136" s="7" t="str">
        <x:v>事前準備：公式出展説明：人が投入・スケジューリング。企業製品ページは旧RK510等の構成まで／承認：未記載：統合指示・計画変更の承認、機器間の権限／例外対応：未記載：AMR遅延・加工機停止・仕掛品欠品での再計画と復帰</x:v>
      </x:c>
      <x:c r="P136" s="7" t="str">
        <x:v>2026公式カタログ掲載・現地未確認
2026展示予定。既存製品・参考出展・構想等は原典で個別確認</x:v>
      </x:c>
      <x:c r="Q136" s="7" t="str">
        <x:v>AC039</x:v>
      </x:c>
      <x:c t="str" r="R136" s="21">
        <x:f>HYPERLINK("https://www.jimtof.org/search/jp/ESdetails?e=_q_YetP8_og","JIMTOF2026 出展ページ")</x:f>
        <x:v>JIMTOF2026 出展ページ</x:v>
      </x:c>
      <x:c t="str" r="S136" s="21">
        <x:f>HYPERLINK("https://www.jimtof.org/2024/search/jp/ESdetails?e=LRKay8iRNz4","JIMTOF2024 出展ページ")</x:f>
        <x:v>JIMTOF2024 出展ページ</x:v>
      </x:c>
      <x:c r="T136" s="7" t="str">
        <x:v>EEX-EXH-2026-9022dcaec2b02dde: https://www.jimtof.org/search/jp/ESdetails?e=_q_YetP8_og
該当箇所: 出展紹介・主な出展物。追加カードの原典抜粋で検索
EEX-EXH-2024-caa95a5ce916176b: https://www.jimtof.org/2024/search/jp/ESdetails?e=LRKay8iRNz4
該当箇所: 出展紹介・主な出展物。追加カードの原典抜粋で検索
EDP-25: https://www.fns-inc.jp/%E3%83%AD%E3%83%9C%E3%83%83%E3%83%88%E3%82%B7%E3%82%B9%E3%83%86%E3%83%A0
該当箇所: RK510：FANUC CRX-10iA・2段ストッカー・CNCマクロ変数・カメラオプション</x:v>
      </x:c>
    </x:row>
    <x:row r="137" ht="155" customHeight="1">
      <x:c r="A137" s="7" t="str">
        <x:v>段取り・物理作業</x:v>
      </x:c>
      <x:c r="B137" s="7" t="str">
        <x:v>ワーク・パレット・切粉の搬送</x:v>
      </x:c>
      <x:c r="C137" s="20" t="str">
        <x:v>株式会社MSTコーポレーション</x:v>
      </x:c>
      <x:c r="D137" s="7" t="str">
        <x:v>「ミーリング加工 用 焼ばめホルダ　ミルボアでの高精度穴加工」「アングルヘッドハーフでの工程集約」「スリムラインによる加工の高能率化」「スマートグリッ</x:v>
      </x:c>
      <x:c r="E137" s="7" t="str">
        <x:v>W2011</x:v>
      </x:c>
      <x:c r="F137" s="7" t="str">
        <x:v>ワーク・パレット・切粉の搬送</x:v>
      </x:c>
      <x:c r="G137" s="7" t="str">
        <x:v>原典抜粋：ツールホルダの効果的な活用方法と使用した際の加工改善、アングルヘッドの一軸付加による工程集約、高精度な穴加工がスキルレスで実践できる加工、新発想の天吊りロボット式で脱着が自由自在なワークストッカー、それらと自動化にも多品種ワークにも対応できるHSKワーククランプ治具システムを組合わせた実演を立形マシニングセンタで行ないます。 / 「ミーリング加工 用 焼ばめホルダ　ミルボアでの高精度穴加工」「アングルヘッドハーフでの工程集約」「スリムラ</x:v>
      </x:c>
      <x:c r="H137" s="7" t="str">
        <x:v>品種・量の変化に合わせて人の供給往復を減らす。</x:v>
      </x:c>
      <x:c r="I137" s="7" t="str">
        <x:v>2024原典抜粋：ツールホルダを活用することによる加工改善、アングルヘッドによる工程集約、高精度な穴加工がスキルレスで実践できる加工方法、HSKワーククランプ治具システムを活用した多品種ワークに対応できる自動化など、マシニングセンタを使用して実演を行ないます。 合わせて、高精度加工を実現する上で重要となる工場環境の最適化につながるツールホルダのメンテナンスについて提案します。 「来場される方にとって、明日から使えるヒントが得られる」をテーマに展示や実演を通して情報発信を行ないます。 最新マシニングセンタを使用した「ミルボアでの高精度</x:v>
      </x:c>
      <x:c r="J137" s="7" t="str">
        <x:v>2026原典抜粋：ツールホルダの効果的な活用方法と使用した際の加工改善、アングルヘッドの一軸付加による工程集約、高精度な穴加工がスキルレスで実践できる加工、新発想の天吊りロボット式で脱着が自由自在なワークストッカー、それらと自動化にも多品種ワークにも対応できるHSKワーククランプ治具システムを組合わせた実演を立形マシニングセンタで行ないます。 / 「ミーリング加工 用 焼ばめホルダ　ミルボアでの高精度穴加工」「アングルヘッドハーフでの工程集約」「スリムラ</x:v>
      </x:c>
      <x:c r="K137" s="7" t="str">
        <x:v>原典記述の対照。個別機能の追加・性能差・初登場年は未判定。</x:v>
      </x:c>
      <x:c r="L137" s="7" t="str">
        <x:v>両年説明あり・機能差未判定</x:v>
      </x:c>
      <x:c r="M137" s="7" t="str">
        <x:v>出展説明の一次分類</x:v>
      </x:c>
      <x:c r="N137" s="7" t="str"/>
      <x:c r="O137" s="7" t="str">
        <x:v>承認・例外対応・停止・復帰の境界は未確認</x:v>
      </x:c>
      <x:c r="P137" s="7" t="str">
        <x:v>2026公式カタログ掲載・現地未確認
2026展示予定。既存製品・参考出展・構想等は原典で個別確認</x:v>
      </x:c>
      <x:c r="Q137" s="7" t="str">
        <x:v>AC040</x:v>
      </x:c>
      <x:c t="str" r="R137" s="21">
        <x:f>HYPERLINK("https://www.jimtof.org/search/jp/ESdetails?e=SJ1uP-anpRI","JIMTOF2026 出展ページ")</x:f>
        <x:v>JIMTOF2026 出展ページ</x:v>
      </x:c>
      <x:c t="str" r="S137" s="21">
        <x:f>HYPERLINK("https://www.jimtof.org/2024/search/jp/ESdetails?e=tThKOA-gm8s","JIMTOF2024 出展ページ")</x:f>
        <x:v>JIMTOF2024 出展ページ</x:v>
      </x:c>
      <x:c r="T137" s="7" t="str">
        <x:v>EEX-EXH-2026-f74dba1a90bb7c60: https://www.jimtof.org/search/jp/ESdetails?e=SJ1uP-anpRI
該当箇所: 出展紹介・主な出展物。追加カードの原典抜粋で検索
EEX-EXH-2024-99945bed1e58b8ce: https://www.jimtof.org/2024/search/jp/ESdetails?e=tThKOA-gm8s
該当箇所: 出展紹介・主な出展物。追加カードの原典抜粋で検索</x:v>
      </x:c>
    </x:row>
    <x:row r="138" ht="155" customHeight="1">
      <x:c r="A138" s="7" t="str">
        <x:v>段取り・物理作業</x:v>
      </x:c>
      <x:c r="B138" s="7" t="str">
        <x:v>ワーク・パレット・切粉の搬送</x:v>
      </x:c>
      <x:c r="C138" s="20" t="str">
        <x:v>エンシュウ株式会社</x:v>
      </x:c>
      <x:c r="D138" s="7" t="str">
        <x:v>「3つの技術の融合」をテーマに、エンシュウは「工作機械メーカー × SIer × 量産部品加工メーカー」の3つの技術と機能を融合し、製造現場が直面する</x:v>
      </x:c>
      <x:c r="E138" s="7" t="str">
        <x:v>E3027</x:v>
      </x:c>
      <x:c r="F138" s="7" t="str">
        <x:v>ワーク・パレット・切粉の搬送 ／ 工場データ・計画・資源の連携 ／ 自動加工セル・工程集約</x:v>
      </x:c>
      <x:c r="G138" s="7" t="str">
        <x:v>原典抜粋：「3つの技術の融合」をテーマに、エンシュウは「工作機械メーカー × SIer × 量産部品加工メーカー」の3つの技術と機能を融合し、製造現場が直面する「自動化」「デジタル化」「省エネ」の課題に新たな価値を提案します。 / 今回の展示では、①横形マシニングセンタJE50Sコンセプトモデルによる「工作機械×デジタル」、②Mobile Robotによるモノと情報をつなぐ物流自動化、③量産部品加工で培った生産性と品質を両立する“実践技術”をご紹</x:v>
      </x:c>
      <x:c r="H138" s="7" t="str">
        <x:v>品種・量の変化に合わせて人の供給往復を減らす。 ／ 現物・工具マスター・進捗が分断し変更に追従しにくい。 ／ 設備間の持替えや繰返し作業が、人手・待ち時間・品質差につながる。</x:v>
      </x:c>
      <x:c r="I138" s="7" t="str">
        <x:v>2024原典抜粋：「Diverse technology Enshu」をテーマに掲げ、お客様の工場において多様化するモノづくりに対し、お客様の課題に合うソリューションを提案いたします。今回の展示あたっては、マシニングセンタを4台、溶接機を1台出展いたします。マシニングセンタでは、①ご好評を頂いている横形マシニングセンタGE480Hのバージョンアップモデル、②多品種混流生産向けに省力化、省人化技術提案として自動搬送付きマシニングセンタWE30Vとストッカーの組合せ例、③精密部品・半導体・医療関係向けに小型マシニングセンタSV130の5</x:v>
      </x:c>
      <x:c r="J138" s="7" t="str">
        <x:v>2026原典抜粋：「3つの技術の融合」をテーマに、エンシュウは「工作機械メーカー × SIer × 量産部品加工メーカー」の3つの技術と機能を融合し、製造現場が直面する「自動化」「デジタル化」「省エネ」の課題に新たな価値を提案します。 / 今回の展示では、①横形マシニングセンタJE50Sコンセプトモデルによる「工作機械×デジタル」、②Mobile Robotによるモノと情報をつなぐ物流自動化、③量産部品加工で培った生産性と品質を両立する“実践技術”をご紹</x:v>
      </x:c>
      <x:c r="K138" s="7" t="str">
        <x:v>原典記述の対照。個別機能の追加・性能差・初登場年は未判定。</x:v>
      </x:c>
      <x:c r="L138" s="7" t="str">
        <x:v>両年説明あり・機能差未判定</x:v>
      </x:c>
      <x:c r="M138" s="7" t="str">
        <x:v>出展説明の一次分類</x:v>
      </x:c>
      <x:c r="N138" s="7" t="str"/>
      <x:c r="O138" s="7" t="str">
        <x:v>承認・例外対応・停止・復帰の境界は未確認</x:v>
      </x:c>
      <x:c r="P138" s="7" t="str">
        <x:v>2026公式カタログ掲載・現地未確認
2026展示予定。既存製品・参考出展・構想等は原典で個別確認</x:v>
      </x:c>
      <x:c r="Q138" s="7" t="str">
        <x:v>AC041</x:v>
      </x:c>
      <x:c t="str" r="R138" s="21">
        <x:f>HYPERLINK("https://www.jimtof.org/search/jp/ESdetails?e=fPfTIEegDHY","JIMTOF2026 出展ページ")</x:f>
        <x:v>JIMTOF2026 出展ページ</x:v>
      </x:c>
      <x:c t="str" r="S138" s="21">
        <x:f>HYPERLINK("https://www.jimtof.org/2024/search/jp/ESdetails?e=3oUCCObcIv4","JIMTOF2024 出展ページ")</x:f>
        <x:v>JIMTOF2024 出展ページ</x:v>
      </x:c>
      <x:c r="T138" s="7" t="str">
        <x:v>EEX-EXH-2026-0e942b9436bf5d6c: https://www.jimtof.org/search/jp/ESdetails?e=fPfTIEegDHY
該当箇所: 出展紹介・主な出展物。追加カードの原典抜粋で検索
EEX-EXH-2024-1a36e44614911fa1: https://www.jimtof.org/2024/search/jp/ESdetails?e=3oUCCObcIv4
該当箇所: 出展紹介・主な出展物。追加カードの原典抜粋で検索</x:v>
      </x:c>
    </x:row>
    <x:row r="139" ht="155" customHeight="1">
      <x:c r="A139" s="7" t="str">
        <x:v>段取り・物理作業</x:v>
      </x:c>
      <x:c r="B139" s="7" t="str">
        <x:v>ワーク・パレット・切粉の搬送</x:v>
      </x:c>
      <x:c r="C139" s="20" t="str">
        <x:v>キタムラ機械株式会社</x:v>
      </x:c>
      <x:c r="D139" s="7" t="str">
        <x:v>同時5軸制御横形マシニングセンタ SUPERCELL-400Gα 12面パレットチェンジャー</x:v>
      </x:c>
      <x:c r="E139" s="7" t="str">
        <x:v>E2030</x:v>
      </x:c>
      <x:c r="F139" s="7" t="str">
        <x:v>ワーク・パレット・切粉の搬送</x:v>
      </x:c>
      <x:c r="G139" s="7" t="str">
        <x:v>原典抜粋：「Machining Challenges-Simplified」をスローガンに掲げ、自動化機能と拡張性を兼ね備えた最新鋭機を出品致します。 / 顧客の投資負担を軽減し、当社最大の特徴である高剛性・高精度・長寿命による付加価値を最大化し、標準機で使い慣れた後に、必要な機能を追加する「失敗しない自動化投資」をアピールします。</x:v>
      </x:c>
      <x:c r="H139" s="7" t="str">
        <x:v>品種・量の変化に合わせて人の供給往復を減らす。</x:v>
      </x:c>
      <x:c r="I139" s="7" t="str">
        <x:v>2024原典抜粋：近年、製造業における人手不足から省力化・自動化の要求が深まっている中で、今回出展するマシニングセンタは、初期投資を抑えた自動化・省力化を提案する。最大の特徴は、納入後でも多面APCや大容量ATCへのアップグレードが可能なこと。また、2008年に業界で初めてアイコン操作を実現した独自のCNCシステム「Arumatik-Mi」は、既存機でもアップグレードができ、すでに4,000台の納入実績がある。また、標準設定の「Anywhere-Remote」機能は、世界中どこでも機械稼動状況をスマートフォンやパソコンから確認できる</x:v>
      </x:c>
      <x:c r="J139" s="7" t="str">
        <x:v>2026原典抜粋：「Machining Challenges-Simplified」をスローガンに掲げ、自動化機能と拡張性を兼ね備えた最新鋭機を出品致します。 / 顧客の投資負担を軽減し、当社最大の特徴である高剛性・高精度・長寿命による付加価値を最大化し、標準機で使い慣れた後に、必要な機能を追加する「失敗しない自動化投資」をアピールします。</x:v>
      </x:c>
      <x:c r="K139" s="7" t="str">
        <x:v>原典記述の対照。個別機能の追加・性能差・初登場年は未判定。</x:v>
      </x:c>
      <x:c r="L139" s="7" t="str">
        <x:v>両年説明あり・機能差未判定</x:v>
      </x:c>
      <x:c r="M139" s="7" t="str">
        <x:v>出展説明の一次分類</x:v>
      </x:c>
      <x:c r="N139" s="7" t="str"/>
      <x:c r="O139" s="7" t="str">
        <x:v>承認・例外対応・停止・復帰の境界は未確認</x:v>
      </x:c>
      <x:c r="P139" s="7" t="str">
        <x:v>2026公式カタログ掲載・現地未確認
2026展示予定。既存製品・参考出展・構想等は原典で個別確認</x:v>
      </x:c>
      <x:c r="Q139" s="7" t="str">
        <x:v>AC058</x:v>
      </x:c>
      <x:c t="str" r="R139" s="21">
        <x:f>HYPERLINK("https://www.jimtof.org/search/jp/ESdetails?e=8B2MeaGChjg","JIMTOF2026 出展ページ")</x:f>
        <x:v>JIMTOF2026 出展ページ</x:v>
      </x:c>
      <x:c t="str" r="S139" s="21">
        <x:f>HYPERLINK("https://www.jimtof.org/2024/search/jp/ESdetails?e=bfQffwpmTeE","JIMTOF2024 出展ページ")</x:f>
        <x:v>JIMTOF2024 出展ページ</x:v>
      </x:c>
      <x:c r="T139" s="7" t="str">
        <x:v>EEX-EXH-2026-8dc74bc2bb78626e: https://www.jimtof.org/search/jp/ESdetails?e=8B2MeaGChjg
該当箇所: 出展紹介・主な出展物。追加カードの原典抜粋で検索
EEX-EXH-2024-bb724cee9cf20ced: https://www.jimtof.org/2024/search/jp/ESdetails?e=bfQffwpmTeE
該当箇所: 出展紹介・主な出展物。追加カードの原典抜粋で検索</x:v>
      </x:c>
    </x:row>
    <x:row r="140" ht="155" customHeight="1">
      <x:c r="A140" s="7" t="str">
        <x:v>段取り・物理作業</x:v>
      </x:c>
      <x:c r="B140" s="7" t="str">
        <x:v>ワーク・パレット・切粉の搬送</x:v>
      </x:c>
      <x:c r="C140" s="20" t="str">
        <x:v>GROB Japan株式会社</x:v>
      </x:c>
      <x:c r="D140" s="7" t="str">
        <x:v>新製品情報を公開：</x:v>
      </x:c>
      <x:c r="E140" s="7" t="str">
        <x:v>S1059</x:v>
      </x:c>
      <x:c r="F140" s="7" t="str">
        <x:v>ワーク・パレット・切粉の搬送 ／ 自動加工セル・工程集約</x:v>
      </x:c>
      <x:c r="G140" s="7" t="str">
        <x:v>原典抜粋：GROBは今年で創立100周年を迎えた南ドイツのミンデルハイムに本社を持つ加工機、自動化・組立設備メーカーです。 / テーブルが180°反転した状態で加工できる横型同時5軸加工機のGシリーズから、GROB内製の多様な自動化設備、EV向けのモーター・バッテリーの組立設備まで幅広いソリューションを提供しています。</x:v>
      </x:c>
      <x:c r="H140" s="7" t="str">
        <x:v>品種・量の変化に合わせて人の供給往復を減らす。 ／ 設備間の持替えや繰返し作業が、人手・待ち時間・品質差につながる。</x:v>
      </x:c>
      <x:c r="I140" s="7" t="str">
        <x:v>2024原典抜粋：GROBは南ドイツに本社を持つ加工機、自動化・組立設備メーカーです。テーブルが180°反転した状態で加工できる横型同時5軸加工機のGシリーズから、GROB内製の多様な自動化設備、電気自動車(EV)向けのモーター・バッテリーの組立設備といった幅広い製品とソリューションを提供しています。 横型同時5軸マシニングセンターで加工したワークの展示を中心に、EVのステーター、ローターやGMP金属3Dプリンターで積層したワークの展示と弊社製品のご紹介をしております。 Gシリーズマシニングセンターで加工したワーク ・航空機向け構造</x:v>
      </x:c>
      <x:c r="J140" s="7" t="str">
        <x:v>2026原典抜粋：GROBは今年で創立100周年を迎えた南ドイツのミンデルハイムに本社を持つ加工機、自動化・組立設備メーカーです。 / テーブルが180°反転した状態で加工できる横型同時5軸加工機のGシリーズから、GROB内製の多様な自動化設備、EV向けのモーター・バッテリーの組立設備まで幅広いソリューションを提供しています。</x:v>
      </x:c>
      <x:c r="K140" s="7" t="str">
        <x:v>原典記述の対照。個別機能の追加・性能差・初登場年は未判定。</x:v>
      </x:c>
      <x:c r="L140" s="7" t="str">
        <x:v>両年説明あり・機能差未判定</x:v>
      </x:c>
      <x:c r="M140" s="7" t="str">
        <x:v>出展説明の一次分類</x:v>
      </x:c>
      <x:c r="N140" s="7" t="str"/>
      <x:c r="O140" s="7" t="str">
        <x:v>承認・例外対応・停止・復帰の境界は未確認</x:v>
      </x:c>
      <x:c r="P140" s="7" t="str">
        <x:v>2026公式カタログ掲載・現地未確認
2026展示予定。既存製品・参考出展・構想等は原典で個別確認</x:v>
      </x:c>
      <x:c r="Q140" s="7" t="str">
        <x:v>AC069</x:v>
      </x:c>
      <x:c t="str" r="R140" s="21">
        <x:f>HYPERLINK("https://www.jimtof.org/search/jp/ESdetails?e=1gMJ22MesEE","JIMTOF2026 出展ページ")</x:f>
        <x:v>JIMTOF2026 出展ページ</x:v>
      </x:c>
      <x:c t="str" r="S140" s="21">
        <x:f>HYPERLINK("https://www.jimtof.org/2024/search/jp/ESdetails?e=w3tUm6b9-6k","JIMTOF2024 出展ページ")</x:f>
        <x:v>JIMTOF2024 出展ページ</x:v>
      </x:c>
      <x:c r="T140" s="7" t="str">
        <x:v>EEX-EXH-2026-c73d489b393f8bc8: https://www.jimtof.org/search/jp/ESdetails?e=1gMJ22MesEE
該当箇所: 出展紹介・主な出展物。追加カードの原典抜粋で検索
EEX-EXH-2024-f5cfbaad2bd1300b: https://www.jimtof.org/2024/search/jp/ESdetails?e=w3tUm6b9-6k
該当箇所: 出展紹介・主な出展物。追加カードの原典抜粋で検索</x:v>
      </x:c>
    </x:row>
    <x:row r="141" ht="155" customHeight="1">
      <x:c r="A141" s="7" t="str">
        <x:v>段取り・物理作業</x:v>
      </x:c>
      <x:c r="B141" s="7" t="str">
        <x:v>ワーク・パレット・切粉の搬送</x:v>
      </x:c>
      <x:c r="C141" s="20" t="str">
        <x:v>株式会社ゴーショー</x:v>
      </x:c>
      <x:c r="D141" s="7" t="str">
        <x:v>Schuette(シュッテ)社 / CNC工具研削盤 335Linear</x:v>
      </x:c>
      <x:c r="E141" s="7" t="str">
        <x:v>E3014</x:v>
      </x:c>
      <x:c r="F141" s="7" t="str">
        <x:v>ワーク・パレット・切粉の搬送</x:v>
      </x:c>
      <x:c r="G141" s="7" t="str">
        <x:v>原典抜粋：・Automazioni Industriali(オートマジョーニインダストリアーリ)社 / ロボットシステム</x:v>
      </x:c>
      <x:c r="H141" s="7" t="str">
        <x:v>品種・量の変化に合わせて人の供給往復を減らす。</x:v>
      </x:c>
      <x:c r="I141" s="7" t="str">
        <x:v>2024原典抜粋：株式会社ゴーショーは、主にヨーロッパ製の機械輸入商社として長年日本のものづくりに貢献してきました。本展示会では、「Made in Germany」をメインテーマに、新製品であるシュッテ社製単軸自動盤、及び工具研削盤、レダース社製ハイスピードミリング・グラインディングセンタ等、高精度・高生産性を実現する加工機をラインナップ。併せて、ケルヒ社製ツールプリセッタや、加工後の測定としてベアト社製三次元測定機の展示も予定しています。その他、バニッシングツールや転造ヘッド等、ドイツが誇る最新の加工技術を是非ご覧ください。 ・ド</x:v>
      </x:c>
      <x:c r="J141" s="7" t="str">
        <x:v>2026原典抜粋：・Automazioni Industriali(オートマジョーニインダストリアーリ)社 / ロボットシステム</x:v>
      </x:c>
      <x:c r="K141" s="7" t="str">
        <x:v>原典記述の対照。個別機能の追加・性能差・初登場年は未判定。</x:v>
      </x:c>
      <x:c r="L141" s="7" t="str">
        <x:v>両年説明あり・機能差未判定</x:v>
      </x:c>
      <x:c r="M141" s="7" t="str">
        <x:v>出展説明の一次分類</x:v>
      </x:c>
      <x:c r="N141" s="7" t="str"/>
      <x:c r="O141" s="7" t="str">
        <x:v>承認・例外対応・停止・復帰の境界は未確認</x:v>
      </x:c>
      <x:c r="P141" s="7" t="str">
        <x:v>2026公式カタログ掲載・現地未確認
2026展示予定。既存製品・参考出展・構想等は原典で個別確認</x:v>
      </x:c>
      <x:c r="Q141" s="7" t="str">
        <x:v>AC073</x:v>
      </x:c>
      <x:c t="str" r="R141" s="21">
        <x:f>HYPERLINK("https://www.jimtof.org/search/jp/ESdetails?e=CKssMtqLQME","JIMTOF2026 出展ページ")</x:f>
        <x:v>JIMTOF2026 出展ページ</x:v>
      </x:c>
      <x:c t="str" r="S141" s="21">
        <x:f>HYPERLINK("https://www.jimtof.org/2024/search/jp/ESdetails?e=_njqMb9vBpc","JIMTOF2024 出展ページ")</x:f>
        <x:v>JIMTOF2024 出展ページ</x:v>
      </x:c>
      <x:c r="T141" s="7" t="str">
        <x:v>EEX-EXH-2026-274028d500af35a8: https://www.jimtof.org/search/jp/ESdetails?e=CKssMtqLQME
該当箇所: 出展紹介・主な出展物。追加カードの原典抜粋で検索
EEX-EXH-2024-80349c84717b21e2: https://www.jimtof.org/2024/search/jp/ESdetails?e=_njqMb9vBpc
該当箇所: 出展紹介・主な出展物。追加カードの原典抜粋で検索</x:v>
      </x:c>
    </x:row>
    <x:row r="142" ht="155" customHeight="1">
      <x:c r="A142" s="7" t="str">
        <x:v>段取り・物理作業</x:v>
      </x:c>
      <x:c r="B142" s="7" t="str">
        <x:v>ワーク・パレット・切粉の搬送</x:v>
      </x:c>
      <x:c r="C142" s="20" t="str">
        <x:v>株式会社SANMATSU</x:v>
      </x:c>
      <x:c r="D142" s="7" t="str">
        <x:v>人協働型パレタイズロボット「GentleGaiant」と自動搬送AMR「iRAYPE」を組み合わせた次世代ソリューションや生産ラインの省人化・自動化ソ</x:v>
      </x:c>
      <x:c r="E142" s="7" t="str">
        <x:v>S3102</x:v>
      </x:c>
      <x:c r="F142" s="7" t="str">
        <x:v>ワーク・パレット・切粉の搬送</x:v>
      </x:c>
      <x:c r="G142" s="7" t="str">
        <x:v>原典抜粋：当社ブースでは人協働型パレタイズロボット「GentleGaiant」と自動搬送AMR「iRAYPE」を組み合わせた次世代ソリューションや生産ラインの省人化・自動化ソリューションをご紹介します。 / 【GentleGaiant】は30kg可搬を実現しながら省スペース設計。 / タッチパネルによる品種登録や段積みパターン設定、多様なロボットハンド設計を通じて、あらゆる商品パレタイズに柔軟対応します。 / 今回は「パレタイズロボットをAMRで</x:v>
      </x:c>
      <x:c r="H142" s="7" t="str">
        <x:v>品種・量の変化に合わせて人の供給往復を減らす。</x:v>
      </x:c>
      <x:c r="I142" s="7" t="str">
        <x:v>同一正規化名称の2024詳細なし。新規出展・技術不存在とは判断しない。</x:v>
      </x:c>
      <x:c r="J142" s="7" t="str">
        <x:v>2026原典抜粋：当社ブースでは人協働型パレタイズロボット「GentleGaiant」と自動搬送AMR「iRAYPE」を組み合わせた次世代ソリューションや生産ラインの省人化・自動化ソリューションをご紹介します。 / 【GentleGaiant】は30kg可搬を実現しながら省スペース設計。 / タッチパネルによる品種登録や段積みパターン設定、多様なロボットハンド設計を通じて、あらゆる商品パレタイズに柔軟対応します。 / 今回は「パレタイズロボットをAMRで</x:v>
      </x:c>
      <x:c r="K142" s="7" t="str">
        <x:v>原典記述の対照。個別機能の追加・性能差・初登場年は未判定。</x:v>
      </x:c>
      <x:c r="L142" s="7" t="str">
        <x:v>年度資料不足・比較不能</x:v>
      </x:c>
      <x:c r="M142" s="7" t="str">
        <x:v>出展説明の一次分類</x:v>
      </x:c>
      <x:c r="N142" s="7" t="str"/>
      <x:c r="O142" s="7" t="str">
        <x:v>承認・例外対応・停止・復帰の境界は未確認</x:v>
      </x:c>
      <x:c r="P142" s="7" t="str">
        <x:v>2026公式カタログ掲載・現地未確認
2026展示予定。既存製品・参考出展・構想等は原典で個別確認</x:v>
      </x:c>
      <x:c r="Q142" s="7" t="str">
        <x:v>AC090</x:v>
      </x:c>
      <x:c t="str" r="R142" s="21">
        <x:f>HYPERLINK("https://www.jimtof.org/search/jp/ESdetails?e=ox2LGS2B2t4","JIMTOF2026 出展ページ")</x:f>
        <x:v>JIMTOF2026 出展ページ</x:v>
      </x:c>
      <x:c r="S142" s="21" t="str"/>
      <x:c r="T142" s="7" t="str">
        <x:v>EEX-EXH-2026-b00bbfd6ce23a97e: https://www.jimtof.org/search/jp/ESdetails?e=ox2LGS2B2t4
該当箇所: 出展紹介・主な出展物。追加カードの原典抜粋で検索</x:v>
      </x:c>
    </x:row>
    <x:row r="143" ht="155" customHeight="1">
      <x:c r="A143" s="7" t="str">
        <x:v>段取り・物理作業</x:v>
      </x:c>
      <x:c r="B143" s="7" t="str">
        <x:v>ワーク・パレット・切粉の搬送</x:v>
      </x:c>
      <x:c r="C143" s="20" t="str">
        <x:v>山陽マシン株式会社</x:v>
      </x:c>
      <x:c r="D143" s="7" t="str">
        <x:v>3軸CNCスロッター加工機</x:v>
      </x:c>
      <x:c r="E143" s="7" t="str">
        <x:v>S1072</x:v>
      </x:c>
      <x:c r="F143" s="7" t="str">
        <x:v>ワーク・パレット・切粉の搬送</x:v>
      </x:c>
      <x:c r="G143" s="7" t="str">
        <x:v>原典抜粋：また搬送装置を取り付ける事により自動化も実現することが可能となります / 出展機には協働ロボットを取り付けて自動搬送を実演しております / ストッカー付きロボット搬送装置</x:v>
      </x:c>
      <x:c r="H143" s="7" t="str">
        <x:v>品種・量の変化に合わせて人の供給往復を減らす。</x:v>
      </x:c>
      <x:c r="I143" s="7" t="str">
        <x:v>2024原典抜粋：弊社のラインナップであるギヤチェッカーの測定アンプをこの度更新いたしました 以前よりご要望のありました測定波形を画面上に表示しました また画面をパネコンとすることで測定データの保存等のカスタムオプションを追加可能になりました 併せて協働ロボットとロータリーストッカーを一体とした台車式のストッカーを展示いたします 弊社では一品が専用設計ですので様々な要望に対応した形で設備、搬送ともに製作が可能でこちらのロボット台車においてもその一部です ギヤチェッカー及びロボット台車(ロータリーストッカー付き)</x:v>
      </x:c>
      <x:c r="J143" s="7" t="str">
        <x:v>2026原典抜粋：また搬送装置を取り付ける事により自動化も実現することが可能となります / 出展機には協働ロボットを取り付けて自動搬送を実演しております / ストッカー付きロボット搬送装置</x:v>
      </x:c>
      <x:c r="K143" s="7" t="str">
        <x:v>原典記述の対照。個別機能の追加・性能差・初登場年は未判定。</x:v>
      </x:c>
      <x:c r="L143" s="7" t="str">
        <x:v>両年説明あり・機能差未判定</x:v>
      </x:c>
      <x:c r="M143" s="7" t="str">
        <x:v>出展説明の一次分類</x:v>
      </x:c>
      <x:c r="N143" s="7" t="str"/>
      <x:c r="O143" s="7" t="str">
        <x:v>承認・例外対応・停止・復帰の境界は未確認</x:v>
      </x:c>
      <x:c r="P143" s="7" t="str">
        <x:v>2026公式カタログ掲載・現地未確認
2026展示予定。既存製品・参考出展・構想等は原典で個別確認</x:v>
      </x:c>
      <x:c r="Q143" s="7" t="str">
        <x:v>AC091</x:v>
      </x:c>
      <x:c t="str" r="R143" s="21">
        <x:f>HYPERLINK("https://www.jimtof.org/search/jp/ESdetails?e=mnvwVRInyM8","JIMTOF2026 出展ページ")</x:f>
        <x:v>JIMTOF2026 出展ページ</x:v>
      </x:c>
      <x:c t="str" r="S143" s="21">
        <x:f>HYPERLINK("https://www.jimtof.org/2024/search/jp/ESdetails?e=WQRFN-qGj6U","JIMTOF2024 出展ページ")</x:f>
        <x:v>JIMTOF2024 出展ページ</x:v>
      </x:c>
      <x:c r="T143" s="7" t="str">
        <x:v>EEX-EXH-2026-98823a900a697909: https://www.jimtof.org/search/jp/ESdetails?e=mnvwVRInyM8
該当箇所: 出展紹介・主な出展物。追加カードの原典抜粋で検索
EEX-EXH-2024-fe590d2a956fc2a9: https://www.jimtof.org/2024/search/jp/ESdetails?e=WQRFN-qGj6U
該当箇所: 出展紹介・主な出展物。追加カードの原典抜粋で検索</x:v>
      </x:c>
    </x:row>
    <x:row r="144" ht="155" customHeight="1">
      <x:c r="A144" s="7" t="str">
        <x:v>段取り・物理作業</x:v>
      </x:c>
      <x:c r="B144" s="7" t="str">
        <x:v>ワーク・パレット・切粉の搬送</x:v>
      </x:c>
      <x:c r="C144" s="20" t="str">
        <x:v>サンワ産業株式会社</x:v>
      </x:c>
      <x:c r="D144" s="7" t="str">
        <x:v>工場の重量物搬送に革命を！オートチルト搭載の新型電動牽引機「新型SM200+」登場</x:v>
      </x:c>
      <x:c r="E144" s="7" t="str">
        <x:v>W3100</x:v>
      </x:c>
      <x:c r="F144" s="7" t="str">
        <x:v>ワーク・パレット・切粉の搬送</x:v>
      </x:c>
      <x:c r="G144" s="7" t="str">
        <x:v>原典抜粋：従来は接続時にオペレーターの力作業が必要だったマシンの傾き操作が、手元のボタン操作ひとつで完全に自動化されました。</x:v>
      </x:c>
      <x:c r="H144" s="7" t="str">
        <x:v>品種・量の変化に合わせて人の供給往復を減らす。</x:v>
      </x:c>
      <x:c r="I144" s="7" t="str">
        <x:v>同一正規化名称の2024詳細なし。新規出展・技術不存在とは判断しない。</x:v>
      </x:c>
      <x:c r="J144" s="7" t="str">
        <x:v>2026原典抜粋：従来は接続時にオペレーターの力作業が必要だったマシンの傾き操作が、手元のボタン操作ひとつで完全に自動化されました。</x:v>
      </x:c>
      <x:c r="K144" s="7" t="str">
        <x:v>原典記述の対照。個別機能の追加・性能差・初登場年は未判定。</x:v>
      </x:c>
      <x:c r="L144" s="7" t="str">
        <x:v>年度資料不足・比較不能</x:v>
      </x:c>
      <x:c r="M144" s="7" t="str">
        <x:v>出展説明の一次分類</x:v>
      </x:c>
      <x:c r="N144" s="7" t="str"/>
      <x:c r="O144" s="7" t="str">
        <x:v>承認・例外対応・停止・復帰の境界は未確認</x:v>
      </x:c>
      <x:c r="P144" s="7" t="str">
        <x:v>2026公式カタログ掲載・現地未確認
2026展示予定。既存製品・参考出展・構想等は原典で個別確認</x:v>
      </x:c>
      <x:c r="Q144" s="7" t="str">
        <x:v>AC093</x:v>
      </x:c>
      <x:c t="str" r="R144" s="21">
        <x:f>HYPERLINK("https://www.jimtof.org/search/jp/ESdetails?e=KqvVyzLYaL0","JIMTOF2026 出展ページ")</x:f>
        <x:v>JIMTOF2026 出展ページ</x:v>
      </x:c>
      <x:c r="S144" s="21" t="str"/>
      <x:c r="T144" s="7" t="str">
        <x:v>EEX-EXH-2026-888a1f50fa3f30c8: https://www.jimtof.org/search/jp/ESdetails?e=KqvVyzLYaL0
該当箇所: 出展紹介・主な出展物。追加カードの原典抜粋で検索</x:v>
      </x:c>
    </x:row>
    <x:row r="145" ht="155" customHeight="1">
      <x:c r="A145" s="7" t="str">
        <x:v>段取り・物理作業</x:v>
      </x:c>
      <x:c r="B145" s="7" t="str">
        <x:v>ワーク・パレット・切粉の搬送</x:v>
      </x:c>
      <x:c r="C145" s="20" t="str">
        <x:v>三和ロボティクス株式会社</x:v>
      </x:c>
      <x:c r="D145" s="7" t="str">
        <x:v>NEXSRT J30 F（パレット交換方式）を出展します。内蔵ロボットにはNACHI製MZ70Fを採用し、パレットを最大16枚搭載可能。最大可搬重量は</x:v>
      </x:c>
      <x:c r="E145" s="7" t="str">
        <x:v>E7069</x:v>
      </x:c>
      <x:c r="F145" s="7" t="str">
        <x:v>ワーク・パレット・切粉の搬送</x:v>
      </x:c>
      <x:c r="G145" s="7" t="str">
        <x:v>原典抜粋：「NEXSRT J30 F」は、マシニングセンターの稼働率向上と省人化を実現するパレット交換自動化ロボットです。 / 最大16枚のパレットを搭載し、ロボット動作中でも着脱ステーションで次のワーク交換を進められる並列オペレーションにより、待ち時間を短縮。 / 既存の工作機械に後付けできることも大きな特長で、最小限のDI/O信号とロボット動作により、多種多様なメーカーとの接続が可能です。 / 内蔵ロボットにはNACHI製MZ70Fを採用し、</x:v>
      </x:c>
      <x:c r="H145" s="7" t="str">
        <x:v>品種・量の変化に合わせて人の供給往復を減らす。</x:v>
      </x:c>
      <x:c r="I145" s="7" t="str">
        <x:v>2024原典抜粋：バイス交換システムの採用により、治具レスで多品種のワークの搬送が可能。 ロボットティーチング不要で、自動化のファーストステップにも最適。 ブラザー工業SPEEDIO U500Xd1とのコラボレーションによる搬送デモンストレーションを実施。 【NEXSRTオート・バイスチェンジャー】 ～多品種少量生産の自動化を実現するロボットシステム～ 5軸マシニングセンターとの相乗効果で、工程集約と自動化による生産性の向上・省人化・品質向上を実現。</x:v>
      </x:c>
      <x:c r="J145" s="7" t="str">
        <x:v>2026原典抜粋：「NEXSRT J30 F」は、マシニングセンターの稼働率向上と省人化を実現するパレット交換自動化ロボットです。 / 最大16枚のパレットを搭載し、ロボット動作中でも着脱ステーションで次のワーク交換を進められる並列オペレーションにより、待ち時間を短縮。 / 既存の工作機械に後付けできることも大きな特長で、最小限のDI/O信号とロボット動作により、多種多様なメーカーとの接続が可能です。 / 内蔵ロボットにはNACHI製MZ70Fを採用し、</x:v>
      </x:c>
      <x:c r="K145" s="7" t="str">
        <x:v>原典記述の対照。個別機能の追加・性能差・初登場年は未判定。</x:v>
      </x:c>
      <x:c r="L145" s="7" t="str">
        <x:v>両年説明あり・機能差未判定</x:v>
      </x:c>
      <x:c r="M145" s="7" t="str">
        <x:v>出展説明の一次分類</x:v>
      </x:c>
      <x:c r="N145" s="7" t="str"/>
      <x:c r="O145" s="7" t="str">
        <x:v>承認・例外対応・停止・復帰の境界は未確認</x:v>
      </x:c>
      <x:c r="P145" s="7" t="str">
        <x:v>2026公式カタログ掲載・現地未確認
2026展示予定。既存製品・参考出展・構想等は原典で個別確認</x:v>
      </x:c>
      <x:c r="Q145" s="7" t="str">
        <x:v>AC094</x:v>
      </x:c>
      <x:c t="str" r="R145" s="21">
        <x:f>HYPERLINK("https://www.jimtof.org/search/jp/ESdetails?e=SnqZSY1MFMk","JIMTOF2026 出展ページ")</x:f>
        <x:v>JIMTOF2026 出展ページ</x:v>
      </x:c>
      <x:c t="str" r="S145" s="21">
        <x:f>HYPERLINK("https://www.jimtof.org/2024/search/jp/ESdetails?e=gRk0brhHn-M","JIMTOF2024 出展ページ")</x:f>
        <x:v>JIMTOF2024 出展ページ</x:v>
      </x:c>
      <x:c r="T145" s="7" t="str">
        <x:v>EEX-EXH-2026-26cebfacb64ec6c3: https://www.jimtof.org/search/jp/ESdetails?e=SnqZSY1MFMk
該当箇所: 出展紹介・主な出展物。追加カードの原典抜粋で検索
EEX-EXH-2024-dfb46298d6cc735b: https://www.jimtof.org/2024/search/jp/ESdetails?e=gRk0brhHn-M
該当箇所: 出展紹介・主な出展物。追加カードの原典抜粋で検索</x:v>
      </x:c>
    </x:row>
    <x:row r="146" ht="155" customHeight="1">
      <x:c r="A146" s="7" t="str">
        <x:v>段取り・物理作業</x:v>
      </x:c>
      <x:c r="B146" s="7" t="str">
        <x:v>ワーク・パレット・切粉の搬送</x:v>
      </x:c>
      <x:c r="C146" s="20" t="str">
        <x:v>株式会社ソディック</x:v>
      </x:c>
      <x:c r="D146" s="7" t="str">
        <x:v>1）リニアモータ駆動 高速・高性能 ワイヤ放電加工機「ALN600G ⅰGroove + Edition」</x:v>
      </x:c>
      <x:c r="E146" s="7" t="str">
        <x:v>E2017</x:v>
      </x:c>
      <x:c r="F146" s="7" t="str">
        <x:v>ワーク・パレット・切粉の搬送 ／ 自動加工セル・工程集約</x:v>
      </x:c>
      <x:c r="G146" s="7" t="str">
        <x:v>原典抜粋：ブースでは、リニアモータ駆動ワイヤ放電加工機と搬送ロボットを組み合わせた自動化システムをはじめ、形彫り放電加工機や精密切削加工の自動化技術など、生産現場の競争力向上に貢献する最新ソリューションを実演展示します。 / また、初披露となる新型レーザー加工機、自社生産による高品質な消耗品、省力化・効率化を支援するIoTソリューションなど、多彩な製品・技術をご紹介します。</x:v>
      </x:c>
      <x:c r="H146" s="7" t="str">
        <x:v>品種・量の変化に合わせて人の供給往復を減らす。 ／ 設備間の持替えや繰返し作業が、人手・待ち時間・品質差につながる。</x:v>
      </x:c>
      <x:c r="I146" s="7" t="str">
        <x:v>2024原典抜粋：Sodickブースでは、最新の工作機械とその応用技術を多数展示します。 形彫り放電加工機、ワイヤ放電加工機、マシニングセンタ、そして世界初出展となるフェムト秒レーザー機など、高精度を誇る製品をご覧いただけます。また、自動走行ロボットによるワークの自動搬送も実演します。 ソディックの機械群は、自動車分野・電気電子分野に加え、航空・宇宙事業やメディカル分野をターゲットにした高精度かつ高効率な金型・部品加工向けにラインアップを揃えています。当社の強みは、高性能な機械単体だけでなく、自社製の周辺機器やソフトウェアを組み合わ</x:v>
      </x:c>
      <x:c r="J146" s="7" t="str">
        <x:v>2026原典抜粋：ブースでは、リニアモータ駆動ワイヤ放電加工機と搬送ロボットを組み合わせた自動化システムをはじめ、形彫り放電加工機や精密切削加工の自動化技術など、生産現場の競争力向上に貢献する最新ソリューションを実演展示します。 / また、初披露となる新型レーザー加工機、自社生産による高品質な消耗品、省力化・効率化を支援するIoTソリューションなど、多彩な製品・技術をご紹介します。</x:v>
      </x:c>
      <x:c r="K146" s="7" t="str">
        <x:v>原典記述の対照。個別機能の追加・性能差・初登場年は未判定。</x:v>
      </x:c>
      <x:c r="L146" s="7" t="str">
        <x:v>両年説明あり・機能差未判定</x:v>
      </x:c>
      <x:c r="M146" s="7" t="str">
        <x:v>出展説明の一次分類</x:v>
      </x:c>
      <x:c r="N146" s="7" t="str"/>
      <x:c r="O146" s="7" t="str">
        <x:v>承認・例外対応・停止・復帰の境界は未確認</x:v>
      </x:c>
      <x:c r="P146" s="7" t="str">
        <x:v>2026公式カタログ掲載・現地未確認
2026展示予定。既存製品・参考出展・構想等は原典で個別確認</x:v>
      </x:c>
      <x:c r="Q146" s="7" t="str">
        <x:v>AC123</x:v>
      </x:c>
      <x:c t="str" r="R146" s="21">
        <x:f>HYPERLINK("https://www.jimtof.org/search/jp/ESdetails?e=k6keXdSLQmQ","JIMTOF2026 出展ページ")</x:f>
        <x:v>JIMTOF2026 出展ページ</x:v>
      </x:c>
      <x:c t="str" r="S146" s="21">
        <x:f>HYPERLINK("https://www.jimtof.org/2024/search/jp/ESdetails?e=VYjGUrtgdX4","JIMTOF2024 出展ページ")</x:f>
        <x:v>JIMTOF2024 出展ページ</x:v>
      </x:c>
      <x:c r="T146" s="7" t="str">
        <x:v>EEX-EXH-2026-f434da28b26d8f26: https://www.jimtof.org/search/jp/ESdetails?e=k6keXdSLQmQ
該当箇所: 出展紹介・主な出展物。追加カードの原典抜粋で検索
EEX-EXH-2024-7c4887bf05364088: https://www.jimtof.org/2024/search/jp/ESdetails?e=VYjGUrtgdX4
該当箇所: 出展紹介・主な出展物。追加カードの原典抜粋で検索</x:v>
      </x:c>
    </x:row>
    <x:row r="147" ht="155" customHeight="1">
      <x:c r="A147" s="7" t="str">
        <x:v>段取り・物理作業</x:v>
      </x:c>
      <x:c r="B147" s="7" t="str">
        <x:v>ワーク・パレット・切粉の搬送</x:v>
      </x:c>
      <x:c r="C147" s="20" t="str">
        <x:v>株式会社太陽工機</x:v>
      </x:c>
      <x:c r="D147" s="7" t="str">
        <x:v>立形複合研削盤　TKV 85 with PH Cell 500</x:v>
      </x:c>
      <x:c r="E147" s="7" t="str">
        <x:v>E8007</x:v>
      </x:c>
      <x:c r="F147" s="7" t="str">
        <x:v>ワーク・パレット・切粉の搬送 ／ 自動加工セル・工程集約</x:v>
      </x:c>
      <x:c r="G147" s="7" t="str">
        <x:v>原典抜粋：中・大型ワーク向けの高精度研削加工に求められる「工程集約」「自動化」「品質安定性」「省エネ性」「DX対応」といった多面的な要求に応えるため、構造・制御・周辺設備の全領域を再設計した最新世代の立形研削盤TKV 85とDMG MORI 製自動化システム PH Cell 500を接続し、世界中でご使用いただける研削盤自動化ソリューションを展示します。 / 自動化システムにはDMG MORI 製 PH Cell 500を搭載。</x:v>
      </x:c>
      <x:c r="H147" s="7" t="str">
        <x:v>品種・量の変化に合わせて人の供給往復を減らす。 ／ 設備間の持替えや繰返し作業が、人手・待ち時間・品質差につながる。</x:v>
      </x:c>
      <x:c r="I147" s="7" t="str">
        <x:v>2024原典抜粋：立形複合研削盤を極めた当社から、立形複合研削盤シリーズをラインナップ。 汎用タイプから高剛性・高出力タイプなど2台を出展します。 高い加工精度、段取りの容易性を特長とする太陽工機の立形研削盤は、 工作機械の心臓部品を加工するマザーマシンとして、また自動化への適応性の高さから 量産部品加工用研削盤として、産業界から揺るぎない信頼をいただいています。 立形複合研削盤 Vertical Mate85 内径、外径、端面の高精度複合加工をワンチャッキングで可能にする汎用立形複合研削盤 （speed MASTER、ERGOli</x:v>
      </x:c>
      <x:c r="J147" s="7" t="str">
        <x:v>2026原典抜粋：中・大型ワーク向けの高精度研削加工に求められる「工程集約」「自動化」「品質安定性」「省エネ性」「DX対応」といった多面的な要求に応えるため、構造・制御・周辺設備の全領域を再設計した最新世代の立形研削盤TKV 85とDMG MORI 製自動化システム PH Cell 500を接続し、世界中でご使用いただける研削盤自動化ソリューションを展示します。 / 自動化システムにはDMG MORI 製 PH Cell 500を搭載。</x:v>
      </x:c>
      <x:c r="K147" s="7" t="str">
        <x:v>原典記述の対照。個別機能の追加・性能差・初登場年は未判定。</x:v>
      </x:c>
      <x:c r="L147" s="7" t="str">
        <x:v>両年説明あり・機能差未判定</x:v>
      </x:c>
      <x:c r="M147" s="7" t="str">
        <x:v>出展説明の一次分類</x:v>
      </x:c>
      <x:c r="N147" s="7" t="str"/>
      <x:c r="O147" s="7" t="str">
        <x:v>承認・例外対応・停止・復帰の境界は未確認</x:v>
      </x:c>
      <x:c r="P147" s="7" t="str">
        <x:v>2026公式カタログ掲載・現地未確認
2026展示予定。既存製品・参考出展・構想等は原典で個別確認</x:v>
      </x:c>
      <x:c r="Q147" s="7" t="str">
        <x:v>AC129</x:v>
      </x:c>
      <x:c t="str" r="R147" s="21">
        <x:f>HYPERLINK("https://www.jimtof.org/search/jp/ESdetails?e=p0lGaSOw5EY","JIMTOF2026 出展ページ")</x:f>
        <x:v>JIMTOF2026 出展ページ</x:v>
      </x:c>
      <x:c t="str" r="S147" s="21">
        <x:f>HYPERLINK("https://www.jimtof.org/2024/search/jp/ESdetails?e=sEqCHpjquj8","JIMTOF2024 出展ページ")</x:f>
        <x:v>JIMTOF2024 出展ページ</x:v>
      </x:c>
      <x:c r="T147" s="7" t="str">
        <x:v>EEX-EXH-2026-68590f09050a3b5c: https://www.jimtof.org/search/jp/ESdetails?e=p0lGaSOw5EY
該当箇所: 出展紹介・主な出展物。追加カードの原典抜粋で検索
EEX-EXH-2024-b28a39cc3914c1b2: https://www.jimtof.org/2024/search/jp/ESdetails?e=sEqCHpjquj8
該当箇所: 出展紹介・主な出展物。追加カードの原典抜粋で検索</x:v>
      </x:c>
    </x:row>
    <x:row r="148" ht="155" customHeight="1">
      <x:c r="A148" s="7" t="str">
        <x:v>段取り・物理作業</x:v>
      </x:c>
      <x:c r="B148" s="7" t="str">
        <x:v>ワーク・パレット・切粉の搬送</x:v>
      </x:c>
      <x:c r="C148" s="20" t="str">
        <x:v>高島産業株式会社</x:v>
      </x:c>
      <x:c r="D148" s="7" t="str">
        <x:v>出展製品：小型加工機[MULTIPRO6]</x:v>
      </x:c>
      <x:c r="E148" s="7" t="str">
        <x:v>S1010</x:v>
      </x:c>
      <x:c r="F148" s="7" t="str">
        <x:v>ワーク・パレット・切粉の搬送</x:v>
      </x:c>
      <x:c r="G148" s="7" t="str">
        <x:v>原典抜粋：◆ロボットを活用した小型マシニングセンタ MULTIPROのご紹介</x:v>
      </x:c>
      <x:c r="H148" s="7" t="str">
        <x:v>品種・量の変化に合わせて人の供給往復を減らす。</x:v>
      </x:c>
      <x:c r="I148" s="7" t="str">
        <x:v>2024原典抜粋：＜＜ 特 徴 ＞＞ ◆こだわり抜いたコンパクト感で環境にやさしい小型加工機【MULTIPRO6】 ◆設置スペース問題の解決に最適 【小型化工機MULTIPRO】は大型加工機のような設置スペースや環境(床の耐荷重など)を必要とせず、 空きスペースを活用し生産現場を展開することが可能です! ◆環境問題・ SDGｓに貢献 【 Co2排出量を大幅に削減】 小型加工機【MULTIPRO】は電力削減で環境問題Co2削減に大きく貢献できます ◆高剛性 小型加工機【MULTIPRO】は、金属加工用に必要な剛性を持ち合わせています </x:v>
      </x:c>
      <x:c r="J148" s="7" t="str">
        <x:v>2026原典抜粋：◆ロボットを活用した小型マシニングセンタ MULTIPROのご紹介</x:v>
      </x:c>
      <x:c r="K148" s="7" t="str">
        <x:v>原典記述の対照。個別機能の追加・性能差・初登場年は未判定。</x:v>
      </x:c>
      <x:c r="L148" s="7" t="str">
        <x:v>両年説明あり・機能差未判定</x:v>
      </x:c>
      <x:c r="M148" s="7" t="str">
        <x:v>出展説明の一次分類</x:v>
      </x:c>
      <x:c r="N148" s="7" t="str"/>
      <x:c r="O148" s="7" t="str">
        <x:v>承認・例外対応・停止・復帰の境界は未確認</x:v>
      </x:c>
      <x:c r="P148" s="7" t="str">
        <x:v>2026公式カタログ掲載・現地未確認
2026展示予定。既存製品・参考出展・構想等は原典で個別確認</x:v>
      </x:c>
      <x:c r="Q148" s="7" t="str">
        <x:v>AC130</x:v>
      </x:c>
      <x:c t="str" r="R148" s="21">
        <x:f>HYPERLINK("https://www.jimtof.org/search/jp/ESdetails?e=CkrmvOrMu0I","JIMTOF2026 出展ページ")</x:f>
        <x:v>JIMTOF2026 出展ページ</x:v>
      </x:c>
      <x:c t="str" r="S148" s="21">
        <x:f>HYPERLINK("https://www.jimtof.org/2024/search/jp/ESdetails?e=el8kFNP5Yj0","JIMTOF2024 出展ページ")</x:f>
        <x:v>JIMTOF2024 出展ページ</x:v>
      </x:c>
      <x:c r="T148" s="7" t="str">
        <x:v>EEX-EXH-2026-51b26370956d2831: https://www.jimtof.org/search/jp/ESdetails?e=CkrmvOrMu0I
該当箇所: 出展紹介・主な出展物。追加カードの原典抜粋で検索
EEX-EXH-2024-559a33544428dc53: https://www.jimtof.org/2024/search/jp/ESdetails?e=el8kFNP5Yj0
該当箇所: 出展紹介・主な出展物。追加カードの原典抜粋で検索</x:v>
      </x:c>
    </x:row>
    <x:row r="149" ht="155" customHeight="1">
      <x:c r="A149" s="7" t="str">
        <x:v>段取り・物理作業</x:v>
      </x:c>
      <x:c r="B149" s="7" t="str">
        <x:v>ワーク・パレット・切粉の搬送</x:v>
      </x:c>
      <x:c r="C149" s="20" t="str">
        <x:v>株式会社ツガミ</x:v>
      </x:c>
      <x:c r="D149" s="7" t="str">
        <x:v>CNC精密自動旋盤　B0207</x:v>
      </x:c>
      <x:c r="E149" s="7" t="str">
        <x:v>S1004</x:v>
      </x:c>
      <x:c r="F149" s="7" t="str">
        <x:v>ワーク・パレット・切粉の搬送 ／ 自動加工セル・工程集約</x:v>
      </x:c>
      <x:c r="G149" s="7" t="str">
        <x:v>原典抜粋：CNC精密自動旋盤B0207は実績豊富なB020シリーズにB軸刃物台を搭載したモデルである。 / CNC精密自動旋盤BW389ZJはØ38 クラスの独立対向くし刃機であり、高剛性と重切削性能を備え、独立刃物台で大径素材の高能率加工を実現。 / また、自動化システムを搭載した機種も展示する。 / CNC精密自動旋盤B0205-VRには、複数品種の仕分けやワークロット管理が可能で、省スペースなワークストッカを搭載。 / ターニングセンタTM</x:v>
      </x:c>
      <x:c r="H149" s="7" t="str">
        <x:v>品種・量の変化に合わせて人の供給往復を減らす。 ／ 設備間の持替えや繰返し作業が、人手・待ち時間・品質差につながる。</x:v>
      </x:c>
      <x:c r="I149" s="7" t="str">
        <x:v>2024原典抜粋：当社のブースでは新機種のB0205-VR、M10JL10、VA3S、VA4-Ⅱ、FMA3H-V、G22を含む計12台の主力製品を展示する。 CNC精密自動旋盤 B0205-VRは豊富な実績を持つB0-Vシリーズを改良し、加工能力と使い勝手を向上。 CNC旋盤 M10JL10は10インチクラス旋盤シリーズのロングストロークタイプ。最大1,000mmの長尺ワーク加工に対応可能。 立形高速マシニングセンタ VA3Sはコンパクト・生産性を追求し、サーボ駆動ツールマガジンを用いたダイレクト式ATCの採用により、工具交換時間の</x:v>
      </x:c>
      <x:c r="J149" s="7" t="str">
        <x:v>2026原典抜粋：CNC精密自動旋盤B0207は実績豊富なB020シリーズにB軸刃物台を搭載したモデルである。 / CNC精密自動旋盤BW389ZJはØ38 クラスの独立対向くし刃機であり、高剛性と重切削性能を備え、独立刃物台で大径素材の高能率加工を実現。 / また、自動化システムを搭載した機種も展示する。 / CNC精密自動旋盤B0205-VRには、複数品種の仕分けやワークロット管理が可能で、省スペースなワークストッカを搭載。 / ターニングセンタTM</x:v>
      </x:c>
      <x:c r="K149" s="7" t="str">
        <x:v>原典記述の対照。個別機能の追加・性能差・初登場年は未判定。</x:v>
      </x:c>
      <x:c r="L149" s="7" t="str">
        <x:v>両年説明あり・機能差未判定</x:v>
      </x:c>
      <x:c r="M149" s="7" t="str">
        <x:v>出展説明の一次分類</x:v>
      </x:c>
      <x:c r="N149" s="7" t="str"/>
      <x:c r="O149" s="7" t="str">
        <x:v>承認・例外対応・停止・復帰の境界は未確認</x:v>
      </x:c>
      <x:c r="P149" s="7" t="str">
        <x:v>2026公式カタログ掲載・現地未確認
2026展示予定。既存製品・参考出展・構想等は原典で個別確認</x:v>
      </x:c>
      <x:c r="Q149" s="7" t="str">
        <x:v>AC139</x:v>
      </x:c>
      <x:c t="str" r="R149" s="21">
        <x:f>HYPERLINK("https://www.jimtof.org/search/jp/ESdetails?e=fKOIqkxqaBI","JIMTOF2026 出展ページ")</x:f>
        <x:v>JIMTOF2026 出展ページ</x:v>
      </x:c>
      <x:c t="str" r="S149" s="21">
        <x:f>HYPERLINK("https://www.jimtof.org/2024/search/jp/ESdetails?e=5KpFSEqJrhg","JIMTOF2024 出展ページ")</x:f>
        <x:v>JIMTOF2024 出展ページ</x:v>
      </x:c>
      <x:c r="T149" s="7" t="str">
        <x:v>EEX-EXH-2026-32c10384bbcaec00: https://www.jimtof.org/search/jp/ESdetails?e=fKOIqkxqaBI
該当箇所: 出展紹介・主な出展物。追加カードの原典抜粋で検索
EEX-EXH-2024-10616a1e9396f3d8: https://www.jimtof.org/2024/search/jp/ESdetails?e=5KpFSEqJrhg
該当箇所: 出展紹介・主な出展物。追加カードの原典抜粋で検索</x:v>
      </x:c>
    </x:row>
    <x:row r="150" ht="155" customHeight="1">
      <x:c r="A150" s="7" t="str">
        <x:v>段取り・物理作業</x:v>
      </x:c>
      <x:c r="B150" s="7" t="str">
        <x:v>ワーク・パレット・切粉の搬送</x:v>
      </x:c>
      <x:c r="C150" s="20" t="str">
        <x:v>筑波エンジニアリング株式会社</x:v>
      </x:c>
      <x:c r="D150" s="7" t="str">
        <x:v>今回の展示会では、加工機（ロボドリル）とロボットをワイヤレス接続した / 協働ロボットによるワーク搬送システムをご紹介いたします。 / ロボットが加工</x:v>
      </x:c>
      <x:c r="E150" s="7" t="str">
        <x:v>S3098</x:v>
      </x:c>
      <x:c r="F150" s="7" t="str">
        <x:v>ワーク・パレット・切粉の搬送</x:v>
      </x:c>
      <x:c r="G150" s="7" t="str">
        <x:v>原典抜粋：今回の展示会では、加工機（ロボドリル）とロボットをワイヤレス接続した / 協働ロボットによるワーク搬送システムをご紹介いたします。 / ロボットが加工機の扉の開閉も行うため / 自動扉のない既存の加工機にもそのまま導入できるのが特長です。</x:v>
      </x:c>
      <x:c r="H150" s="7" t="str">
        <x:v>品種・量の変化に合わせて人の供給往復を減らす。</x:v>
      </x:c>
      <x:c r="I150" s="7" t="str">
        <x:v>2024原典抜粋： </x:v>
      </x:c>
      <x:c r="J150" s="7" t="str">
        <x:v>2026原典抜粋：今回の展示会では、加工機（ロボドリル）とロボットをワイヤレス接続した / 協働ロボットによるワーク搬送システムをご紹介いたします。 / ロボットが加工機の扉の開閉も行うため / 自動扉のない既存の加工機にもそのまま導入できるのが特長です。</x:v>
      </x:c>
      <x:c r="K150" s="7" t="str">
        <x:v>原典記述の対照。個別機能の追加・性能差・初登場年は未判定。</x:v>
      </x:c>
      <x:c r="L150" s="7" t="str">
        <x:v>両年説明あり・機能差未判定</x:v>
      </x:c>
      <x:c r="M150" s="7" t="str">
        <x:v>出展説明の一次分類</x:v>
      </x:c>
      <x:c r="N150" s="7" t="str"/>
      <x:c r="O150" s="7" t="str">
        <x:v>承認・例外対応・停止・復帰の境界は未確認</x:v>
      </x:c>
      <x:c r="P150" s="7" t="str">
        <x:v>2026公式カタログ掲載・現地未確認
2026展示予定。既存製品・参考出展・構想等は原典で個別確認</x:v>
      </x:c>
      <x:c r="Q150" s="7" t="str">
        <x:v>AC140</x:v>
      </x:c>
      <x:c t="str" r="R150" s="21">
        <x:f>HYPERLINK("https://www.jimtof.org/search/jp/ESdetails?e=2n2W_oYqO3w","JIMTOF2026 出展ページ")</x:f>
        <x:v>JIMTOF2026 出展ページ</x:v>
      </x:c>
      <x:c t="str" r="S150" s="21">
        <x:f>HYPERLINK("https://www.jimtof.org/2024/search/jp/ESdetails?e=I7MZeXOMYvw","JIMTOF2024 出展ページ")</x:f>
        <x:v>JIMTOF2024 出展ページ</x:v>
      </x:c>
      <x:c r="T150" s="7" t="str">
        <x:v>EEX-EXH-2026-d2a941b3c53a5d69: https://www.jimtof.org/search/jp/ESdetails?e=2n2W_oYqO3w
該当箇所: 出展紹介・主な出展物。追加カードの原典抜粋で検索
EEX-EXH-2024-9ffa09697672a703: https://www.jimtof.org/2024/search/jp/ESdetails?e=I7MZeXOMYvw
該当箇所: 出展紹介・主な出展物。追加カードの原典抜粋で検索</x:v>
      </x:c>
    </x:row>
    <x:row r="151" ht="155" customHeight="1">
      <x:c r="A151" s="7" t="str">
        <x:v>段取り・物理作業</x:v>
      </x:c>
      <x:c r="B151" s="7" t="str">
        <x:v>ワーク・パレット・切粉の搬送</x:v>
      </x:c>
      <x:c r="C151" s="20" t="str">
        <x:v>津田駒工業株式会社</x:v>
      </x:c>
      <x:c r="D151" s="7" t="str">
        <x:v>ブロックビルド方式のNC円テーブル</x:v>
      </x:c>
      <x:c r="E151" s="7" t="str">
        <x:v>W2035</x:v>
      </x:c>
      <x:c r="F151" s="7" t="str">
        <x:v>ワーク・パレット・切粉の搬送</x:v>
      </x:c>
      <x:c r="G151" s="7" t="str">
        <x:v>原典抜粋：また、「AWC₋自動ワーク交換装置　スカラー仕様」を初出展。 / ・自動ワーク交換装置AWC　スカラー仕様</x:v>
      </x:c>
      <x:c r="H151" s="7" t="str">
        <x:v>品種・量の変化に合わせて人の供給往復を減らす。</x:v>
      </x:c>
      <x:c r="I151" s="7" t="str">
        <x:v>2024原典抜粋：最高回転数3000min-1のNC傾斜円テーブル【TDB-200】を小型マシニングセンターに搭載し実演致します。 従来型ツダコマNC円テーブル同様の高精度割出加工に加え、旋削加工にも対応。マシニング+旋盤機能を機械1台に集約し、 省力・省人化ニーズにお応えします。 また、昨今の自動化ニーズを満たすためのソリューションとして、加工→バリ取り→検査までの一連の流れにロボットとNC円テーブル を導入した、ツダコマならではの自動化システムをご提案致します。 さらに、ギヤの面取り・バリ取りについて苦慮されているお客様の声に応</x:v>
      </x:c>
      <x:c r="J151" s="7" t="str">
        <x:v>2026原典抜粋：また、「AWC₋自動ワーク交換装置　スカラー仕様」を初出展。 / ・自動ワーク交換装置AWC　スカラー仕様</x:v>
      </x:c>
      <x:c r="K151" s="7" t="str">
        <x:v>原典記述の対照。個別機能の追加・性能差・初登場年は未判定。</x:v>
      </x:c>
      <x:c r="L151" s="7" t="str">
        <x:v>両年説明あり・機能差未判定</x:v>
      </x:c>
      <x:c r="M151" s="7" t="str">
        <x:v>出展説明の一次分類</x:v>
      </x:c>
      <x:c r="N151" s="7" t="str"/>
      <x:c r="O151" s="7" t="str">
        <x:v>承認・例外対応・停止・復帰の境界は未確認</x:v>
      </x:c>
      <x:c r="P151" s="7" t="str">
        <x:v>2026公式カタログ掲載・現地未確認
2026展示予定。既存製品・参考出展・構想等は原典で個別確認</x:v>
      </x:c>
      <x:c r="Q151" s="7" t="str">
        <x:v>AC141</x:v>
      </x:c>
      <x:c t="str" r="R151" s="21">
        <x:f>HYPERLINK("https://www.jimtof.org/search/jp/ESdetails?e=U6GMfQNeW4w","JIMTOF2026 出展ページ")</x:f>
        <x:v>JIMTOF2026 出展ページ</x:v>
      </x:c>
      <x:c t="str" r="S151" s="21">
        <x:f>HYPERLINK("https://www.jimtof.org/2024/search/jp/ESdetails?e=2nZCuJcfrTg","JIMTOF2024 出展ページ")</x:f>
        <x:v>JIMTOF2024 出展ページ</x:v>
      </x:c>
      <x:c r="T151" s="7" t="str">
        <x:v>EEX-EXH-2026-a5adb522f7d7861d: https://www.jimtof.org/search/jp/ESdetails?e=U6GMfQNeW4w
該当箇所: 出展紹介・主な出展物。追加カードの原典抜粋で検索
EEX-EXH-2024-d2fdbc5680cd32aa: https://www.jimtof.org/2024/search/jp/ESdetails?e=2nZCuJcfrTg
該当箇所: 出展紹介・主な出展物。追加カードの原典抜粋で検索</x:v>
      </x:c>
    </x:row>
    <x:row r="152" ht="155" customHeight="1">
      <x:c r="A152" s="7" t="str">
        <x:v>段取り・物理作業</x:v>
      </x:c>
      <x:c r="B152" s="7" t="str">
        <x:v>ワーク・パレット・切粉の搬送</x:v>
      </x:c>
      <x:c r="C152" s="20" t="str">
        <x:v>西島株式会社</x:v>
      </x:c>
      <x:c r="D152" s="7" t="str">
        <x:v>大型超硬丸鋸切断機【NHC-400H】</x:v>
      </x:c>
      <x:c r="E152" s="7" t="str">
        <x:v>S1055</x:v>
      </x:c>
      <x:c r="F152" s="7" t="str">
        <x:v>ワーク・パレット・切粉の搬送</x:v>
      </x:c>
      <x:c r="G152" s="7" t="str">
        <x:v>原典抜粋：単体機にとどまらず、搬送を含む自動化ライン構築やロボットを駆使した供給、 / 〇高精度ボールねじ専用転造盤「NTR-15HP」：ロボット関節用ボールねじの転造加工を実演 / 1世紀にわたる機械製造の技術力と、次世代の自動化システム構築力を融合させ、 / ロボット関節用ボールねじの転造加工を実演 / 搬入搬出の自動化システムも提案可能</x:v>
      </x:c>
      <x:c r="H152" s="7" t="str">
        <x:v>品種・量の変化に合わせて人の供給往復を減らす。</x:v>
      </x:c>
      <x:c r="I152" s="7" t="str">
        <x:v>2024原典抜粋：西島株式会社は専用工作機械メーカーです。 我々はオンリーワンの製品・設備をお客様にご提供することで、お客様の生産をサポートをするサービス業です。 弊社はこの度、おかげさまで創業100周年を迎えます。 そんな我々西島株式会社はこの度、100周年のご愛顧に感謝を申し上げるとともに、 Always Togetherをテーマに掲げて新時代をゆく皆様へ新しいモノづくりの形を提案いたします。 このテーマには「世界のモノづくりを担う皆様に寄り添い技術で応える企業」を目指して進化し続けていくという思いが込められています。 その一例</x:v>
      </x:c>
      <x:c r="J152" s="7" t="str">
        <x:v>2026原典抜粋：単体機にとどまらず、搬送を含む自動化ライン構築やロボットを駆使した供給、 / 〇高精度ボールねじ専用転造盤「NTR-15HP」：ロボット関節用ボールねじの転造加工を実演 / 1世紀にわたる機械製造の技術力と、次世代の自動化システム構築力を融合させ、 / ロボット関節用ボールねじの転造加工を実演 / 搬入搬出の自動化システムも提案可能</x:v>
      </x:c>
      <x:c r="K152" s="7" t="str">
        <x:v>原典記述の対照。個別機能の追加・性能差・初登場年は未判定。</x:v>
      </x:c>
      <x:c r="L152" s="7" t="str">
        <x:v>両年説明あり・機能差未判定</x:v>
      </x:c>
      <x:c r="M152" s="7" t="str">
        <x:v>出展説明の一次分類</x:v>
      </x:c>
      <x:c r="N152" s="7" t="str"/>
      <x:c r="O152" s="7" t="str">
        <x:v>承認・例外対応・停止・復帰の境界は未確認</x:v>
      </x:c>
      <x:c r="P152" s="7" t="str">
        <x:v>2026公式カタログ掲載・現地未確認
2026展示予定。既存製品・参考出展・構想等は原典で個別確認</x:v>
      </x:c>
      <x:c r="Q152" s="7" t="str">
        <x:v>AC164</x:v>
      </x:c>
      <x:c t="str" r="R152" s="21">
        <x:f>HYPERLINK("https://www.jimtof.org/search/jp/ESdetails?e=Al_kYRBXQb0","JIMTOF2026 出展ページ")</x:f>
        <x:v>JIMTOF2026 出展ページ</x:v>
      </x:c>
      <x:c t="str" r="S152" s="21">
        <x:f>HYPERLINK("https://www.jimtof.org/2024/search/jp/ESdetails?e=oIRqneGv-d0","JIMTOF2024 出展ページ")</x:f>
        <x:v>JIMTOF2024 出展ページ</x:v>
      </x:c>
      <x:c r="T152" s="7" t="str">
        <x:v>EEX-EXH-2026-3f157feb25f0c4df: https://www.jimtof.org/search/jp/ESdetails?e=Al_kYRBXQb0
該当箇所: 出展紹介・主な出展物。追加カードの原典抜粋で検索
EEX-EXH-2024-a3e091bba1b08f5d: https://www.jimtof.org/2024/search/jp/ESdetails?e=oIRqneGv-d0
該当箇所: 出展紹介・主な出展物。追加カードの原典抜粋で検索</x:v>
      </x:c>
    </x:row>
    <x:row r="153" ht="155" customHeight="1">
      <x:c r="A153" s="7" t="str">
        <x:v>段取り・物理作業</x:v>
      </x:c>
      <x:c r="B153" s="7" t="str">
        <x:v>ワーク・パレット・切粉の搬送</x:v>
      </x:c>
      <x:c r="C153" s="20" t="str">
        <x:v>ニデックオーケーケー株式会社</x:v>
      </x:c>
      <x:c r="D153" s="7" t="str">
        <x:v>①５軸制御立形マシニングセンタ　VB-X650</x:v>
      </x:c>
      <x:c r="E153" s="7" t="str">
        <x:v>E3012</x:v>
      </x:c>
      <x:c r="F153" s="7" t="str">
        <x:v>ワーク・パレット・切粉の搬送 ／ 自動加工セル・工程集約</x:v>
      </x:c>
      <x:c r="G153" s="7" t="str">
        <x:v>原典抜粋：大容量パレットストッカや拡張マガジンなどの豊富なオプションをご用意し、お客様の自動化・省力化に貢献するソリューションをご提案します。 / 砥石の自動工具交換機能やNC機能により、研削加工の自動化と高能率・高精度化を実現します。 / お客様の自動化・省力化に貢献します。</x:v>
      </x:c>
      <x:c r="H153" s="7" t="str">
        <x:v>品種・量の変化に合わせて人の供給往復を減らす。 ／ 設備間の持替えや繰返し作業が、人手・待ち時間・品質差につながる。</x:v>
      </x:c>
      <x:c r="I153" s="7" t="str">
        <x:v>2024原典抜粋：NIDECグループとしてニデックマシンツール・TAKISAWAとともに出展。 マシニングセンタの新モデル・新機能をご紹介。工程集約やリードタイム削減、加工精度向上、また自動化や省人化をご提案します。 ・5軸制御 横形マシニングセンタ [新製品] ・5軸制御 立形マシニングセンタVB-X650 ・横形マシニングセンタHMC500</x:v>
      </x:c>
      <x:c r="J153" s="7" t="str">
        <x:v>2026原典抜粋：大容量パレットストッカや拡張マガジンなどの豊富なオプションをご用意し、お客様の自動化・省力化に貢献するソリューションをご提案します。 / 砥石の自動工具交換機能やNC機能により、研削加工の自動化と高能率・高精度化を実現します。 / お客様の自動化・省力化に貢献します。</x:v>
      </x:c>
      <x:c r="K153" s="7" t="str">
        <x:v>原典記述の対照。個別機能の追加・性能差・初登場年は未判定。</x:v>
      </x:c>
      <x:c r="L153" s="7" t="str">
        <x:v>両年説明あり・機能差未判定</x:v>
      </x:c>
      <x:c r="M153" s="7" t="str">
        <x:v>出展説明の一次分類</x:v>
      </x:c>
      <x:c r="N153" s="7" t="str"/>
      <x:c r="O153" s="7" t="str">
        <x:v>承認・例外対応・停止・復帰の境界は未確認</x:v>
      </x:c>
      <x:c r="P153" s="7" t="str">
        <x:v>2026公式カタログ掲載・現地未確認
2026展示予定。既存製品・参考出展・構想等は原典で個別確認</x:v>
      </x:c>
      <x:c r="Q153" s="7" t="str">
        <x:v>AC171</x:v>
      </x:c>
      <x:c t="str" r="R153" s="21">
        <x:f>HYPERLINK("https://www.jimtof.org/search/jp/ESdetails?e=cIGcLA71ub0","JIMTOF2026 出展ページ")</x:f>
        <x:v>JIMTOF2026 出展ページ</x:v>
      </x:c>
      <x:c t="str" r="S153" s="21">
        <x:f>HYPERLINK("https://www.jimtof.org/2024/search/jp/ESdetails?e=15EOJWcvGE8","JIMTOF2024 出展ページ")</x:f>
        <x:v>JIMTOF2024 出展ページ</x:v>
      </x:c>
      <x:c r="T153" s="7" t="str">
        <x:v>EEX-EXH-2026-3211cafa924b2f84: https://www.jimtof.org/search/jp/ESdetails?e=cIGcLA71ub0
該当箇所: 出展紹介・主な出展物。追加カードの原典抜粋で検索
EEX-EXH-2024-44f5c8e1a79f9707: https://www.jimtof.org/2024/search/jp/ESdetails?e=15EOJWcvGE8
該当箇所: 出展紹介・主な出展物。追加カードの原典抜粋で検索</x:v>
      </x:c>
    </x:row>
    <x:row r="154" ht="155" customHeight="1">
      <x:c r="A154" s="7" t="str">
        <x:v>段取り・物理作業</x:v>
      </x:c>
      <x:c r="B154" s="7" t="str">
        <x:v>ワーク・パレット・切粉の搬送</x:v>
      </x:c>
      <x:c r="C154" s="20" t="str">
        <x:v>日本スピードショア株式会社</x:v>
      </x:c>
      <x:c r="D154" s="7" t="str">
        <x:v>エアロラップ、レーザークリーニング装置</x:v>
      </x:c>
      <x:c r="E154" s="7" t="str">
        <x:v>E1065</x:v>
      </x:c>
      <x:c r="F154" s="7" t="str">
        <x:v>ワーク・パレット・切粉の搬送</x:v>
      </x:c>
      <x:c r="G154" s="7" t="str">
        <x:v>原典抜粋：また、汎用機の他に協働ロボット仕様の稼働展示も行います。</x:v>
      </x:c>
      <x:c r="H154" s="7" t="str">
        <x:v>品種・量の変化に合わせて人の供給往復を減らす。</x:v>
      </x:c>
      <x:c r="I154" s="7" t="str">
        <x:v>2024原典抜粋：本展示会では、水分を含有した研磨材を用いる事で、誰でも簡単に、短時間で鏡面磨きが可能なブラスト装置【エアロラップ】を出展致します。 汎用仕様は勿論、自動化ロボット仕様や、本展示会が初出展となる協働ロボット仕様の稼働展示も行います。 実際に展示会場での加工体験も可能となりますので、エアロラップで磨きを試したい物が御座いましたら、是非お持ち込み下さい。 その他にも設備保全分野で、配管内の流量を外部から測る事が可能な【超音波式外付け流量計測器】や、静電気を用いて油内の不純物を除去する【静電浄油機】も展示致します。 お客様</x:v>
      </x:c>
      <x:c r="J154" s="7" t="str">
        <x:v>2026原典抜粋：また、汎用機の他に協働ロボット仕様の稼働展示も行います。</x:v>
      </x:c>
      <x:c r="K154" s="7" t="str">
        <x:v>原典記述の対照。個別機能の追加・性能差・初登場年は未判定。</x:v>
      </x:c>
      <x:c r="L154" s="7" t="str">
        <x:v>両年説明あり・機能差未判定</x:v>
      </x:c>
      <x:c r="M154" s="7" t="str">
        <x:v>出展説明の一次分類</x:v>
      </x:c>
      <x:c r="N154" s="7" t="str"/>
      <x:c r="O154" s="7" t="str">
        <x:v>承認・例外対応・停止・復帰の境界は未確認</x:v>
      </x:c>
      <x:c r="P154" s="7" t="str">
        <x:v>2026公式カタログ掲載・現地未確認
2026展示予定。既存製品・参考出展・構想等は原典で個別確認</x:v>
      </x:c>
      <x:c r="Q154" s="7" t="str">
        <x:v>AC177</x:v>
      </x:c>
      <x:c t="str" r="R154" s="21">
        <x:f>HYPERLINK("https://www.jimtof.org/search/jp/ESdetails?e=MoNymoTMXc4","JIMTOF2026 出展ページ")</x:f>
        <x:v>JIMTOF2026 出展ページ</x:v>
      </x:c>
      <x:c t="str" r="S154" s="21">
        <x:f>HYPERLINK("https://www.jimtof.org/2024/search/jp/ESdetails?e=6upRHAJ7DeY","JIMTOF2024 出展ページ")</x:f>
        <x:v>JIMTOF2024 出展ページ</x:v>
      </x:c>
      <x:c r="T154" s="7" t="str">
        <x:v>EEX-EXH-2026-89d5c82f4efcbe2c: https://www.jimtof.org/search/jp/ESdetails?e=MoNymoTMXc4
該当箇所: 出展紹介・主な出展物。追加カードの原典抜粋で検索
EEX-EXH-2024-8b115228c947b519: https://www.jimtof.org/2024/search/jp/ESdetails?e=6upRHAJ7DeY
該当箇所: 出展紹介・主な出展物。追加カードの原典抜粋で検索</x:v>
      </x:c>
    </x:row>
    <x:row r="155" ht="155" customHeight="1">
      <x:c r="A155" s="7" t="str">
        <x:v>段取り・物理作業</x:v>
      </x:c>
      <x:c r="B155" s="7" t="str">
        <x:v>ワーク・パレット・切粉の搬送</x:v>
      </x:c>
      <x:c r="C155" s="20" t="str">
        <x:v>日本精機株式会社</x:v>
      </x:c>
      <x:c r="D155" s="7" t="str">
        <x:v>静圧センタレスグラインダー：LSG-20（ロボットローダー仕様）</x:v>
      </x:c>
      <x:c r="E155" s="7" t="str">
        <x:v>E7092</x:v>
      </x:c>
      <x:c r="F155" s="7" t="str">
        <x:v>ワーク・パレット・切粉の搬送 ／ 自動加工セル・工程集約</x:v>
      </x:c>
      <x:c r="G155" s="7" t="str">
        <x:v>原典抜粋：機械精度・剛性・操作性といった機械本体の性能面向上だけでなく、自動化・省力化にも積極的に取り組み、出展機にはCNC装置やオートローダーを搭載して展示します。 / ●静圧センタレスグラインダー：LSG-20（ロボットローダー仕様） / 出展機は3軸CNC搭載型で、ロボット付きオートローダーが付属しております。 / 複雑な形状のワークを全自動でインフィード研削することができます。</x:v>
      </x:c>
      <x:c r="H155" s="7" t="str">
        <x:v>品種・量の変化に合わせて人の供給往復を減らす。 ／ 設備間の持替えや繰返し作業が、人手・待ち時間・品質差につながる。</x:v>
      </x:c>
      <x:c r="I155" s="7" t="str">
        <x:v>2024原典抜粋：静圧センタレスグラインダー2台を出展します。 機械精度・剛性・操作性といった機械本体の性能面向上だけでなく、自動化・省力化にも積極的に取り組み、出展機にはCNC装置やオートローダーを搭載して展示します。 高度化・省力化が進む加工現場の要求に応え得る、研削盤本機と周辺機器類の諸技術を組み合わせた研削加工システムを総合的にご提案致します。お客様の要望や課題解決の一助に、是非お立ち寄りください。 CNC静圧センタレスグラインダー「MSG-18」と「LSG-20」の2台を出展。 どちらの機種も主軸と調整車軸に静圧軸受を採用</x:v>
      </x:c>
      <x:c r="J155" s="7" t="str">
        <x:v>2026原典抜粋：機械精度・剛性・操作性といった機械本体の性能面向上だけでなく、自動化・省力化にも積極的に取り組み、出展機にはCNC装置やオートローダーを搭載して展示します。 / ●静圧センタレスグラインダー：LSG-20（ロボットローダー仕様） / 出展機は3軸CNC搭載型で、ロボット付きオートローダーが付属しております。 / 複雑な形状のワークを全自動でインフィード研削することができます。</x:v>
      </x:c>
      <x:c r="K155" s="7" t="str">
        <x:v>原典記述の対照。個別機能の追加・性能差・初登場年は未判定。</x:v>
      </x:c>
      <x:c r="L155" s="7" t="str">
        <x:v>両年説明あり・機能差未判定</x:v>
      </x:c>
      <x:c r="M155" s="7" t="str">
        <x:v>出展説明の一次分類</x:v>
      </x:c>
      <x:c r="N155" s="7" t="str"/>
      <x:c r="O155" s="7" t="str">
        <x:v>承認・例外対応・停止・復帰の境界は未確認</x:v>
      </x:c>
      <x:c r="P155" s="7" t="str">
        <x:v>2026公式カタログ掲載・現地未確認
2026展示予定。既存製品・参考出展・構想等は原典で個別確認</x:v>
      </x:c>
      <x:c r="Q155" s="7" t="str">
        <x:v>AC179</x:v>
      </x:c>
      <x:c t="str" r="R155" s="21">
        <x:f>HYPERLINK("https://www.jimtof.org/search/jp/ESdetails?e=Qva663phrKY","JIMTOF2026 出展ページ")</x:f>
        <x:v>JIMTOF2026 出展ページ</x:v>
      </x:c>
      <x:c t="str" r="S155" s="21">
        <x:f>HYPERLINK("https://www.jimtof.org/2024/search/jp/ESdetails?e=eCkrZJ7obRI","JIMTOF2024 出展ページ")</x:f>
        <x:v>JIMTOF2024 出展ページ</x:v>
      </x:c>
      <x:c r="T155" s="7" t="str">
        <x:v>EEX-EXH-2026-e68d8c12e3395528: https://www.jimtof.org/search/jp/ESdetails?e=Qva663phrKY
該当箇所: 出展紹介・主な出展物。追加カードの原典抜粋で検索
EEX-EXH-2024-354f4cd97c56470a: https://www.jimtof.org/2024/search/jp/ESdetails?e=eCkrZJ7obRI
該当箇所: 出展紹介・主な出展物。追加カードの原典抜粋で検索</x:v>
      </x:c>
    </x:row>
    <x:row r="156" ht="155" customHeight="1">
      <x:c r="A156" s="7" t="str">
        <x:v>段取り・物理作業</x:v>
      </x:c>
      <x:c r="B156" s="7" t="str">
        <x:v>ワーク・パレット・切粉の搬送</x:v>
      </x:c>
      <x:c r="C156" s="20" t="str">
        <x:v>株式会社白山機工</x:v>
      </x:c>
      <x:c r="D156" s="7" t="str">
        <x:v>AMRによる切り屑自動回収</x:v>
      </x:c>
      <x:c r="E156" s="7" t="str">
        <x:v>E2007</x:v>
      </x:c>
      <x:c r="F156" s="7" t="str">
        <x:v>加工機から出る切粉容器を回収する</x:v>
      </x:c>
      <x:c r="G156" s="7" t="str">
        <x:v>AMRで切粉容器を回収。実演と模型を併記。</x:v>
      </x:c>
      <x:c r="H156" s="7" t="str">
        <x:v>品種・量の変化に合わせて人の供給往復を減らす。</x:v>
      </x:c>
      <x:c r="I156" s="7" t="str">
        <x:v>2024は高精度ろ過、スマートチップコンベヤ、複数機からのポンプバック集中処理。</x:v>
      </x:c>
      <x:c r="J156" s="7" t="str">
        <x:v>2026はAMR切り屑回収、自由なレイアウトのコンベヤ、ろ過を実演・模型で紹介。</x:v>
      </x:c>
      <x:c r="K156" s="7" t="str">
        <x:v>2024のろ過・集中処理から、2026はAMR回収を追加記載。</x:v>
      </x:c>
      <x:c r="L156" s="7" t="str">
        <x:v>個別比較あり</x:v>
      </x:c>
      <x:c r="M156" s="7" t="str">
        <x:v>詳細比較済み</x:v>
      </x:c>
      <x:c r="N156" s="7" t="str"/>
      <x:c r="O156" s="7" t="str">
        <x:v>満杯・こぼれ・ドッキング失敗・容器交換の対応は未確認。</x:v>
      </x:c>
      <x:c r="P156" s="7" t="str">
        <x:v>2026は実演・模型を併用。AMR回収の実機／模型の範囲は要確認
2026展示予定。既存製品・参考出展・構想等は原典で個別確認</x:v>
      </x:c>
      <x:c r="Q156" s="7" t="str">
        <x:v>AC186</x:v>
      </x:c>
      <x:c t="str" r="R156" s="21">
        <x:f>HYPERLINK("https://www.jimtof.org/search/jp/ESdetails?e=FNFR7REQOl4","JIMTOF2026 出展ページ")</x:f>
        <x:v>JIMTOF2026 出展ページ</x:v>
      </x:c>
      <x:c t="str" r="S156" s="21">
        <x:f>HYPERLINK("https://www.jimtof.org/2024/search/jp/ESdetails?e=krDglZoYKFc","JIMTOF2024 出展ページ")</x:f>
        <x:v>JIMTOF2024 出展ページ</x:v>
      </x:c>
      <x:c r="T156" s="7" t="str">
        <x:v>EEX-EXH-2026-d8a50e23a9101b11: https://www.jimtof.org/search/jp/ESdetails?e=FNFR7REQOl4
該当箇所: 出展紹介・主な出展物。追加カードの原典抜粋で検索
EEX-EXH-2024-89cb7807f64be75b: https://www.jimtof.org/2024/search/jp/ESdetails?e=krDglZoYKFc
該当箇所: 出展紹介・主な出展物。追加カードの原典抜粋で検索
EDP-29: https://www.hakusankiko.co.jp/news/event/8837/
該当箇所: AMR切り屑回収システムを実演・模型で紹介</x:v>
      </x:c>
    </x:row>
    <x:row r="157" ht="155" customHeight="1">
      <x:c r="A157" s="7" t="str">
        <x:v>段取り・物理作業</x:v>
      </x:c>
      <x:c r="B157" s="7" t="str">
        <x:v>ワーク・パレット・切粉の搬送</x:v>
      </x:c>
      <x:c r="C157" s="20" t="str">
        <x:v>株式会社長谷川機械製作所</x:v>
      </x:c>
      <x:c r="D157" s="7" t="str">
        <x:v>展示会では、複合加工と自動化を軸に、当社の最新ソリューションを紹介します。</x:v>
      </x:c>
      <x:c r="E157" s="7" t="str">
        <x:v>E7051</x:v>
      </x:c>
      <x:c r="F157" s="7" t="str">
        <x:v>ワーク・パレット・切粉の搬送 ／ 自動加工セル・工程集約</x:v>
      </x:c>
      <x:c r="G157" s="7" t="str">
        <x:v>原典抜粋：今回の展示会では、「複合加工と自動化」をテーマに掲げます。 / 製造現場では人手不足への対応として自動化の重要性もますます高まっています。 / 展示会では、複合加工と自動化を軸に、当社の最新ソリューションを紹介します。 / 旋削機能を搭載した同時5軸マシニングセンタ「PM320-5XT」に自動供給ロボットを / 組み合わせた自動化システムを展示します。</x:v>
      </x:c>
      <x:c r="H157" s="7" t="str">
        <x:v>品種・量の変化に合わせて人の供給往復を減らす。 ／ 設備間の持替えや繰返し作業が、人手・待ち時間・品質差につながる。</x:v>
      </x:c>
      <x:c r="I157" s="7" t="str">
        <x:v>2024原典抜粋：「複合加工と自動化」をテーマにした。 高精度でコンパクトな複合加工機のニーズと、人手不足を解消するための自動化ニーズが高まる。 それらに応えるために、2スピンドル２タレットの複合加工機「CW42MY」だけでなく、小型精密CNCタレット旋盤「C42MYS」に協働ロボットを付加して展示する。 長谷川機械製作所の新製品、5軸精密マシニングセンタ「PM320-5X」。 オーバーハングを最小限に抑えた高剛性構造、振動及び熱変位解析を重ねた鋳物構造を採用 CNC傾斜円テーブルはバックラッシュを抑えたローラードライブにより高速か</x:v>
      </x:c>
      <x:c r="J157" s="7" t="str">
        <x:v>2026原典抜粋：今回の展示会では、「複合加工と自動化」をテーマに掲げます。 / 製造現場では人手不足への対応として自動化の重要性もますます高まっています。 / 展示会では、複合加工と自動化を軸に、当社の最新ソリューションを紹介します。 / 旋削機能を搭載した同時5軸マシニングセンタ「PM320-5XT」に自動供給ロボットを / 組み合わせた自動化システムを展示します。</x:v>
      </x:c>
      <x:c r="K157" s="7" t="str">
        <x:v>原典記述の対照。個別機能の追加・性能差・初登場年は未判定。</x:v>
      </x:c>
      <x:c r="L157" s="7" t="str">
        <x:v>両年説明あり・機能差未判定</x:v>
      </x:c>
      <x:c r="M157" s="7" t="str">
        <x:v>出展説明の一次分類</x:v>
      </x:c>
      <x:c r="N157" s="7" t="str"/>
      <x:c r="O157" s="7" t="str">
        <x:v>承認・例外対応・停止・復帰の境界は未確認</x:v>
      </x:c>
      <x:c r="P157" s="7" t="str">
        <x:v>2026公式カタログ掲載・現地未確認
2026展示予定。既存製品・参考出展・構想等は原典で個別確認</x:v>
      </x:c>
      <x:c r="Q157" s="7" t="str">
        <x:v>AC188</x:v>
      </x:c>
      <x:c t="str" r="R157" s="21">
        <x:f>HYPERLINK("https://www.jimtof.org/search/jp/ESdetails?e=gRk0brhHn-M","JIMTOF2026 出展ページ")</x:f>
        <x:v>JIMTOF2026 出展ページ</x:v>
      </x:c>
      <x:c t="str" r="S157" s="21">
        <x:f>HYPERLINK("https://www.jimtof.org/2024/search/jp/ESdetails?e=-bHzD_rkD3E","JIMTOF2024 出展ページ")</x:f>
        <x:v>JIMTOF2024 出展ページ</x:v>
      </x:c>
      <x:c r="T157" s="7" t="str">
        <x:v>EEX-EXH-2026-e84a14f7dc6094b9: https://www.jimtof.org/search/jp/ESdetails?e=gRk0brhHn-M
該当箇所: 出展紹介・主な出展物。追加カードの原典抜粋で検索
EEX-EXH-2024-448fe3cc2845819c: https://www.jimtof.org/2024/search/jp/ESdetails?e=-bHzD_rkD3E
該当箇所: 出展紹介・主な出展物。追加カードの原典抜粋で検索</x:v>
      </x:c>
    </x:row>
    <x:row r="158" ht="155" customHeight="1">
      <x:c r="A158" s="7" t="str">
        <x:v>段取り・物理作業</x:v>
      </x:c>
      <x:c r="B158" s="7" t="str">
        <x:v>ワーク・パレット・切粉の搬送</x:v>
      </x:c>
      <x:c r="C158" s="20" t="str">
        <x:v>株式会社ファースト技研</x:v>
      </x:c>
      <x:c r="D158" s="7" t="str">
        <x:v>「スーパー割り切り：立型ターレットセンター(オートワークチェンジャー付)」</x:v>
      </x:c>
      <x:c r="E158" s="7" t="str">
        <x:v>S1006</x:v>
      </x:c>
      <x:c r="F158" s="7" t="str">
        <x:v>ワーク・パレット・切粉の搬送 ／ 自動加工セル・工程集約</x:v>
      </x:c>
      <x:c r="G158" s="7" t="str">
        <x:v>原典抜粋：■自動化にも完全対応 / ロボット含む搬送装置とのコンパクトかつ高効率な自動化ラインの構築が可能。</x:v>
      </x:c>
      <x:c r="H158" s="7" t="str">
        <x:v>品種・量の変化に合わせて人の供給往復を減らす。 ／ 設備間の持替えや繰返し作業が、人手・待ち時間・品質差につながる。</x:v>
      </x:c>
      <x:c r="I158" s="7" t="str">
        <x:v>2024原典抜粋：『省スペース』 『省エネルギー』 『低コスト』を実現した【割り切りシリーズ】 使いやすさ,コストパフォーマンスを徹底的に追求し、自動化システムが容易に出来る 「スーパー割り切り(小型ターレットセンター)＋AWC(オートワークチェンジャー）」に 割り切りローダー”キャリーくん”をセット展示いたします。 人手が足りないし、自動化をしたいがロボット操作に不慣れ・・・どうしよう・・・ ⇩ その悩み「割り切りローダー：キャリーくん」がスマートに運び、解決します！！ ◉シンプル構造で価格を抑えスマートに！！ ◉設備とセットでシ</x:v>
      </x:c>
      <x:c r="J158" s="7" t="str">
        <x:v>2026原典抜粋：■自動化にも完全対応 / ロボット含む搬送装置とのコンパクトかつ高効率な自動化ラインの構築が可能。</x:v>
      </x:c>
      <x:c r="K158" s="7" t="str">
        <x:v>原典記述の対照。個別機能の追加・性能差・初登場年は未判定。</x:v>
      </x:c>
      <x:c r="L158" s="7" t="str">
        <x:v>両年説明あり・機能差未判定</x:v>
      </x:c>
      <x:c r="M158" s="7" t="str">
        <x:v>出展説明の一次分類</x:v>
      </x:c>
      <x:c r="N158" s="7" t="str"/>
      <x:c r="O158" s="7" t="str">
        <x:v>承認・例外対応・停止・復帰の境界は未確認</x:v>
      </x:c>
      <x:c r="P158" s="7" t="str">
        <x:v>2026公式カタログ掲載・現地未確認
2026展示予定。既存製品・参考出展・構想等は原典で個別確認</x:v>
      </x:c>
      <x:c r="Q158" s="7" t="str">
        <x:v>AC193</x:v>
      </x:c>
      <x:c t="str" r="R158" s="21">
        <x:f>HYPERLINK("https://www.jimtof.org/search/jp/ESdetails?e=EE3GcaODxGA","JIMTOF2026 出展ページ")</x:f>
        <x:v>JIMTOF2026 出展ページ</x:v>
      </x:c>
      <x:c t="str" r="S158" s="21">
        <x:f>HYPERLINK("https://www.jimtof.org/2024/search/jp/ESdetails?e=xd6HijBGp38","JIMTOF2024 出展ページ")</x:f>
        <x:v>JIMTOF2024 出展ページ</x:v>
      </x:c>
      <x:c r="T158" s="7" t="str">
        <x:v>EEX-EXH-2026-c6b62421f514a00b: https://www.jimtof.org/search/jp/ESdetails?e=EE3GcaODxGA
該当箇所: 出展紹介・主な出展物。追加カードの原典抜粋で検索
EEX-EXH-2024-158d29a4db083695: https://www.jimtof.org/2024/search/jp/ESdetails?e=xd6HijBGp38
該当箇所: 出展紹介・主な出展物。追加カードの原典抜粋で検索</x:v>
      </x:c>
    </x:row>
    <x:row r="159" ht="155" customHeight="1">
      <x:c r="A159" s="7" t="str">
        <x:v>段取り・物理作業</x:v>
      </x:c>
      <x:c r="B159" s="7" t="str">
        <x:v>ワーク・パレット・切粉の搬送</x:v>
      </x:c>
      <x:c r="C159" s="20" t="str">
        <x:v>村田機械株式会社</x:v>
      </x:c>
      <x:c r="D159" s="7" t="str">
        <x:v>【NEW】大型・重量ワークの自動化</x:v>
      </x:c>
      <x:c r="E159" s="7" t="str">
        <x:v>E3031</x:v>
      </x:c>
      <x:c r="F159" s="7" t="str">
        <x:v>ワーク・パレット・切粉の搬送 ／ 自動加工セル・工程集約</x:v>
      </x:c>
      <x:c r="G159" s="7" t="str">
        <x:v>原典抜粋：製造業における人手不足や技能継承の課題を背景に、省人化・自動化へのニーズはますます高まっています。 / ムラテックでは、長年培ってきた自動化システムの実績とノウハウを活かし、生産現場に合わせた最適な自動化をご提案します。 / 今回の出展では、ガントリーローダによる大型・重量ワーク搬送の自動化を実現する立型CNCターニングセンタ「MVH600」や、 / これから自動化を始めるお客様に向け、導入しやすい自動化仕様をワンパッケージ化した「MS</x:v>
      </x:c>
      <x:c r="H159" s="7" t="str">
        <x:v>品種・量の変化に合わせて人の供給往復を減らす。 ／ 設備間の持替えや繰返し作業が、人手・待ち時間・品質差につながる。</x:v>
      </x:c>
      <x:c r="I159" s="7" t="str">
        <x:v>2024原典抜粋：昨今の労働人口問題やモノづくりにおける人手不足により、省人化や自動化が注目を集め、さまざまな生産現場に導入されています。かつては量産目的の自動化が一般的なイメージでしたが、現在では、それぞれの環境に最適な自動化が求められています。 ムラテックは、30年以上にわたる自動化生産システムの経験と実績を活かし、皆様に期待を抱いて頂けるような提案でご要望にお応えします。 今回の出展では生産設備の自動化だけでなく、材料投入や完成品の取り出し、段取り替えなど作業者の介入を要する場面での省人化・自動化をコンセプトとしました。お客様</x:v>
      </x:c>
      <x:c r="J159" s="7" t="str">
        <x:v>2026原典抜粋：製造業における人手不足や技能継承の課題を背景に、省人化・自動化へのニーズはますます高まっています。 / ムラテックでは、長年培ってきた自動化システムの実績とノウハウを活かし、生産現場に合わせた最適な自動化をご提案します。 / 今回の出展では、ガントリーローダによる大型・重量ワーク搬送の自動化を実現する立型CNCターニングセンタ「MVH600」や、 / これから自動化を始めるお客様に向け、導入しやすい自動化仕様をワンパッケージ化した「MS</x:v>
      </x:c>
      <x:c r="K159" s="7" t="str">
        <x:v>原典記述の対照。個別機能の追加・性能差・初登場年は未判定。</x:v>
      </x:c>
      <x:c r="L159" s="7" t="str">
        <x:v>両年説明あり・機能差未判定</x:v>
      </x:c>
      <x:c r="M159" s="7" t="str">
        <x:v>出展説明の一次分類</x:v>
      </x:c>
      <x:c r="N159" s="7" t="str"/>
      <x:c r="O159" s="7" t="str">
        <x:v>承認・例外対応・停止・復帰の境界は未確認</x:v>
      </x:c>
      <x:c r="P159" s="7" t="str">
        <x:v>2026公式カタログ掲載・現地未確認
2026展示予定。既存製品・参考出展・構想等は原典で個別確認</x:v>
      </x:c>
      <x:c r="Q159" s="7" t="str">
        <x:v>AC224</x:v>
      </x:c>
      <x:c t="str" r="R159" s="21">
        <x:f>HYPERLINK("https://www.jimtof.org/search/jp/ESdetails?e=Jc5GYaUqS1I","JIMTOF2026 出展ページ")</x:f>
        <x:v>JIMTOF2026 出展ページ</x:v>
      </x:c>
      <x:c t="str" r="S159" s="21">
        <x:f>HYPERLINK("https://www.jimtof.org/2024/search/jp/ESdetails?e=adMRptVL49I","JIMTOF2024 出展ページ")</x:f>
        <x:v>JIMTOF2024 出展ページ</x:v>
      </x:c>
      <x:c r="T159" s="7" t="str">
        <x:v>EEX-EXH-2026-8add052d1108d4ea: https://www.jimtof.org/search/jp/ESdetails?e=Jc5GYaUqS1I
該当箇所: 出展紹介・主な出展物。追加カードの原典抜粋で検索
EEX-EXH-2024-4853ea05faa8c415: https://www.jimtof.org/2024/search/jp/ESdetails?e=adMRptVL49I
該当箇所: 出展紹介・主な出展物。追加カードの原典抜粋で検索</x:v>
      </x:c>
    </x:row>
    <x:row r="160" ht="155" customHeight="1">
      <x:c r="A160" s="7" t="str">
        <x:v>段取り・物理作業</x:v>
      </x:c>
      <x:c r="B160" s="7" t="str">
        <x:v>ワーク・パレット・切粉の搬送</x:v>
      </x:c>
      <x:c r="C160" s="20" t="str">
        <x:v>株式会社山善</x:v>
      </x:c>
      <x:c r="D160" s="7" t="str">
        <x:v>コンパクトマシニングセンタ（ブラザー：SPEEDIO S300Xd2）</x:v>
      </x:c>
      <x:c r="E160" s="7" t="str">
        <x:v>S1056</x:v>
      </x:c>
      <x:c r="F160" s="7" t="str">
        <x:v>加工・計測セルと図面・設備管理</x:v>
      </x:c>
      <x:c r="G160" s="7" t="str">
        <x:v>加工機・協働ロボット・三次元測定機のセルと「ゲンバト」を紹介。</x:v>
      </x:c>
      <x:c r="H160" s="7" t="str">
        <x:v>過去図面と原価を探し、案件ごとに見積を組み立てる負担。 ／ 品種・量の変化に合わせて人の供給往復を減らす。 ／ 測定の段取り・搬送・記録に人手が残り、結果が加工改善につながりにくい。 ／ 図面・工具・品質・工程情報が別々に保存され、再利用しにくい。</x:v>
      </x:c>
      <x:c r="I160" s="7" t="str">
        <x:v>2024原典抜粋：製造『現場と』ともに、「ゲンバト」。 図面管理や不良記録、設備管理など、製造現場のデジタル化をサポートするものづくり企業向け複合型 SaaS プラットフォーム「ゲンバト」を出展致します。 製造業を取り巻く環境は大きく変わり、人手不足、技術（事業）承継、技術開発の停滞、営業力不足など課題は様々です。ゲンバトは、これらの課題を解決する様々なサービスを使いたいものだけ、すぐに始められる、安価なサブスクリプションでご提供します。 サービスの品揃えは、生産性向上、事業機会の創出支援、技術（事業）承継のサポート、ホームページ作</x:v>
      </x:c>
      <x:c r="J160" s="7" t="str">
        <x:v>2026原典抜粋：自動化・省人化をテーマに、コンパクトマシニングセンタ、協働ロボット、現場設置型三次元測定機を融合した自動化セルを実機展示します。 / また、設備管理や図面管理など製造現場のデジタル化を支援する「ゲンバト」も展示します。 / 自動化からデジタル化まで、製造現場の課題解決につながる実践的なソリューションをご覧いただけます。 / 協働ロボット（ファナック：CRX-20iA）</x:v>
      </x:c>
      <x:c r="K160" s="7" t="str">
        <x:v>原典記述の対照。個別機能の追加・性能差・初登場年は未判定。</x:v>
      </x:c>
      <x:c r="L160" s="7" t="str">
        <x:v>両年説明あり・機能差未判定</x:v>
      </x:c>
      <x:c r="M160" s="7" t="str">
        <x:v>出展説明の一次分類</x:v>
      </x:c>
      <x:c r="N160" s="7" t="str">
        <x:v>関連（図面・文書管理）。AI見積の直接事例ではない。</x:v>
      </x:c>
      <x:c r="O160" s="7" t="str">
        <x:v>承認・例外対応・停止・復帰の境界は未確認</x:v>
      </x:c>
      <x:c r="P160" s="7" t="str">
        <x:v>2026公式カタログ掲載・現地未確認
2026展示予定。既存製品・参考出展・構想等は原典で個別確認</x:v>
      </x:c>
      <x:c r="Q160" s="7" t="str">
        <x:v>AC232</x:v>
      </x:c>
      <x:c t="str" r="R160" s="21">
        <x:f>HYPERLINK("https://www.jimtof.org/search/jp/ESdetails?e=KSoLpsGPfRQ","JIMTOF2026 出展ページ")</x:f>
        <x:v>JIMTOF2026 出展ページ</x:v>
      </x:c>
      <x:c t="str" r="S160" s="21">
        <x:f>HYPERLINK("https://www.jimtof.org/2024/search/jp/ESdetails?e=ef8JkkY-hq4","JIMTOF2024 出展ページ")</x:f>
        <x:v>JIMTOF2024 出展ページ</x:v>
      </x:c>
      <x:c r="T160" s="7" t="str">
        <x:v>EEX-EXH-2026-4be1498c7e4dd9c4: https://www.jimtof.org/search/jp/ESdetails?e=KSoLpsGPfRQ
該当箇所: 出展紹介・主な出展物。追加カードの原典抜粋で検索
EEX-EXH-2024-665608a64c76471c: https://www.jimtof.org/2024/search/jp/ESdetails?e=ef8JkkY-hq4
該当箇所: 出展紹介・主な出展物。追加カードの原典抜粋で検索</x:v>
      </x:c>
    </x:row>
    <x:row r="161" ht="155" customHeight="1">
      <x:c r="A161" s="7" t="str">
        <x:v>段取り・物理作業</x:v>
      </x:c>
      <x:c r="B161" s="7" t="str">
        <x:v>ワーク・パレット・切粉の搬送</x:v>
      </x:c>
      <x:c r="C161" s="20" t="str">
        <x:v>ユナイテッドグラインディング株式会社</x:v>
      </x:c>
      <x:c r="D161" s="7" t="str">
        <x:v>UNITED GRINDING GROUP</x:v>
      </x:c>
      <x:c r="E161" s="7" t="str">
        <x:v>E8001</x:v>
      </x:c>
      <x:c r="F161" s="7" t="str">
        <x:v>ワーク・パレット・切粉の搬送 ／ 自動加工セル・工程集約</x:v>
      </x:c>
      <x:c r="G161" s="7" t="str">
        <x:v>原典抜粋：工具製造から測定、自動化までをカバーするトータルソリューションをご紹介します。 / さらにBLOHM、JUNG、の技術・サービスもご紹介し、お客様の生産性向上、高精度化、自動化、省人化を支援します。 / ・AUTOMATED TOOL PRODUCTION（ATP）自動化責任者来日。 / 工具製造自動化のノウハウを直接ご相談いただけます。 / 工具製造、再研磨、測定、自動化までを含めたトータルソリューションをご提案いたします。</x:v>
      </x:c>
      <x:c r="H161" s="7" t="str">
        <x:v>品種・量の変化に合わせて人の供給往復を減らす。 ／ 設備間の持替えや繰返し作業が、人手・待ち時間・品質差につながる。</x:v>
      </x:c>
      <x:c r="I161" s="7" t="str">
        <x:v>同一正規化名称の2024詳細なし。新規出展・技術不存在とは判断しない。</x:v>
      </x:c>
      <x:c r="J161" s="7" t="str">
        <x:v>2026原典抜粋：工具製造から測定、自動化までをカバーするトータルソリューションをご紹介します。 / さらにBLOHM、JUNG、の技術・サービスもご紹介し、お客様の生産性向上、高精度化、自動化、省人化を支援します。 / ・AUTOMATED TOOL PRODUCTION（ATP）自動化責任者来日。 / 工具製造自動化のノウハウを直接ご相談いただけます。 / 工具製造、再研磨、測定、自動化までを含めたトータルソリューションをご提案いたします。</x:v>
      </x:c>
      <x:c r="K161" s="7" t="str">
        <x:v>原典記述の対照。個別機能の追加・性能差・初登場年は未判定。</x:v>
      </x:c>
      <x:c r="L161" s="7" t="str">
        <x:v>年度資料不足・比較不能</x:v>
      </x:c>
      <x:c r="M161" s="7" t="str">
        <x:v>出展説明の一次分類</x:v>
      </x:c>
      <x:c r="N161" s="7" t="str"/>
      <x:c r="O161" s="7" t="str">
        <x:v>承認・例外対応・停止・復帰の境界は未確認</x:v>
      </x:c>
      <x:c r="P161" s="7" t="str">
        <x:v>2026公式カタログ掲載・現地未確認
2026展示予定。既存製品・参考出展・構想等は原典で個別確認</x:v>
      </x:c>
      <x:c r="Q161" s="7" t="str">
        <x:v>AC235</x:v>
      </x:c>
      <x:c t="str" r="R161" s="21">
        <x:f>HYPERLINK("https://www.jimtof.org/search/jp/ESdetails?e=21UIMFf4EUI","JIMTOF2026 出展ページ")</x:f>
        <x:v>JIMTOF2026 出展ページ</x:v>
      </x:c>
      <x:c r="S161" s="21" t="str"/>
      <x:c r="T161" s="7" t="str">
        <x:v>EEX-EXH-2026-54c4a3eb1080a3bb: https://www.jimtof.org/search/jp/ESdetails?e=21UIMFf4EUI
該当箇所: 出展紹介・主な出展物。追加カードの原典抜粋で検索</x:v>
      </x:c>
    </x:row>
    <x:row r="162" ht="155" customHeight="1">
      <x:c r="A162" s="7" t="str">
        <x:v>段取り・物理作業</x:v>
      </x:c>
      <x:c r="B162" s="7" t="str">
        <x:v>ワーク・パレット・切粉の搬送</x:v>
      </x:c>
      <x:c r="C162" s="20" t="str">
        <x:v>YKT株式会社</x:v>
      </x:c>
      <x:c r="D162" s="7" t="str">
        <x:v>【実機出展】</x:v>
      </x:c>
      <x:c r="E162" s="7" t="str">
        <x:v>E2026</x:v>
      </x:c>
      <x:c r="F162" s="7" t="str">
        <x:v>ワーク・パレット・切粉の搬送 ／ 自動計測・測定計画・品質データ</x:v>
      </x:c>
      <x:c r="G162" s="7" t="str">
        <x:v>原典抜粋：創業102年を迎える当社は、工具研削盤、切削工具表面処理工程の自動化ソリューション、マルチセンサ三次元測定機などを中心に、製造現場の課題解決を支援しています。 / 今回のJIMTOFでは、自動化・測定・データ活用を組み合わせたスマートファクトリを提案し、生産性の向上と持続的な競争力の強化に貢献します。 / ■NAVIEDGE / ナビエッジ 自律搬送ロボット Smart Grasper・Smart 250TRS、自動測定セル Multi</x:v>
      </x:c>
      <x:c r="H162" s="7" t="str">
        <x:v>品種・量の変化に合わせて人の供給往復を減らす。 ／ 測定の段取り・搬送・記録に人手が残り、結果が加工改善につながりにくい。</x:v>
      </x:c>
      <x:c r="I162" s="7" t="str">
        <x:v>2024原典抜粋：今年で創業100年を迎えます当社は、これまで工作機械と測定機で別々のカテゴリーに出展していたブースを一堂にまとめ、過去最大出展小間数60小間で参加いたします。工具研削盤や電解加工機、マルチセンサ三次元測定機を中心に、昨今ますます多様化する現場の課題を解決すべく、今年も最先端のトップ・ニッチ・テクノロジーを皆さまにお届けします。 【本邦初公開】 ■PEMTEC / ペムテック[仏] 省スペース精密電解加工機 PEM3.1 SX *11/7の出展社セミナーにて紹介予定 ■OGP / オージーピー[米] マルチセンサ三次</x:v>
      </x:c>
      <x:c r="J162" s="7" t="str">
        <x:v>2026原典抜粋：創業102年を迎える当社は、工具研削盤、切削工具表面処理工程の自動化ソリューション、マルチセンサ三次元測定機などを中心に、製造現場の課題解決を支援しています。 / 今回のJIMTOFでは、自動化・測定・データ活用を組み合わせたスマートファクトリを提案し、生産性の向上と持続的な競争力の強化に貢献します。 / ■NAVIEDGE / ナビエッジ 自律搬送ロボット Smart Grasper・Smart 250TRS、自動測定セル Multi</x:v>
      </x:c>
      <x:c r="K162" s="7" t="str">
        <x:v>原典記述の対照。個別機能の追加・性能差・初登場年は未判定。</x:v>
      </x:c>
      <x:c r="L162" s="7" t="str">
        <x:v>両年説明あり・機能差未判定</x:v>
      </x:c>
      <x:c r="M162" s="7" t="str">
        <x:v>出展説明の一次分類</x:v>
      </x:c>
      <x:c r="N162" s="7" t="str"/>
      <x:c r="O162" s="7" t="str">
        <x:v>承認・例外対応・停止・復帰の境界は未確認</x:v>
      </x:c>
      <x:c r="P162" s="7" t="str">
        <x:v>2026公式カタログ掲載・現地未確認
2026展示予定。既存製品・参考出展・構想等は原典で個別確認</x:v>
      </x:c>
      <x:c r="Q162" s="7" t="str">
        <x:v>AC246</x:v>
      </x:c>
      <x:c t="str" r="R162" s="21">
        <x:f>HYPERLINK("https://www.jimtof.org/search/jp/ESdetails?e=nYvFR1vpbuE","JIMTOF2026 出展ページ")</x:f>
        <x:v>JIMTOF2026 出展ページ</x:v>
      </x:c>
      <x:c t="str" r="S162" s="21">
        <x:f>HYPERLINK("https://www.jimtof.org/2024/search/jp/ESdetails?e=IFzm2OL8VZo","JIMTOF2024 出展ページ")</x:f>
        <x:v>JIMTOF2024 出展ページ</x:v>
      </x:c>
      <x:c r="T162" s="7" t="str">
        <x:v>EEX-EXH-2026-28ad6ce1ddaebaa7: https://www.jimtof.org/search/jp/ESdetails?e=nYvFR1vpbuE
該当箇所: 出展紹介・主な出展物。追加カードの原典抜粋で検索
EEX-EXH-2024-5c82866e26c8bb9f: https://www.jimtof.org/2024/search/jp/ESdetails?e=IFzm2OL8VZo
該当箇所: 出展紹介・主な出展物。追加カードの原典抜粋で検索</x:v>
      </x:c>
    </x:row>
    <x:row r="163" ht="155" customHeight="1">
      <x:c r="A163" s="7" t="str">
        <x:v>段取り・物理作業</x:v>
      </x:c>
      <x:c r="B163" s="7" t="str">
        <x:v>ワーク・パレット・切粉の搬送</x:v>
      </x:c>
      <x:c r="C163" s="20" t="str">
        <x:v>LNS Management SA</x:v>
      </x:c>
      <x:c r="D163" s="7" t="str">
        <x:v>Turbo MH : 濾過機能付きヒンジコンベア</x:v>
      </x:c>
      <x:c r="E163" s="7" t="str">
        <x:v>S4016</x:v>
      </x:c>
      <x:c r="F163" s="7" t="str">
        <x:v>ワーク・パレット・切粉の搬送 ／ クーラント・潤滑・清掃の省人化</x:v>
      </x:c>
      <x:c r="G163" s="7" t="str">
        <x:v>原典抜粋：● GT 565（新製品）：材料径5～67mmまで対応可能な長尺材用のオイル式自動給材機 / ● EL 65：材料径5～65mmまで対応可能な短尺材用の自動給材機 / ● Turbo MH（スケルトンモデル）：自動清掃機能を備えた濾過機能付きヒンジコンベア / LNSの長年の経験に基づく独自技術を採用したこれらの製品は、工場の自動化、生産性向上、作業環境の改善などの課題解決に貢献します。 / ● GT 565: 小径～大径の長尺材に対応</x:v>
      </x:c>
      <x:c r="H163" s="7" t="str">
        <x:v>品種・量の変化に合わせて人の供給往復を減らす。 ／ 補充・濃度管理・切粉処理などの保守作業で運転が途切れる。</x:v>
      </x:c>
      <x:c r="I163" s="7" t="str">
        <x:v>2024原典抜粋：LNSは50年以上にわたり、工作機械の周辺装置の開発・販売に特化して取り組んできました。この長年の経験をもとに開発された給材機、チップコンベア、ミストコレクター、クーラントマネージメントシステムなどの製品は、世界中の工作機械市場で幅広く利用され、多くのお客様から高い評価をいただいています。 JIMTOF 2024の展示ブースでは、新製品を含む以下の製品をご紹介いたします。 ● GT 342（新製品）：材料径3～42mmまで対応可能な長尺材用のオイル式自動給材機 ● Turbo MH（スケルトンモデル）：自動清掃機能</x:v>
      </x:c>
      <x:c r="J163" s="7" t="str">
        <x:v>2026原典抜粋：● GT 565（新製品）：材料径5～67mmまで対応可能な長尺材用のオイル式自動給材機 / ● EL 65：材料径5～65mmまで対応可能な短尺材用の自動給材機 / ● Turbo MH（スケルトンモデル）：自動清掃機能を備えた濾過機能付きヒンジコンベア / LNSの長年の経験に基づく独自技術を採用したこれらの製品は、工場の自動化、生産性向上、作業環境の改善などの課題解決に貢献します。 / ● GT 565: 小径～大径の長尺材に対応</x:v>
      </x:c>
      <x:c r="K163" s="7" t="str">
        <x:v>原典記述の対照。個別機能の追加・性能差・初登場年は未判定。</x:v>
      </x:c>
      <x:c r="L163" s="7" t="str">
        <x:v>両年説明あり・機能差未判定</x:v>
      </x:c>
      <x:c r="M163" s="7" t="str">
        <x:v>出展説明の一次分類</x:v>
      </x:c>
      <x:c r="N163" s="7" t="str"/>
      <x:c r="O163" s="7" t="str">
        <x:v>承認・例外対応・停止・復帰の境界は未確認</x:v>
      </x:c>
      <x:c r="P163" s="7" t="str">
        <x:v>2026公式カタログ掲載・現地未確認
2026展示予定。既存製品・参考出展・構想等は原典で個別確認</x:v>
      </x:c>
      <x:c r="Q163" s="7" t="str">
        <x:v>AC269</x:v>
      </x:c>
      <x:c t="str" r="R163" s="21">
        <x:f>HYPERLINK("https://www.jimtof.org/search/jp/ESdetails?e=MWu_r3zjcLw","JIMTOF2026 出展ページ")</x:f>
        <x:v>JIMTOF2026 出展ページ</x:v>
      </x:c>
      <x:c t="str" r="S163" s="21">
        <x:f>HYPERLINK("https://www.jimtof.org/2024/search/jp/ESdetails?e=5jQ0DlhlPKY","JIMTOF2024 出展ページ")</x:f>
        <x:v>JIMTOF2024 出展ページ</x:v>
      </x:c>
      <x:c r="T163" s="7" t="str">
        <x:v>EEX-EXH-2026-ba7a51db7c150816: https://www.jimtof.org/search/jp/ESdetails?e=MWu_r3zjcLw
該当箇所: 出展紹介・主な出展物。追加カードの原典抜粋で検索
EEX-EXH-2024-bfd31e3ca03c1b78: https://www.jimtof.org/2024/search/jp/ESdetails?e=5jQ0DlhlPKY
該当箇所: 出展紹介・主な出展物。追加カードの原典抜粋で検索</x:v>
      </x:c>
    </x:row>
    <x:row r="164" ht="155" customHeight="1">
      <x:c r="A164" s="7" t="str">
        <x:v>段取り・物理作業</x:v>
      </x:c>
      <x:c r="B164" s="7" t="str">
        <x:v>ワーク・パレット・切粉の搬送</x:v>
      </x:c>
      <x:c r="C164" s="20" t="str">
        <x:v>Masterlink</x:v>
      </x:c>
      <x:c r="D164" s="7" t="str">
        <x:v>工作機械センシングの知能化による生産性向上：</x:v>
      </x:c>
      <x:c r="E164" s="7" t="str">
        <x:v>E1050</x:v>
      </x:c>
      <x:c r="F164" s="7" t="str">
        <x:v>工具の異常を監視する（方式要確認）</x:v>
      </x:c>
      <x:c r="G164" s="7" t="str">
        <x:v>工具監視、適応加工、予知保全を出展項目として掲載。入力信号と判定方式は未記載。</x:v>
      </x:c>
      <x:c r="H164" s="7" t="str">
        <x:v>工具を早く捨てすぎず、欠損や品質悪化を避ける判断。 ／ 品種・量の変化に合わせて人の供給往復を減らす。</x:v>
      </x:c>
      <x:c r="I164" s="7" t="str">
        <x:v>2024原典抜粋：2016年に設立されたMasterlink Intelligent Technology Co., LTD.(以下、Masterlink)は、金属加工とインテリジェント製造のソリューションに焦点を当てており、工作機械、生産ラインからワークショップまで、製品とソリューションのあらゆる側面をユーザーに提供することに取り組んでいます。ビッグデータ技術を通じて、MasterLinkは生産現場の包括的な管理システムを構築し、センサー、エッジコンピューティング、クラウドコンピューティング、その他の技術と組み合わせることで、Ma</x:v>
      </x:c>
      <x:c r="J164" s="7" t="str">
        <x:v>2026原典抜粋：工具監視システム： / 重荷重パレタイジングロボット： / インテリジェント IoT ゲートウェイ： / 工具監視システム： / 重荷重パレタイジングロボット： / インテリジェント IoT ゲートウェイ：</x:v>
      </x:c>
      <x:c r="K164" s="7" t="str">
        <x:v>2024はセンシング・現場管理の総論。2026は工具監視等を列挙。性能差は不明。</x:v>
      </x:c>
      <x:c r="L164" s="7" t="str">
        <x:v>個別比較あり</x:v>
      </x:c>
      <x:c r="M164" s="7" t="str">
        <x:v>詳細比較済み</x:v>
      </x:c>
      <x:c r="N164" s="7" t="str"/>
      <x:c r="O164" s="7" t="str">
        <x:v>監視結果から停止・交換へ移す手順、担当者は未確認。</x:v>
      </x:c>
      <x:c r="P164" s="7" t="str">
        <x:v>2026公式カタログ掲載・現地未確認
2026展示予定。既存製品・参考出展・構想等は原典で個別確認</x:v>
      </x:c>
      <x:c r="Q164" s="7" t="str">
        <x:v>AC271</x:v>
      </x:c>
      <x:c t="str" r="R164" s="21">
        <x:f>HYPERLINK("https://www.jimtof.org/search/jp/ESdetails?e=kygm0UxJL-M","JIMTOF2026 出展ページ")</x:f>
        <x:v>JIMTOF2026 出展ページ</x:v>
      </x:c>
      <x:c t="str" r="S164" s="21">
        <x:f>HYPERLINK("https://www.jimtof.org/2024/search/jp/ESdetails?e=58-lhh4o9Oo","JIMTOF2024 出展ページ")</x:f>
        <x:v>JIMTOF2024 出展ページ</x:v>
      </x:c>
      <x:c r="T164" s="7" t="str">
        <x:v>EEX-EXH-2026-19ce238d137fe275: https://www.jimtof.org/search/jp/ESdetails?e=kygm0UxJL-M
該当箇所: 出展紹介・主な出展物。追加カードの原典抜粋で検索
EEX-EXH-2024-a2fae1d1864676d1: https://www.jimtof.org/2024/search/jp/ESdetails?e=58-lhh4o9Oo
該当箇所: 出展紹介・主な出展物。追加カードの原典抜粋で検索</x:v>
      </x:c>
    </x:row>
    <x:row r="165" ht="155" customHeight="1">
      <x:c r="A165" s="7" t="str">
        <x:v>段取り・物理作業</x:v>
      </x:c>
      <x:c r="B165" s="7" t="str">
        <x:v>ワーク・パレット・切粉の搬送</x:v>
      </x:c>
      <x:c r="C165" s="20" t="str">
        <x:v>System 3R International AB</x:v>
      </x:c>
      <x:c r="D165" s="7" t="str">
        <x:v>協働ロボット・自律移動ロボットとツーリング</x:v>
      </x:c>
      <x:c r="E165" s="7" t="str">
        <x:v>W2078</x:v>
      </x:c>
      <x:c r="F165" s="7" t="str">
        <x:v>ワーク・パレット・切粉の搬送</x:v>
      </x:c>
      <x:c r="G165" s="7" t="str">
        <x:v>ロータリーマガジン付き協働ロボット、自律移動ロボット、ツーリングを掲載。</x:v>
      </x:c>
      <x:c r="H165" s="7" t="str">
        <x:v>品種・量の変化に合わせて人の供給往復を減らす。</x:v>
      </x:c>
      <x:c r="I165" s="7" t="str">
        <x:v>同一名称の2024詳細なし。日本語表記・旧名称との同一法人照合は未完了。</x:v>
      </x:c>
      <x:c r="J165" s="7" t="str">
        <x:v>ロータリーマガジン付き協働ロボット、自律移動ロボット、ツーリングを掲載。</x:v>
      </x:c>
      <x:c r="K165" s="7" t="str">
        <x:v>2024差分は比較不能。AMR・工具供給の接続と自律判断範囲は要確認。</x:v>
      </x:c>
      <x:c r="L165" s="7" t="str">
        <x:v>年度資料不足・比較不能</x:v>
      </x:c>
      <x:c r="M165" s="7" t="str">
        <x:v>出展説明の一次分類</x:v>
      </x:c>
      <x:c r="N165" s="7" t="str"/>
      <x:c r="O165" s="7" t="str">
        <x:v>承認・例外対応・停止・復帰の境界は未確認</x:v>
      </x:c>
      <x:c r="P165" s="7" t="str">
        <x:v>2026公式カタログ掲載・現地未確認
2026展示予定。既存製品・参考出展・構想等は原典で個別確認</x:v>
      </x:c>
      <x:c r="Q165" s="7" t="str">
        <x:v>AC287</x:v>
      </x:c>
      <x:c t="str" r="R165" s="21">
        <x:f>HYPERLINK("https://www.jimtof.org/search/jp/ESdetails?e=c7Q6gr0wYyY","JIMTOF2026 出展ページ")</x:f>
        <x:v>JIMTOF2026 出展ページ</x:v>
      </x:c>
      <x:c r="S165" s="21" t="str"/>
      <x:c r="T165" s="7" t="str">
        <x:v>EEX-EXH-2026-60afae6de145a809: https://www.jimtof.org/search/jp/ESdetails?e=c7Q6gr0wYyY
該当箇所: 出展紹介・主な出展物。追加カードの原典抜粋で検索</x:v>
      </x:c>
    </x:row>
    <x:row r="166" ht="155" customHeight="1">
      <x:c r="A166" s="7" t="str">
        <x:v>段取り・物理作業</x:v>
      </x:c>
      <x:c r="B166" s="7" t="str">
        <x:v>認識を伴うピック・付帯加工・除去</x:v>
      </x:c>
      <x:c r="C166" s="20" t="str">
        <x:v>エヌティーツール</x:v>
      </x:c>
      <x:c r="D166" s="7" t="str">
        <x:v>BoostMaster</x:v>
      </x:c>
      <x:c r="E166" s="7" t="str">
        <x:v>W2019</x:v>
      </x:c>
      <x:c r="F166" s="7" t="str">
        <x:v>切粉処理</x:v>
      </x:c>
      <x:c r="G166" s="7" t="str">
        <x:v>回転で増圧して切屑の排出・洗浄に利用</x:v>
      </x:c>
      <x:c r="H166" s="7" t="str">
        <x:v>切粉の蓄積・絡まりにより自動加工が停止し、人が除去する負担</x:v>
      </x:c>
      <x:c r="I166" s="7" t="str">
        <x:v>最大15MPaの高圧洗浄方式を既に説明</x:v>
      </x:c>
      <x:c r="J166" s="7" t="str">
        <x:v>BoostMasterとして切屑処理の自動化を説明</x:v>
      </x:c>
      <x:c r="K166" s="7" t="str">
        <x:v>出展説明・公式資料の記載比較。初発明年・実演成功・性能向上を証明するものではない。</x:v>
      </x:c>
      <x:c r="L166" s="7" t="str">
        <x:v>比較記録あり</x:v>
      </x:c>
      <x:c r="M166" s="7" t="str">
        <x:v>個別タスク整理</x:v>
      </x:c>
      <x:c r="N166" s="7" t="str"/>
      <x:c r="O166" s="7" t="str">
        <x:v>絡まりを認識して除去するAI方式との効果比較は未実施</x:v>
      </x:c>
      <x:c r="P166" s="7" t="str">
        <x:v>JIMTOF2026公式カタログ掲載・現地未確認
2026展示予定・提供段階未確認</x:v>
      </x:c>
      <x:c r="Q166" s="7" t="str">
        <x:v>FC045</x:v>
      </x:c>
      <x:c t="str" r="R166" s="21">
        <x:f>HYPERLINK("https://www.jimtof.org/search/jp/ESdetails?e=iW3vesxy4DU","JIMTOF2026 出展ページ")</x:f>
        <x:v>JIMTOF2026 出展ページ</x:v>
      </x:c>
      <x:c t="str" r="S166" s="21">
        <x:f>HYPERLINK("https://www.jimtof.org/2024/search/jp/ESdetails?e=pYGmVz5GC1c","JIMTOF2024 出展ページ")</x:f>
        <x:v>JIMTOF2024 出展ページ</x:v>
      </x:c>
      <x:c r="T166" s="7" t="str">
        <x:v>EOV-V026-2024-1: https://www.jimtof.org/2024/search/jp/ESdetails?e=pYGmVz5GC1c
該当箇所: main &gt; div.col-md-8.mb-5 の出展紹介、見出し「主な出展物」直後
EOV-V026-2026-1: https://www.jimtof.org/search/jp/ESdetails?e=iW3vesxy4DU
該当箇所: main &gt; div.col-md-8.mb-5 の出展紹介、見出し「主な出展物」直後</x:v>
      </x:c>
    </x:row>
    <x:row r="167" ht="155" customHeight="1">
      <x:c r="A167" s="7" t="str">
        <x:v>段取り・物理作業</x:v>
      </x:c>
      <x:c r="B167" s="7" t="str">
        <x:v>認識を伴うピック・付帯加工・除去</x:v>
      </x:c>
      <x:c r="C167" s="20" t="str">
        <x:v>TAKISAWA</x:v>
      </x:c>
      <x:c r="D167" s="7" t="str">
        <x:v>TR-20W：主軸の切粉除去</x:v>
      </x:c>
      <x:c r="E167" s="7" t="str">
        <x:v>E3013</x:v>
      </x:c>
      <x:c r="F167" s="7" t="str">
        <x:v>主軸に絡まった切粉を取り除く</x:v>
      </x:c>
      <x:c r="G167" s="7" t="str">
        <x:v>TAKISAWAは切粉の絡まりを判断し主軸の切粉を除去する参考出品。</x:v>
      </x:c>
      <x:c r="H167" s="7" t="str">
        <x:v>切粉の蓄積・絡まりにより自動加工が停止し、人が除去する負担</x:v>
      </x:c>
      <x:c r="I167" s="7" t="str">
        <x:v>2024のTR-20Wはワーク搬入・搬出の自動化デモを予告</x:v>
      </x:c>
      <x:c r="J167" s="7" t="str">
        <x:v>2026は切粉絡まり判断・除去を参考出品</x:v>
      </x:c>
      <x:c r="K167" s="7" t="str">
        <x:v>2024 TR-20Wは搬入出。2026は切粉除去を追加記載。</x:v>
      </x:c>
      <x:c r="L167" s="7" t="str">
        <x:v>個別比較あり</x:v>
      </x:c>
      <x:c r="M167" s="7" t="str">
        <x:v>詳細比較済み</x:v>
      </x:c>
      <x:c r="N167" s="7" t="str"/>
      <x:c r="O167" s="7" t="str">
        <x:v>許可動作、除去失敗の検出・再試行・人への引継ぎは未確認。</x:v>
      </x:c>
      <x:c r="P167" s="7" t="str">
        <x:v>JIMTOF2026公式カタログ掲載・現地未確認
参考出品・現地未検証</x:v>
      </x:c>
      <x:c r="Q167" s="7" t="str">
        <x:v>FC049</x:v>
      </x:c>
      <x:c t="str" r="R167" s="21">
        <x:f>HYPERLINK("https://www.jimtof.org/search/jp/ESdetails?e=3dTDRAMwZpM","JIMTOF2026 出展ページ")</x:f>
        <x:v>JIMTOF2026 出展ページ</x:v>
      </x:c>
      <x:c t="str" r="S167" s="21">
        <x:f>HYPERLINK("https://www.jimtof.org/2024/search/jp/ESdetails?e=K00DRD-BngA","JIMTOF2024 出展ページ")</x:f>
        <x:v>JIMTOF2024 出展ページ</x:v>
      </x:c>
      <x:c r="T167" s="7" t="str">
        <x:v>EOV-V030-2024-1: https://www.jimtof.org/2024/search/jp/ESdetails?e=K00DRD-BngA
該当箇所: main &gt; div.col-md-8.mb-5 の出展紹介、見出し「主な出展物」直後
EOV-V030-2026-1: https://www.jimtof.org/search/jp/ESdetails?e=3dTDRAMwZpM
該当箇所: main &gt; div.col-md-8.mb-5 の出展紹介、見出し「主な出展物」直後
EAT-N01: https://www.nidec.com/jp/products/machine-tools/contents/machine-tool-jimtof2026/
該当箇所: TR-20W：フィジカルAI搭載のロボットシステム（参考出品）
EAT-N02: https://www.nidec.com/jp/product/news/2024/news1101-03/
該当箇所: 2024年11月1日／MGC300の出展説明
ERF-13: https://www.nidec.com/jp/products/machine-tools/contents/machine-tool-jimtof2026/
該当箇所: TAKISAWA／TR-20W、主軸の切粉認識・判断・除去、参考出品</x:v>
      </x:c>
    </x:row>
    <x:row r="168" ht="155" customHeight="1">
      <x:c r="A168" s="7" t="str">
        <x:v>段取り・物理作業</x:v>
      </x:c>
      <x:c r="B168" s="7" t="str">
        <x:v>認識を伴うピック・付帯加工・除去</x:v>
      </x:c>
      <x:c r="C168" s="20" t="str">
        <x:v>株式会社アステック</x:v>
      </x:c>
      <x:c r="D168" s="7" t="str">
        <x:v>【A33CNC7】</x:v>
      </x:c>
      <x:c r="E168" s="7" t="str">
        <x:v>S1023</x:v>
      </x:c>
      <x:c r="F168" s="7" t="str">
        <x:v>認識を伴うピック・付帯加工・除去</x:v>
      </x:c>
      <x:c r="G168" s="7" t="str">
        <x:v>原典抜粋：細穴放電加工機の加工ヘッドをロボットに取り付け、自由自在な動きを生かした実演加工を行います。 / ロボットに取り付け、工場のインライン化・多数穴の同時加工などが可能。</x:v>
      </x:c>
      <x:c r="H168" s="7" t="str">
        <x:v>形状や絡まりが変わる物理作業に固定手順で対応しにくい。</x:v>
      </x:c>
      <x:c r="I168" s="7" t="str">
        <x:v>2024原典抜粋：今回のJIMTOF2024では細穴放電加工機3台を展示し実演加工を行います。 細穴放電加工機専門メーカーならではの技術力をお確かめください。 【A33CNC7】 当社最新のNC細穴放電加工機で自動連続加工を初披露いたします！ ドリル加工では熱によるゆがみや溶着などが生じてしまう「アルミ材」。 細穴放電加工機の特徴を存分に生かし、厚さ0.5mmの薄いアルミワークに対し、 φ0.5という微細かつ高品質な穴加工を実現させます。 【A22T】 コンパクトな設計で省スペース化に貢献するA22シリーズに傾斜ヘッドを搭載した機種</x:v>
      </x:c>
      <x:c r="J168" s="7" t="str">
        <x:v>2026原典抜粋：細穴放電加工機の加工ヘッドをロボットに取り付け、自由自在な動きを生かした実演加工を行います。 / ロボットに取り付け、工場のインライン化・多数穴の同時加工などが可能。</x:v>
      </x:c>
      <x:c r="K168" s="7" t="str">
        <x:v>原典記述の対照。個別機能の追加・性能差・初登場年は未判定。</x:v>
      </x:c>
      <x:c r="L168" s="7" t="str">
        <x:v>両年説明あり・機能差未判定</x:v>
      </x:c>
      <x:c r="M168" s="7" t="str">
        <x:v>出展説明の一次分類</x:v>
      </x:c>
      <x:c r="N168" s="7" t="str"/>
      <x:c r="O168" s="7" t="str">
        <x:v>承認・例外対応・停止・復帰の境界は未確認</x:v>
      </x:c>
      <x:c r="P168" s="7" t="str">
        <x:v>2026公式カタログ掲載・現地未確認
2026展示予定。既存製品・参考出展・構想等は原典で個別確認</x:v>
      </x:c>
      <x:c r="Q168" s="7" t="str">
        <x:v>AC006</x:v>
      </x:c>
      <x:c t="str" r="R168" s="21">
        <x:f>HYPERLINK("https://www.jimtof.org/search/jp/ESdetails?e=3riic2Y52c8","JIMTOF2026 出展ページ")</x:f>
        <x:v>JIMTOF2026 出展ページ</x:v>
      </x:c>
      <x:c t="str" r="S168" s="21">
        <x:f>HYPERLINK("https://www.jimtof.org/2024/search/jp/ESdetails?e=KqvVyzLYaL0","JIMTOF2024 出展ページ")</x:f>
        <x:v>JIMTOF2024 出展ページ</x:v>
      </x:c>
      <x:c r="T168" s="7" t="str">
        <x:v>EEX-EXH-2026-b6d1434bfe8ae571: https://www.jimtof.org/search/jp/ESdetails?e=3riic2Y52c8
該当箇所: 出展紹介・主な出展物。追加カードの原典抜粋で検索
EEX-EXH-2024-11244625c2f8dff1: https://www.jimtof.org/2024/search/jp/ESdetails?e=KqvVyzLYaL0
該当箇所: 出展紹介・主な出展物。追加カードの原典抜粋で検索</x:v>
      </x:c>
    </x:row>
    <x:row r="169" ht="155" customHeight="1">
      <x:c r="A169" s="7" t="str">
        <x:v>段取り・物理作業</x:v>
      </x:c>
      <x:c r="B169" s="7" t="str">
        <x:v>認識を伴うピック・付帯加工・除去</x:v>
      </x:c>
      <x:c r="C169" s="20" t="str">
        <x:v>株式会社IZUSHI</x:v>
      </x:c>
      <x:c r="D169" s="7" t="str">
        <x:v>テクノマーク 産業用刻印機</x:v>
      </x:c>
      <x:c r="E169" s="7" t="str">
        <x:v>W1087</x:v>
      </x:c>
      <x:c r="F169" s="7" t="str">
        <x:v>認識を伴うピック・付帯加工・除去 ／ クーラント・潤滑・清掃の省人化</x:v>
      </x:c>
      <x:c r="G169" s="7" t="str">
        <x:v>原典抜粋：FORMHANDの汎用ロボットハンドは、パッド内の顆粒がワークの形状に追従するため、多品種を一つのハンドで扱えます。 / クーラントは、水圧だけで希釈する自動希釈装置IDE-CK1と、劣化を抑えるナノブースターをご用意しました。 / 小型自動旋盤向けのDECOFLEXもご用意。 / ■FORMHAND 汎用ロボットハンド / ・クーラント自動希釈装置 IDE-CK1：水圧だけで0〜35%の任意濃度に希釈。 / ・ALジェットクリーナー：</x:v>
      </x:c>
      <x:c r="H169" s="7" t="str">
        <x:v>形状や絡まりが変わる物理作業に固定手順で対応しにくい。 ／ 補充・濃度管理・切粉処理などの保守作業で運転が途切れる。</x:v>
      </x:c>
      <x:c r="I169" s="7" t="str">
        <x:v>2024原典抜粋：IZUSHIは機械工具の専門商社です。お客さまの生産に最適な製品と技術を提案し、時には社内設備を使ったテスト加工や加工条件の見直し等の改善活動を通して、最終的にお客様の生産性向上と環境負荷低減に貢献できるような取り組みを行っております。 弊社のブースでは、フランス製刻印機「テクノマーク」の ワイヤレス仕様の打刻式刻印機「コネクトシリーズ」、レーザー刻印機「Graphix e-series」や、ドイツ製フレキシブルロボットハンド「FORMAND」 同じくドイツ製の表面処理工具メーカー「ECOROLL」、冷却潤滑テクノ</x:v>
      </x:c>
      <x:c r="J169" s="7" t="str">
        <x:v>2026原典抜粋：FORMHANDの汎用ロボットハンドは、パッド内の顆粒がワークの形状に追従するため、多品種を一つのハンドで扱えます。 / クーラントは、水圧だけで希釈する自動希釈装置IDE-CK1と、劣化を抑えるナノブースターをご用意しました。 / 小型自動旋盤向けのDECOFLEXもご用意。 / ■FORMHAND 汎用ロボットハンド / ・クーラント自動希釈装置 IDE-CK1：水圧だけで0〜35%の任意濃度に希釈。 / ・ALジェットクリーナー：</x:v>
      </x:c>
      <x:c r="K169" s="7" t="str">
        <x:v>原典記述の対照。個別機能の追加・性能差・初登場年は未判定。</x:v>
      </x:c>
      <x:c r="L169" s="7" t="str">
        <x:v>両年説明あり・機能差未判定</x:v>
      </x:c>
      <x:c r="M169" s="7" t="str">
        <x:v>出展説明の一次分類</x:v>
      </x:c>
      <x:c r="N169" s="7" t="str"/>
      <x:c r="O169" s="7" t="str">
        <x:v>承認・例外対応・停止・復帰の境界は未確認</x:v>
      </x:c>
      <x:c r="P169" s="7" t="str">
        <x:v>2026公式カタログ掲載・現地未確認
2026展示予定。既存製品・参考出展・構想等は原典で個別確認</x:v>
      </x:c>
      <x:c r="Q169" s="7" t="str">
        <x:v>AC016</x:v>
      </x:c>
      <x:c t="str" r="R169" s="21">
        <x:f>HYPERLINK("https://www.jimtof.org/search/jp/ESdetails?e=XQSp36eC9AA","JIMTOF2026 出展ページ")</x:f>
        <x:v>JIMTOF2026 出展ページ</x:v>
      </x:c>
      <x:c t="str" r="S169" s="21">
        <x:f>HYPERLINK("https://www.jimtof.org/2024/search/jp/ESdetails?e=SdgtqHZPhzY","JIMTOF2024 出展ページ")</x:f>
        <x:v>JIMTOF2024 出展ページ</x:v>
      </x:c>
      <x:c r="T169" s="7" t="str">
        <x:v>EEX-EXH-2026-dcc361015ad89157: https://www.jimtof.org/search/jp/ESdetails?e=XQSp36eC9AA
該当箇所: 出展紹介・主な出展物。追加カードの原典抜粋で検索
EEX-EXH-2024-c55255b95f92be64: https://www.jimtof.org/2024/search/jp/ESdetails?e=SdgtqHZPhzY
該当箇所: 出展紹介・主な出展物。追加カードの原典抜粋で検索</x:v>
      </x:c>
    </x:row>
    <x:row r="170" ht="155" customHeight="1">
      <x:c r="A170" s="7" t="str">
        <x:v>段取り・物理作業</x:v>
      </x:c>
      <x:c r="B170" s="7" t="str">
        <x:v>認識を伴うピック・付帯加工・除去</x:v>
      </x:c>
      <x:c r="C170" s="20" t="str">
        <x:v>株式会社イワタツール</x:v>
      </x:c>
      <x:c r="D170" s="7" t="str">
        <x:v>ヘリカル穴加工エンドミル【ドリミル】</x:v>
      </x:c>
      <x:c r="E170" s="7" t="str">
        <x:v>W1069</x:v>
      </x:c>
      <x:c r="F170" s="7" t="str">
        <x:v>認識を伴うピック・付帯加工・除去</x:v>
      </x:c>
      <x:c r="G170" s="7" t="str">
        <x:v>原典抜粋：ロボットシステムと組み合わせることにより、高速かつ高能率な加工ラインを実現。 / ◆ワーク搬送だけで終わらせないロボットマルチプロセッシング / オイルホールで切粉を効率よく排出し、アルミ・自動車外装パネルにも適用。</x:v>
      </x:c>
      <x:c r="H170" s="7" t="str">
        <x:v>形状や絡まりが変わる物理作業に固定手順で対応しにくい。</x:v>
      </x:c>
      <x:c r="I170" s="7" t="str">
        <x:v>2024原典抜粋：3つのテーマで加工実演を行います‼ ◆高速でキレイに加工 ヘリカル穴加工エンドミル・ドリミルを使用し、5軸にてアルミの高速加工を行います。 ドリミルの他、他社製品も使用し加工速度の限界をお見せします。 また、5軸ならではのクロス穴や斜め穴を加工でも、バリを少なくきれいに加工します。 〈brother SPEEDIO〉 ◆微細精密加工 微細精密加工ゾーンを設置。 極小径工具や、高精度な微細加工ワークなどを複数展示致します。 〈碌々スマートテクノロジー MEGA〉 ◆ロボットマシニング 薄板用にチューニングしたドリミル</x:v>
      </x:c>
      <x:c r="J170" s="7" t="str">
        <x:v>2026原典抜粋：ロボットシステムと組み合わせることにより、高速かつ高能率な加工ラインを実現。 / ◆ワーク搬送だけで終わらせないロボットマルチプロセッシング / オイルホールで切粉を効率よく排出し、アルミ・自動車外装パネルにも適用。</x:v>
      </x:c>
      <x:c r="K170" s="7" t="str">
        <x:v>原典記述の対照。個別機能の追加・性能差・初登場年は未判定。</x:v>
      </x:c>
      <x:c r="L170" s="7" t="str">
        <x:v>両年説明あり・機能差未判定</x:v>
      </x:c>
      <x:c r="M170" s="7" t="str">
        <x:v>出展説明の一次分類</x:v>
      </x:c>
      <x:c r="N170" s="7" t="str"/>
      <x:c r="O170" s="7" t="str">
        <x:v>承認・例外対応・停止・復帰の境界は未確認</x:v>
      </x:c>
      <x:c r="P170" s="7" t="str">
        <x:v>2026公式カタログ掲載・現地未確認
2026展示予定。既存製品・参考出展・構想等は原典で個別確認</x:v>
      </x:c>
      <x:c r="Q170" s="7" t="str">
        <x:v>AC022</x:v>
      </x:c>
      <x:c t="str" r="R170" s="21">
        <x:f>HYPERLINK("https://www.jimtof.org/search/jp/ESdetails?e=1GQBhZ1T3X0","JIMTOF2026 出展ページ")</x:f>
        <x:v>JIMTOF2026 出展ページ</x:v>
      </x:c>
      <x:c t="str" r="S170" s="21">
        <x:f>HYPERLINK("https://www.jimtof.org/2024/search/jp/ESdetails?e=178-ssCWRRk","JIMTOF2024 出展ページ")</x:f>
        <x:v>JIMTOF2024 出展ページ</x:v>
      </x:c>
      <x:c r="T170" s="7" t="str">
        <x:v>EEX-EXH-2026-30fa7d4bf3eb94b2: https://www.jimtof.org/search/jp/ESdetails?e=1GQBhZ1T3X0
該当箇所: 出展紹介・主な出展物。追加カードの原典抜粋で検索
EEX-EXH-2024-81d65df2c1196b84: https://www.jimtof.org/2024/search/jp/ESdetails?e=178-ssCWRRk
該当箇所: 出展紹介・主な出展物。追加カードの原典抜粋で検索</x:v>
      </x:c>
    </x:row>
    <x:row r="171" ht="155" customHeight="1">
      <x:c r="A171" s="7" t="str">
        <x:v>段取り・物理作業</x:v>
      </x:c>
      <x:c r="B171" s="7" t="str">
        <x:v>認識を伴うピック・付帯加工・除去</x:v>
      </x:c>
      <x:c r="C171" s="20" t="str">
        <x:v>宇治電化学工業株式会社</x:v>
      </x:c>
      <x:c r="D171" s="7" t="str">
        <x:v>乾式高速遠心バレル研磨機／DC400型</x:v>
      </x:c>
      <x:c r="E171" s="7" t="str">
        <x:v>W4025</x:v>
      </x:c>
      <x:c r="F171" s="7" t="str">
        <x:v>認識を伴うピック・付帯加工・除去</x:v>
      </x:c>
      <x:c r="G171" s="7" t="str">
        <x:v>原典抜粋：宇治電化学工業ブースでは、研磨材メーカーとして長年培ってきた技術と、自動化ソリューションを一堂にご紹介します。 / 加えて、協働ロボットを活用した研磨・検査システムの実演展示を行い、人手不足への対応や品質安定化に向けた自動化技術をご覧いただけます。 / また、現在開発を進めている高速遠心バレルとロボットを連携させたシステムについてもご紹介し、研磨工程のさらなる省人化・効率化への取り組みを発信します。 / 研磨材、バレルメディア、研磨設備</x:v>
      </x:c>
      <x:c r="H171" s="7" t="str">
        <x:v>形状や絡まりが変わる物理作業に固定手順で対応しにくい。</x:v>
      </x:c>
      <x:c r="I171" s="7" t="str">
        <x:v>2024原典抜粋：乾式高速遠心バレル研磨機DC400型 多品種、小サイズ、少ロット部品や難削材のバリ取り、平滑研磨、鏡面研磨に対応。高速可変遠心力により、研磨時間が短縮、超平滑研磨、超鏡面研磨加工を実現します。 乾式用バレルメディア トサリットDRメディア：水を全く使用しない高研削タイプの乾式メディア。ドレッシング不要、廃水処理不要で設備コストを削減します。 トサリットWL、CORN：植物から作られる高品質の乾式メディア。コンパウンドをコーティングしたくるみ殻はコンパウンドの添加、調整が不要で作業効率が上がります。 乾式用バレルコン</x:v>
      </x:c>
      <x:c r="J171" s="7" t="str">
        <x:v>2026原典抜粋：宇治電化学工業ブースでは、研磨材メーカーとして長年培ってきた技術と、自動化ソリューションを一堂にご紹介します。 / 加えて、協働ロボットを活用した研磨・検査システムの実演展示を行い、人手不足への対応や品質安定化に向けた自動化技術をご覧いただけます。 / また、現在開発を進めている高速遠心バレルとロボットを連携させたシステムについてもご紹介し、研磨工程のさらなる省人化・効率化への取り組みを発信します。 / 研磨材、バレルメディア、研磨設備</x:v>
      </x:c>
      <x:c r="K171" s="7" t="str">
        <x:v>原典記述の対照。個別機能の追加・性能差・初登場年は未判定。</x:v>
      </x:c>
      <x:c r="L171" s="7" t="str">
        <x:v>両年説明あり・機能差未判定</x:v>
      </x:c>
      <x:c r="M171" s="7" t="str">
        <x:v>出展説明の一次分類</x:v>
      </x:c>
      <x:c r="N171" s="7" t="str"/>
      <x:c r="O171" s="7" t="str">
        <x:v>承認・例外対応・停止・復帰の境界は未確認</x:v>
      </x:c>
      <x:c r="P171" s="7" t="str">
        <x:v>2026公式カタログ掲載・現地未確認
2026展示予定。既存製品・参考出展・構想等は原典で個別確認</x:v>
      </x:c>
      <x:c r="Q171" s="7" t="str">
        <x:v>AC028</x:v>
      </x:c>
      <x:c t="str" r="R171" s="21">
        <x:f>HYPERLINK("https://www.jimtof.org/search/jp/ESdetails?e=nxFvaTiEEvg","JIMTOF2026 出展ページ")</x:f>
        <x:v>JIMTOF2026 出展ページ</x:v>
      </x:c>
      <x:c t="str" r="S171" s="21">
        <x:f>HYPERLINK("https://www.jimtof.org/2024/search/jp/ESdetails?e=ZvT3Lci-hnM","JIMTOF2024 出展ページ")</x:f>
        <x:v>JIMTOF2024 出展ページ</x:v>
      </x:c>
      <x:c r="T171" s="7" t="str">
        <x:v>EEX-EXH-2026-f82101935c4b9830: https://www.jimtof.org/search/jp/ESdetails?e=nxFvaTiEEvg
該当箇所: 出展紹介・主な出展物。追加カードの原典抜粋で検索
EEX-EXH-2024-cfd7cca5aa28beb3: https://www.jimtof.org/2024/search/jp/ESdetails?e=ZvT3Lci-hnM
該当箇所: 出展紹介・主な出展物。追加カードの原典抜粋で検索</x:v>
      </x:c>
    </x:row>
    <x:row r="172" ht="155" customHeight="1">
      <x:c r="A172" s="7" t="str">
        <x:v>段取り・物理作業</x:v>
      </x:c>
      <x:c r="B172" s="7" t="str">
        <x:v>認識を伴うピック・付帯加工・除去</x:v>
      </x:c>
      <x:c r="C172" s="20" t="str">
        <x:v>永興電機工業株式会社</x:v>
      </x:c>
      <x:c r="D172" s="7" t="str">
        <x:v>精密電動マイクログラインダE-FOFCE、多種多様な先端工具と専用工具</x:v>
      </x:c>
      <x:c r="E172" s="7" t="str">
        <x:v>W3057</x:v>
      </x:c>
      <x:c r="F172" s="7" t="str">
        <x:v>認識を伴うピック・付帯加工・除去 ／ 安全監視・自動化を支える機器</x:v>
      </x:c>
      <x:c r="G172" s="7" t="str">
        <x:v>原典抜粋：アタッチメントは9種類、モータはブラシレスモータを採用でスピードタイプとトルクタイプの2種類、高トルク作業用の減速機を用意し、ロボットや設備への搭載も可能。</x:v>
      </x:c>
      <x:c r="H172" s="7" t="str">
        <x:v>形状や絡まりが変わる物理作業に固定手順で対応しにくい。 ／ 無人運転やロボット導入には、安全確保と機器・配線・力の伝達が必要。</x:v>
      </x:c>
      <x:c r="I172" s="7" t="str">
        <x:v>2024原典抜粋：約3,000種類の先端工具・専用工具、多彩なアタッチメントとハイパワーモータの組合せで、あらゆるバリ取り、切削、研磨作業に対応します。アタッチメントは9種類、モータはブラシレスモータを採用でスピードタイプとトルクタイプの2種類、高トルク作業用の減速機を用意し、ロボットや設備への搭載も可能。問題解決に向けた工具が必ず見つかります。 静粛性・低振動のブラシレスモータを採用しています。手元操作でスピードコントロールが可能。作業に合わせて複数のアタッチメントを用意、クイックチェンジ機能でワンタッチ着脱ができます。インターロ</x:v>
      </x:c>
      <x:c r="J172" s="7" t="str">
        <x:v>2026原典抜粋：アタッチメントは9種類、モータはブラシレスモータを採用でスピードタイプとトルクタイプの2種類、高トルク作業用の減速機を用意し、ロボットや設備への搭載も可能。</x:v>
      </x:c>
      <x:c r="K172" s="7" t="str">
        <x:v>原典記述の対照。個別機能の追加・性能差・初登場年は未判定。</x:v>
      </x:c>
      <x:c r="L172" s="7" t="str">
        <x:v>両年説明あり・機能差未判定</x:v>
      </x:c>
      <x:c r="M172" s="7" t="str">
        <x:v>出展説明の一次分類</x:v>
      </x:c>
      <x:c r="N172" s="7" t="str"/>
      <x:c r="O172" s="7" t="str">
        <x:v>承認・例外対応・停止・復帰の境界は未確認</x:v>
      </x:c>
      <x:c r="P172" s="7" t="str">
        <x:v>2026公式カタログ掲載・現地未確認
2026展示予定。既存製品・参考出展・構想等は原典で個別確認</x:v>
      </x:c>
      <x:c r="Q172" s="7" t="str">
        <x:v>AC030</x:v>
      </x:c>
      <x:c t="str" r="R172" s="21">
        <x:f>HYPERLINK("https://www.jimtof.org/search/jp/ESdetails?e=rF_cWwycdK4","JIMTOF2026 出展ページ")</x:f>
        <x:v>JIMTOF2026 出展ページ</x:v>
      </x:c>
      <x:c t="str" r="S172" s="21">
        <x:f>HYPERLINK("https://www.jimtof.org/2024/search/jp/ESdetails?e=_EZZDjiQlR0","JIMTOF2024 出展ページ")</x:f>
        <x:v>JIMTOF2024 出展ページ</x:v>
      </x:c>
      <x:c r="T172" s="7" t="str">
        <x:v>EEX-EXH-2026-6ef0e5bdfc35158c: https://www.jimtof.org/search/jp/ESdetails?e=rF_cWwycdK4
該当箇所: 出展紹介・主な出展物。追加カードの原典抜粋で検索
EEX-EXH-2024-2f2d6c1de650755e: https://www.jimtof.org/2024/search/jp/ESdetails?e=_EZZDjiQlR0
該当箇所: 出展紹介・主な出展物。追加カードの原典抜粋で検索</x:v>
      </x:c>
    </x:row>
    <x:row r="173" ht="155" customHeight="1">
      <x:c r="A173" s="7" t="str">
        <x:v>段取り・物理作業</x:v>
      </x:c>
      <x:c r="B173" s="7" t="str">
        <x:v>認識を伴うピック・付帯加工・除去</x:v>
      </x:c>
      <x:c r="C173" s="20" t="str">
        <x:v>カトウ工機株式会社</x:v>
      </x:c>
      <x:c r="D173" s="7" t="str">
        <x:v>［リタップ専用ホルダ］</x:v>
      </x:c>
      <x:c r="E173" s="7" t="str">
        <x:v>W2038</x:v>
      </x:c>
      <x:c r="F173" s="7" t="str">
        <x:v>認識を伴うピック・付帯加工・除去</x:v>
      </x:c>
      <x:c r="G173" s="7" t="str">
        <x:v>原典抜粋：［バリ取り自動化］手作業のバリ取り工程の自動化を提案いたします。 / 鋳造品や鍛造品など、寸法にバラつきのあるワークのバリ取り工程を自動化します。 / マシニングセンタ用・ロボット用をご用意しております。 / 自動供給ホルダもご用意しております。</x:v>
      </x:c>
      <x:c r="H173" s="7" t="str">
        <x:v>形状や絡まりが変わる物理作業に固定手順で対応しにくい。</x:v>
      </x:c>
      <x:c r="I173" s="7" t="str">
        <x:v>2024原典抜粋：カトウ工機は、タップ加工専用ホルダ、バリ取りホルダ、タッピングオイルを製造しております。 タップ加工改善：タップホルダ専門メーカーとして加工改善を提案いたします。 バリ取り自動化：手作業のバリ取り工程の自動化を提案いたします。 本展示会にて「リタップ専用ホルダ」を発表いたします。 また、ロボットでのバリ取りデモを実施いたします。 是非ブースにお越しください。お待ちしております。 [リタップ専用ホルダ] 【新製品】 加工済みのタップ穴に再加工できる専用ホルダです。 軸方向のフローティングでねじ位相を合わせ、径方向のフ</x:v>
      </x:c>
      <x:c r="J173" s="7" t="str">
        <x:v>2026原典抜粋：［バリ取り自動化］手作業のバリ取り工程の自動化を提案いたします。 / 鋳造品や鍛造品など、寸法にバラつきのあるワークのバリ取り工程を自動化します。 / マシニングセンタ用・ロボット用をご用意しております。 / 自動供給ホルダもご用意しております。</x:v>
      </x:c>
      <x:c r="K173" s="7" t="str">
        <x:v>原典記述の対照。個別機能の追加・性能差・初登場年は未判定。</x:v>
      </x:c>
      <x:c r="L173" s="7" t="str">
        <x:v>両年説明あり・機能差未判定</x:v>
      </x:c>
      <x:c r="M173" s="7" t="str">
        <x:v>出展説明の一次分類</x:v>
      </x:c>
      <x:c r="N173" s="7" t="str"/>
      <x:c r="O173" s="7" t="str">
        <x:v>承認・例外対応・停止・復帰の境界は未確認</x:v>
      </x:c>
      <x:c r="P173" s="7" t="str">
        <x:v>2026公式カタログ掲載・現地未確認
2026展示予定。既存製品・参考出展・構想等は原典で個別確認</x:v>
      </x:c>
      <x:c r="Q173" s="7" t="str">
        <x:v>AC050</x:v>
      </x:c>
      <x:c t="str" r="R173" s="21">
        <x:f>HYPERLINK("https://www.jimtof.org/search/jp/ESdetails?e=36Mstb-jm5Q","JIMTOF2026 出展ページ")</x:f>
        <x:v>JIMTOF2026 出展ページ</x:v>
      </x:c>
      <x:c t="str" r="S173" s="21">
        <x:f>HYPERLINK("https://www.jimtof.org/2024/search/jp/ESdetails?e=aokH1qewRBc","JIMTOF2024 出展ページ")</x:f>
        <x:v>JIMTOF2024 出展ページ</x:v>
      </x:c>
      <x:c r="T173" s="7" t="str">
        <x:v>EEX-EXH-2026-024be58bd1c7d46f: https://www.jimtof.org/search/jp/ESdetails?e=36Mstb-jm5Q
該当箇所: 出展紹介・主な出展物。追加カードの原典抜粋で検索
EEX-EXH-2024-0e24d821c4b4141d: https://www.jimtof.org/2024/search/jp/ESdetails?e=aokH1qewRBc
該当箇所: 出展紹介・主な出展物。追加カードの原典抜粋で検索</x:v>
      </x:c>
    </x:row>
    <x:row r="174" ht="155" customHeight="1">
      <x:c r="A174" s="7" t="str">
        <x:v>段取り・物理作業</x:v>
      </x:c>
      <x:c r="B174" s="7" t="str">
        <x:v>認識を伴うピック・付帯加工・除去</x:v>
      </x:c>
      <x:c r="C174" s="20" t="str">
        <x:v>カネテック株式会社</x:v>
      </x:c>
      <x:c r="D174" s="7" t="str">
        <x:v>マグネットピンセット：AI・2Dカメラ・協働ロボット</x:v>
      </x:c>
      <x:c r="E174" s="7" t="str">
        <x:v>W2013</x:v>
      </x:c>
      <x:c r="F174" s="7" t="str">
        <x:v>ばら積みの小径ねじ・小部品を拾う</x:v>
      </x:c>
      <x:c r="G174" s="7" t="str">
        <x:v>カメラ・協働ロボット・磁気ピンセットで小径ねじ等をピック。</x:v>
      </x:c>
      <x:c r="H174" s="7" t="str">
        <x:v>形状や絡まりが変わる物理作業に固定手順で対応しにくい。</x:v>
      </x:c>
      <x:c r="I174" s="7" t="str">
        <x:v>2024公式カタログと企業LPで、2Dカメラ・協働ロボット・磁気ピンセットによる小径ネジのバラ積みピックを確認。</x:v>
      </x:c>
      <x:c r="J174" s="7" t="str">
        <x:v>2026は同種構成にAIを明記し、小径ネジ・小部品のピッキングを説明。</x:v>
      </x:c>
      <x:c r="K174" s="7" t="str">
        <x:v>同種構成は2024あり。2026はAIを明記、性能増分は不明。</x:v>
      </x:c>
      <x:c r="L174" s="7" t="str">
        <x:v>個別比較あり</x:v>
      </x:c>
      <x:c r="M174" s="7" t="str">
        <x:v>詳細比較済み</x:v>
      </x:c>
      <x:c r="N174" s="7" t="str"/>
      <x:c r="O174" s="7" t="str">
        <x:v>複数個吸着・空振り等の処理、AI担当の詳細は未公開。</x:v>
      </x:c>
      <x:c r="P174" s="7" t="str">
        <x:v>2026公式カタログ掲載・現地未確認
2026展示予定。既存製品・参考出展・構想等は原典で個別確認</x:v>
      </x:c>
      <x:c r="Q174" s="7" t="str">
        <x:v>AC051</x:v>
      </x:c>
      <x:c t="str" r="R174" s="21">
        <x:f>HYPERLINK("https://www.jimtof.org/search/jp/ESdetails?e=ekM3exgIAtc","JIMTOF2026 出展ページ")</x:f>
        <x:v>JIMTOF2026 出展ページ</x:v>
      </x:c>
      <x:c t="str" r="S174" s="21">
        <x:f>HYPERLINK("https://www.jimtof.org/2024/search/jp/ESdetails?e=ot0Fx36wI0g","JIMTOF2024 出展ページ")</x:f>
        <x:v>JIMTOF2024 出展ページ</x:v>
      </x:c>
      <x:c r="T174" s="7" t="str">
        <x:v>EEX-EXH-2026-30b70a74241de123: https://www.jimtof.org/search/jp/ESdetails?e=ekM3exgIAtc
該当箇所: 出展紹介・主な出展物。追加カードの原典抜粋で検索
EEX-EXH-2024-45415d070f47dc6e: https://www.jimtof.org/2024/search/jp/ESdetails?e=ot0Fx36wI0g
該当箇所: 出展紹介・主な出展物。追加カードの原典抜粋で検索
EDP-01: https://kanetec.co.jp/lp/MagnetPinset%40LP.html
該当箇所: 小径ネジの課題／JIMTOF2024出展／ネジ整列器</x:v>
      </x:c>
    </x:row>
    <x:row r="175" ht="155" customHeight="1">
      <x:c r="A175" s="7" t="str">
        <x:v>段取り・物理作業</x:v>
      </x:c>
      <x:c r="B175" s="7" t="str">
        <x:v>認識を伴うピック・付帯加工・除去</x:v>
      </x:c>
      <x:c r="C175" s="20" t="str">
        <x:v>株式会社クロイツ</x:v>
      </x:c>
      <x:c r="D175" s="7" t="str">
        <x:v>N-バイト</x:v>
      </x:c>
      <x:c r="E175" s="7" t="str">
        <x:v>E3025</x:v>
      </x:c>
      <x:c r="F175" s="7" t="str">
        <x:v>認識を伴うピック・付帯加工・除去 ／ 安全監視・自動化を支える機器</x:v>
      </x:c>
      <x:c r="G175" s="7" t="str">
        <x:v>原典抜粋：ロボット向けフローチングツーリング</x:v>
      </x:c>
      <x:c r="H175" s="7" t="str">
        <x:v>形状や絡まりが変わる物理作業に固定手順で対応しにくい。 ／ 無人運転やロボット導入には、安全確保と機器・配線・力の伝達が必要。</x:v>
      </x:c>
      <x:c r="I175" s="7" t="str">
        <x:v>2024原典抜粋：今回は新機種として、NCコアユニット NCR-D5H を搭載したバリ取り機を展示致します。 ツイストドライブ方式による5軸が天吊型の構成で、弊社のロボットユニットであるRBR-D5N とメカ互換を実現しました。 バリ取り設備として、NCで制御したい、ロボットで動かしたいなどユーザーの選択を広げた展開 でニーズに答えます。 また、Z軸負荷軽減ユニットも展示致します。研削などで使用できる高出力のモータースピンドルで負荷軽減できるモーションユニットです。 他には、NC旋盤やマシニングセンタ向けのバリ取り工具を多数展示致し</x:v>
      </x:c>
      <x:c r="J175" s="7" t="str">
        <x:v>2026原典抜粋：ロボット向けフローチングツーリング</x:v>
      </x:c>
      <x:c r="K175" s="7" t="str">
        <x:v>原典記述の対照。個別機能の追加・性能差・初登場年は未判定。</x:v>
      </x:c>
      <x:c r="L175" s="7" t="str">
        <x:v>両年説明あり・機能差未判定</x:v>
      </x:c>
      <x:c r="M175" s="7" t="str">
        <x:v>出展説明の一次分類</x:v>
      </x:c>
      <x:c r="N175" s="7" t="str"/>
      <x:c r="O175" s="7" t="str">
        <x:v>承認・例外対応・停止・復帰の境界は未確認</x:v>
      </x:c>
      <x:c r="P175" s="7" t="str">
        <x:v>2026公式カタログ掲載・現地未確認
2026展示予定。既存製品・参考出展・構想等は原典で個別確認</x:v>
      </x:c>
      <x:c r="Q175" s="7" t="str">
        <x:v>AC066</x:v>
      </x:c>
      <x:c t="str" r="R175" s="21">
        <x:f>HYPERLINK("https://www.jimtof.org/search/jp/ESdetails?e=pKhtGg5AXLc","JIMTOF2026 出展ページ")</x:f>
        <x:v>JIMTOF2026 出展ページ</x:v>
      </x:c>
      <x:c t="str" r="S175" s="21">
        <x:f>HYPERLINK("https://www.jimtof.org/2024/search/jp/ESdetails?e=1GQBhZ1T3X0","JIMTOF2024 出展ページ")</x:f>
        <x:v>JIMTOF2024 出展ページ</x:v>
      </x:c>
      <x:c r="T175" s="7" t="str">
        <x:v>EEX-EXH-2026-65a684118b48bdf2: https://www.jimtof.org/search/jp/ESdetails?e=pKhtGg5AXLc
該当箇所: 出展紹介・主な出展物。追加カードの原典抜粋で検索
EEX-EXH-2024-96fda1ff323f21a0: https://www.jimtof.org/2024/search/jp/ESdetails?e=1GQBhZ1T3X0
該当箇所: 出展紹介・主な出展物。追加カードの原典抜粋で検索</x:v>
      </x:c>
    </x:row>
    <x:row r="176" ht="155" customHeight="1">
      <x:c r="A176" s="7" t="str">
        <x:v>段取り・物理作業</x:v>
      </x:c>
      <x:c r="B176" s="7" t="str">
        <x:v>認識を伴うピック・付帯加工・除去</x:v>
      </x:c>
      <x:c r="C176" s="20" t="str">
        <x:v>埼玉精機株式会社</x:v>
      </x:c>
      <x:c r="D176" s="7" t="str">
        <x:v>〇空気工具（ラチェットレンチ、インパクトドライバー、スクリュードライバー、ドリル、ベルトサンダー、エアソー、インパクトレンチ、グラインダー、ダイグライ</x:v>
      </x:c>
      <x:c r="E176" s="7" t="str">
        <x:v>W1002</x:v>
      </x:c>
      <x:c r="F176" s="7" t="str">
        <x:v>認識を伴うピック・付帯加工・除去 ／ 安全監視・自動化を支える機器</x:v>
      </x:c>
      <x:c r="G176" s="7" t="str">
        <x:v>原典抜粋：今後需要が増えていくと考えられるロボットアーム向け製品もご紹介いたします。 / 〇ロボット用先端工具</x:v>
      </x:c>
      <x:c r="H176" s="7" t="str">
        <x:v>形状や絡まりが変わる物理作業に固定手順で対応しにくい。 ／ 無人運転やロボット導入には、安全確保と機器・配線・力の伝達が必要。</x:v>
      </x:c>
      <x:c r="I176" s="7" t="str">
        <x:v>同一正規化名称の2024詳細なし。新規出展・技術不存在とは判断しない。</x:v>
      </x:c>
      <x:c r="J176" s="7" t="str">
        <x:v>2026原典抜粋：今後需要が増えていくと考えられるロボットアーム向け製品もご紹介いたします。 / 〇ロボット用先端工具</x:v>
      </x:c>
      <x:c r="K176" s="7" t="str">
        <x:v>原典記述の対照。個別機能の追加・性能差・初登場年は未判定。</x:v>
      </x:c>
      <x:c r="L176" s="7" t="str">
        <x:v>年度資料不足・比較不能</x:v>
      </x:c>
      <x:c r="M176" s="7" t="str">
        <x:v>出展説明の一次分類</x:v>
      </x:c>
      <x:c r="N176" s="7" t="str"/>
      <x:c r="O176" s="7" t="str">
        <x:v>承認・例外対応・停止・復帰の境界は未確認</x:v>
      </x:c>
      <x:c r="P176" s="7" t="str">
        <x:v>2026公式カタログ掲載・現地未確認
2026展示予定。既存製品・参考出展・構想等は原典で個別確認</x:v>
      </x:c>
      <x:c r="Q176" s="7" t="str">
        <x:v>AC083</x:v>
      </x:c>
      <x:c t="str" r="R176" s="21">
        <x:f>HYPERLINK("https://www.jimtof.org/search/jp/ESdetails?e=eKJZ035sC1A","JIMTOF2026 出展ページ")</x:f>
        <x:v>JIMTOF2026 出展ページ</x:v>
      </x:c>
      <x:c r="S176" s="21" t="str"/>
      <x:c r="T176" s="7" t="str">
        <x:v>EEX-EXH-2026-08030dcd82b4b70e: https://www.jimtof.org/search/jp/ESdetails?e=eKJZ035sC1A
該当箇所: 出展紹介・主な出展物。追加カードの原典抜粋で検索</x:v>
      </x:c>
    </x:row>
    <x:row r="177" ht="155" customHeight="1">
      <x:c r="A177" s="7" t="str">
        <x:v>段取り・物理作業</x:v>
      </x:c>
      <x:c r="B177" s="7" t="str">
        <x:v>認識を伴うピック・付帯加工・除去</x:v>
      </x:c>
      <x:c r="C177" s="20" t="str">
        <x:v>株式会社桜井製作所</x:v>
      </x:c>
      <x:c r="D177" s="7" t="str">
        <x:v>ヘッドチェンジ型多軸加工機(CUBIC6)</x:v>
      </x:c>
      <x:c r="E177" s="7" t="str">
        <x:v>E2005</x:v>
      </x:c>
      <x:c r="F177" s="7" t="str">
        <x:v>認識を伴うピック・付帯加工・除去 ／ 自動加工セル・工程集約</x:v>
      </x:c>
      <x:c r="G177" s="7" t="str">
        <x:v>原典抜粋：【ロボット加工機】 / 省スペース化、低コストな大型ロボットを使った加工機を是非ご検討ください。 / ロボット加工機(SAKU270F)</x:v>
      </x:c>
      <x:c r="H177" s="7" t="str">
        <x:v>形状や絡まりが変わる物理作業に固定手順で対応しにくい。 ／ 設備間の持替えや繰返し作業が、人手・待ち時間・品質差につながる。</x:v>
      </x:c>
      <x:c r="I177" s="7" t="str">
        <x:v>2024原典抜粋：縦横高さそれぞれ500mmの造形サイズを実現しながらも、軽量でコンパクトなオフィス向け3Dプリンタをご紹介します。 また、安価なペレットやオリジナルの素材を使用できる大型3Dプリンタを展示します。 さらに、リサイクルペレットや金属フィラメントを用いたデモンストレーションを実施し、実際の造形プロセスを体験いただけます。 展示物としては、当社の3Dプリンタで造形した大型樹脂製造形物、POM（ジュラコン®）や金属造形物、受託造形物の事例なども併せてご覧いただけます。 ■ＨＥＲＯ５００S（造形サイズ５００×５００×５００ｍ</x:v>
      </x:c>
      <x:c r="J177" s="7" t="str">
        <x:v>2026原典抜粋：【ロボット加工機】 / 省スペース化、低コストな大型ロボットを使った加工機を是非ご検討ください。 / ロボット加工機(SAKU270F)</x:v>
      </x:c>
      <x:c r="K177" s="7" t="str">
        <x:v>原典記述の対照。個別機能の追加・性能差・初登場年は未判定。</x:v>
      </x:c>
      <x:c r="L177" s="7" t="str">
        <x:v>両年説明あり・機能差未判定</x:v>
      </x:c>
      <x:c r="M177" s="7" t="str">
        <x:v>出展説明の一次分類</x:v>
      </x:c>
      <x:c r="N177" s="7" t="str"/>
      <x:c r="O177" s="7" t="str">
        <x:v>承認・例外対応・停止・復帰の境界は未確認</x:v>
      </x:c>
      <x:c r="P177" s="7" t="str">
        <x:v>2026公式カタログ掲載・現地未確認
2026展示予定。既存製品・参考出展・構想等は原典で個別確認</x:v>
      </x:c>
      <x:c r="Q177" s="7" t="str">
        <x:v>AC086</x:v>
      </x:c>
      <x:c t="str" r="R177" s="21">
        <x:f>HYPERLINK("https://www.jimtof.org/search/jp/ESdetails?e=vrzq9i_9GIk","JIMTOF2026 出展ページ")</x:f>
        <x:v>JIMTOF2026 出展ページ</x:v>
      </x:c>
      <x:c t="str" r="S177" s="21">
        <x:f>HYPERLINK("https://www.jimtof.org/2024/search/jp/ESdetails?e=vEZxaF9VL2k","JIMTOF2024 出展ページ")</x:f>
        <x:v>JIMTOF2024 出展ページ</x:v>
      </x:c>
      <x:c r="T177" s="7" t="str">
        <x:v>EEX-EXH-2026-84b51f9f321194ba: https://www.jimtof.org/search/jp/ESdetails?e=vrzq9i_9GIk
該当箇所: 出展紹介・主な出展物。追加カードの原典抜粋で検索
EEX-EXH-2024-80ef0a600ede597f: https://www.jimtof.org/2024/search/jp/ESdetails?e=vEZxaF9VL2k
該当箇所: 出展紹介・主な出展物。追加カードの原典抜粋で検索
EEX-EXH-2024-84e5b9ffe73c6c92: https://www.jimtof.org/2024/search/jp/ESdetails?e=VrAjMTKmxdw
該当箇所: 出展紹介・主な出展物。追加カードの原典抜粋で検索</x:v>
      </x:c>
    </x:row>
    <x:row r="178" ht="155" customHeight="1">
      <x:c r="A178" s="7" t="str">
        <x:v>段取り・物理作業</x:v>
      </x:c>
      <x:c r="B178" s="7" t="str">
        <x:v>認識を伴うピック・付帯加工・除去</x:v>
      </x:c>
      <x:c r="C178" s="20" t="str">
        <x:v>株式会社サンシン</x:v>
      </x:c>
      <x:c r="D178" s="7" t="str">
        <x:v>ウェハべべリング装置</x:v>
      </x:c>
      <x:c r="E178" s="7" t="str">
        <x:v>E7041</x:v>
      </x:c>
      <x:c r="F178" s="7" t="str">
        <x:v>認識を伴うピック・付帯加工・除去</x:v>
      </x:c>
      <x:c r="G178" s="7" t="str">
        <x:v>原典抜粋：弊社「サンシン」のフィルム研磨装置は、超仕上げ加工における粗さの均一化、加工時間の短縮、自動化を実現できます。 / ロボット研磨装置</x:v>
      </x:c>
      <x:c r="H178" s="7" t="str">
        <x:v>形状や絡まりが変わる物理作業に固定手順で対応しにくい。</x:v>
      </x:c>
      <x:c r="I178" s="7" t="str">
        <x:v>2024原典抜粋：超仕上げでお困りごとはございませんか？ 弊社「サンシン」のフィルム研磨装置は、超仕上げ加工における粗さの均一化、加工時間の短縮、自動化を実現できます。 弊社ブースではワークに合わせた研磨装置のデモンストレーションと、研磨についてのご相談を行っておりますので、是非足をお運び下さい！ 外径研磨装置 内径研磨装置 端面研磨装置 ロボット研磨装置 ベルト研磨装置</x:v>
      </x:c>
      <x:c r="J178" s="7" t="str">
        <x:v>2026原典抜粋：弊社「サンシン」のフィルム研磨装置は、超仕上げ加工における粗さの均一化、加工時間の短縮、自動化を実現できます。 / ロボット研磨装置</x:v>
      </x:c>
      <x:c r="K178" s="7" t="str">
        <x:v>原典記述の対照。個別機能の追加・性能差・初登場年は未判定。</x:v>
      </x:c>
      <x:c r="L178" s="7" t="str">
        <x:v>両年説明あり・機能差未判定</x:v>
      </x:c>
      <x:c r="M178" s="7" t="str">
        <x:v>出展説明の一次分類</x:v>
      </x:c>
      <x:c r="N178" s="7" t="str"/>
      <x:c r="O178" s="7" t="str">
        <x:v>承認・例外対応・停止・復帰の境界は未確認</x:v>
      </x:c>
      <x:c r="P178" s="7" t="str">
        <x:v>2026公式カタログ掲載・現地未確認
2026展示予定。既存製品・参考出展・構想等は原典で個別確認</x:v>
      </x:c>
      <x:c r="Q178" s="7" t="str">
        <x:v>AC089</x:v>
      </x:c>
      <x:c t="str" r="R178" s="21">
        <x:f>HYPERLINK("https://www.jimtof.org/search/jp/ESdetails?e=ooNmKjSJlIc","JIMTOF2026 出展ページ")</x:f>
        <x:v>JIMTOF2026 出展ページ</x:v>
      </x:c>
      <x:c t="str" r="S178" s="21">
        <x:f>HYPERLINK("https://www.jimtof.org/2024/search/jp/ESdetails?e=HrBIzid3E2I","JIMTOF2024 出展ページ")</x:f>
        <x:v>JIMTOF2024 出展ページ</x:v>
      </x:c>
      <x:c r="T178" s="7" t="str">
        <x:v>EEX-EXH-2026-510e9c3efc641c9f: https://www.jimtof.org/search/jp/ESdetails?e=ooNmKjSJlIc
該当箇所: 出展紹介・主な出展物。追加カードの原典抜粋で検索
EEX-EXH-2024-0b3cf14df641a386: https://www.jimtof.org/2024/search/jp/ESdetails?e=HrBIzid3E2I
該当箇所: 出展紹介・主な出展物。追加カードの原典抜粋で検索</x:v>
      </x:c>
    </x:row>
    <x:row r="179" ht="155" customHeight="1">
      <x:c r="A179" s="7" t="str">
        <x:v>段取り・物理作業</x:v>
      </x:c>
      <x:c r="B179" s="7" t="str">
        <x:v>認識を伴うピック・付帯加工・除去</x:v>
      </x:c>
      <x:c r="C179" s="20" t="str">
        <x:v>株式会社ジーベックテクノロジー</x:v>
      </x:c>
      <x:c r="D179" s="7" t="str">
        <x:v>XEBEC CPS オートホルダー</x:v>
      </x:c>
      <x:c r="E179" s="7" t="str">
        <x:v>WA006</x:v>
      </x:c>
      <x:c r="F179" s="7" t="str">
        <x:v>バリ取り中のブラシ摩耗を補う</x:v>
      </x:c>
      <x:c r="G179" s="7" t="str">
        <x:v>ブラシ摩耗に応じて突出し量を自動調整するホルダーを、ロボットのギヤバリ取りに組み合わせる。</x:v>
      </x:c>
      <x:c r="H179" s="7" t="str">
        <x:v>形状や絡まりが変わる物理作業に固定手順で対応しにくい。</x:v>
      </x:c>
      <x:c r="I179" s="7" t="str">
        <x:v>2024原典抜粋：ジーベックテクノロジーは、セラミックファイバー製のXEBECブラシ、穴の裏バリ取りに最適なXEBEC裏バリカッター&amp;バリ取りプログラムなど、バリ取りの自動化を実現するツールを多数ラインナップしております。 高品質なバリ取りを可能にするツールは、既に国内外の自動車や航空機などの最先端部品の加工現場で数多く採用され、世界中で使用されています。是非、貴社の加工の高品質化や効率化、人件費削減などにお役立てください。 バリ取り自動化ツールに関しては、無料のデモ機貸出もご対応させていただきます。お気軽にご相談ください。 XEB</x:v>
      </x:c>
      <x:c r="J179" s="7" t="str">
        <x:v>2026原典抜粋：CPS オートホルダーは、ブラシの摩耗に応じて突出し量を自動で調整。 / さらに、ロボットとCPSオートホルダーを組み合わせたギヤのバリ取りデモを実演し、ブラシの摩耗を意識せず、安定した加工を継続する工程をご覧いただけます。 / 工具を自動で動かすだけではなく、加工中に発生していた人の調整やムダな試行錯誤まで減らしていく。 / 工作機械からロボットまで、XEBECが考えるこれからの「バリ取りの新基準」を、ぜひ会場でご体感ください。 / </x:v>
      </x:c>
      <x:c r="K179" s="7" t="str">
        <x:v>2024はバリ取り自動化工具を紹介。2026は摩耗に伴う人の調整を減らす構成を具体記載。</x:v>
      </x:c>
      <x:c r="L179" s="7" t="str">
        <x:v>個別比較あり</x:v>
      </x:c>
      <x:c r="M179" s="7" t="str">
        <x:v>詳細比較済み</x:v>
      </x:c>
      <x:c r="N179" s="7" t="str"/>
      <x:c r="O179" s="7" t="str">
        <x:v>加工条件・ブラシ選定と、不良時の調整は要確認。</x:v>
      </x:c>
      <x:c r="P179" s="7" t="str">
        <x:v>2026公式カタログ掲載・現地未確認
2026展示予定。既存製品・参考出展・構想等は原典で個別確認</x:v>
      </x:c>
      <x:c r="Q179" s="7" t="str">
        <x:v>AC097</x:v>
      </x:c>
      <x:c t="str" r="R179" s="21">
        <x:f>HYPERLINK("https://www.jimtof.org/search/jp/ESdetails?e=jbu03Ik4s00","JIMTOF2026 出展ページ")</x:f>
        <x:v>JIMTOF2026 出展ページ</x:v>
      </x:c>
      <x:c t="str" r="S179" s="21">
        <x:f>HYPERLINK("https://www.jimtof.org/2024/search/jp/ESdetails?e=mnvwVRInyM8","JIMTOF2024 出展ページ")</x:f>
        <x:v>JIMTOF2024 出展ページ</x:v>
      </x:c>
      <x:c r="T179" s="7" t="str">
        <x:v>EEX-EXH-2026-ba283a239e52d644: https://www.jimtof.org/search/jp/ESdetails?e=jbu03Ik4s00
該当箇所: 出展紹介・主な出展物。追加カードの原典抜粋で検索
EEX-EXH-2024-1632c66ef4d28e78: https://www.jimtof.org/2024/search/jp/ESdetails?e=mnvwVRInyM8
該当箇所: 出展紹介・主な出展物。追加カードの原典抜粋で検索</x:v>
      </x:c>
    </x:row>
    <x:row r="180" ht="155" customHeight="1">
      <x:c r="A180" s="7" t="str">
        <x:v>段取り・物理作業</x:v>
      </x:c>
      <x:c r="B180" s="7" t="str">
        <x:v>認識を伴うピック・付帯加工・除去</x:v>
      </x:c>
      <x:c r="C180" s="20" t="str">
        <x:v>進桜電機株式会社</x:v>
      </x:c>
      <x:c r="D180" s="7" t="str">
        <x:v>協働ロボット（FANUC CRX・安川電機HC10）を使用したロボットバリ取り・研磨システム、ATC（自動工具交換）スピンドルモーター、アルミダイカス</x:v>
      </x:c>
      <x:c r="E180" s="7" t="str">
        <x:v>S3049</x:v>
      </x:c>
      <x:c r="F180" s="7" t="str">
        <x:v>認識を伴うピック・付帯加工・除去</x:v>
      </x:c>
      <x:c r="G180" s="7" t="str">
        <x:v>原典抜粋：協働ロボット（FANUC CRX・安川電機HC10）を使用したロボットバリ取り・研磨システム、ATC（自動工具交換）スピンドルモーター、アルミダイカストのバリ取り用高剛性スピンドルモーター、高速・高精度ACスピンドルモーター</x:v>
      </x:c>
      <x:c r="H180" s="7" t="str">
        <x:v>形状や絡まりが変わる物理作業に固定手順で対応しにくい。</x:v>
      </x:c>
      <x:c r="I180" s="7" t="str">
        <x:v>2024原典抜粋：ACスピンドルモーターのメーカーです。高速・高精度の設計・製作技術に優れ、専用加工機械、木工、金属・樹脂、FPD関連から医薬・化学・航空宇宙用の超特殊モーターまでニーズに合わせ設計から製造まで一貫生産ができ、モーターの心臓部（コア）であるステータコイルも製造している為、お客様のニーズに合わせたスピンドルモーターの設計・製作が可能な国内では数少ないメーカーです。 近年では住設・自動車関係の産業機械では自動化の需要が多く、自動化生産ライン向けの産業用ロボットや次世代自動車の新規加工設備、半導体ではダイシング・グライディ</x:v>
      </x:c>
      <x:c r="J180" s="7" t="str">
        <x:v>2026原典抜粋：協働ロボット（FANUC CRX・安川電機HC10）を使用したロボットバリ取り・研磨システム、ATC（自動工具交換）スピンドルモーター、アルミダイカストのバリ取り用高剛性スピンドルモーター、高速・高精度ACスピンドルモーター</x:v>
      </x:c>
      <x:c r="K180" s="7" t="str">
        <x:v>原典記述の対照。個別機能の追加・性能差・初登場年は未判定。</x:v>
      </x:c>
      <x:c r="L180" s="7" t="str">
        <x:v>両年説明あり・機能差未判定</x:v>
      </x:c>
      <x:c r="M180" s="7" t="str">
        <x:v>出展説明の一次分類</x:v>
      </x:c>
      <x:c r="N180" s="7" t="str"/>
      <x:c r="O180" s="7" t="str">
        <x:v>承認・例外対応・停止・復帰の境界は未確認</x:v>
      </x:c>
      <x:c r="P180" s="7" t="str">
        <x:v>2026公式カタログ掲載・現地未確認
2026展示予定。既存製品・参考出展・構想等は原典で個別確認</x:v>
      </x:c>
      <x:c r="Q180" s="7" t="str">
        <x:v>AC108</x:v>
      </x:c>
      <x:c t="str" r="R180" s="21">
        <x:f>HYPERLINK("https://www.jimtof.org/search/jp/ESdetails?e=8aXnlzFtkVQ","JIMTOF2026 出展ページ")</x:f>
        <x:v>JIMTOF2026 出展ページ</x:v>
      </x:c>
      <x:c t="str" r="S180" s="21">
        <x:f>HYPERLINK("https://www.jimtof.org/2024/search/jp/ESdetails?e=L-V39ptNjvw","JIMTOF2024 出展ページ")</x:f>
        <x:v>JIMTOF2024 出展ページ</x:v>
      </x:c>
      <x:c r="T180" s="7" t="str">
        <x:v>EEX-EXH-2026-90247bcf7f6d80c5: https://www.jimtof.org/search/jp/ESdetails?e=8aXnlzFtkVQ
該当箇所: 出展紹介・主な出展物。追加カードの原典抜粋で検索
EEX-EXH-2024-8bb3b3bec7de9146: https://www.jimtof.org/2024/search/jp/ESdetails?e=L-V39ptNjvw
該当箇所: 出展紹介・主な出展物。追加カードの原典抜粋で検索</x:v>
      </x:c>
    </x:row>
    <x:row r="181" ht="155" customHeight="1">
      <x:c r="A181" s="7" t="str">
        <x:v>段取り・物理作業</x:v>
      </x:c>
      <x:c r="B181" s="7" t="str">
        <x:v>認識を伴うピック・付帯加工・除去</x:v>
      </x:c>
      <x:c r="C181" s="20" t="str">
        <x:v>先生精機株式会社</x:v>
      </x:c>
      <x:c r="D181" s="7" t="str">
        <x:v>プロファイルチャンファー</x:v>
      </x:c>
      <x:c r="E181" s="7" t="str">
        <x:v>S1033</x:v>
      </x:c>
      <x:c r="F181" s="7" t="str">
        <x:v>認識を伴うピック・付帯加工・除去</x:v>
      </x:c>
      <x:c r="G181" s="7" t="str">
        <x:v>原典抜粋：単体設備はもちろん自動化ラインへの組み込みまで、お客様の生産性向上と品質改善をサポートします。 / 「バリ取りを自動化したい」「加工品質を安定させたい」「工程を集約したい」など現場ごとに異なる課題に対し、最適なソリューションをご提案いたします。 / 自動でワークの位相決めを行い、数値制御による高精度な加工を実現します。</x:v>
      </x:c>
      <x:c r="H181" s="7" t="str">
        <x:v>形状や絡まりが変わる物理作業に固定手順で対応しにくい。</x:v>
      </x:c>
      <x:c r="I181" s="7" t="str">
        <x:v>2024原典抜粋：当社ブースでは現物倣い方式を採用した面取り機 PLC-201や、数値制御によるスタイラスレス面取り機の展示・デモ加工を実施しております。 PLC-201では現物倣い方式を採用し、当社独自のスタイラスプレートにより、ワーク形状を倣いながらエンドミルによる面取り・バリ取り加工を行います。本方式の採用により、ティーチングや位置決めを不要とし、ワーク寸法等にバラつきがある場合でも一定寸法での加工を可能としております。 スタイラスレス面取り機は、NCタイプの面取り機です。自動位置決めを行い、カッター主軸とワーク回転を同軸数値</x:v>
      </x:c>
      <x:c r="J181" s="7" t="str">
        <x:v>2026原典抜粋：単体設備はもちろん自動化ラインへの組み込みまで、お客様の生産性向上と品質改善をサポートします。 / 「バリ取りを自動化したい」「加工品質を安定させたい」「工程を集約したい」など現場ごとに異なる課題に対し、最適なソリューションをご提案いたします。 / 自動でワークの位相決めを行い、数値制御による高精度な加工を実現します。</x:v>
      </x:c>
      <x:c r="K181" s="7" t="str">
        <x:v>原典記述の対照。個別機能の追加・性能差・初登場年は未判定。</x:v>
      </x:c>
      <x:c r="L181" s="7" t="str">
        <x:v>両年説明あり・機能差未判定</x:v>
      </x:c>
      <x:c r="M181" s="7" t="str">
        <x:v>出展説明の一次分類</x:v>
      </x:c>
      <x:c r="N181" s="7" t="str"/>
      <x:c r="O181" s="7" t="str">
        <x:v>承認・例外対応・停止・復帰の境界は未確認</x:v>
      </x:c>
      <x:c r="P181" s="7" t="str">
        <x:v>2026公式カタログ掲載・現地未確認
2026展示予定。既存製品・参考出展・構想等は原典で個別確認</x:v>
      </x:c>
      <x:c r="Q181" s="7" t="str">
        <x:v>AC120</x:v>
      </x:c>
      <x:c t="str" r="R181" s="21">
        <x:f>HYPERLINK("https://www.jimtof.org/search/jp/ESdetails?e=LbuFdZUa35w","JIMTOF2026 出展ページ")</x:f>
        <x:v>JIMTOF2026 出展ページ</x:v>
      </x:c>
      <x:c t="str" r="S181" s="21">
        <x:f>HYPERLINK("https://www.jimtof.org/2024/search/jp/ESdetails?e=XopUYQIctHo","JIMTOF2024 出展ページ")</x:f>
        <x:v>JIMTOF2024 出展ページ</x:v>
      </x:c>
      <x:c r="T181" s="7" t="str">
        <x:v>EEX-EXH-2026-c5ea9a742076c7a1: https://www.jimtof.org/search/jp/ESdetails?e=LbuFdZUa35w
該当箇所: 出展紹介・主な出展物。追加カードの原典抜粋で検索
EEX-EXH-2024-4afcb6f075fb25bf: https://www.jimtof.org/2024/search/jp/ESdetails?e=XopUYQIctHo
該当箇所: 出展紹介・主な出展物。追加カードの原典抜粋で検索</x:v>
      </x:c>
    </x:row>
    <x:row r="182" ht="155" customHeight="1">
      <x:c r="A182" s="7" t="str">
        <x:v>段取り・物理作業</x:v>
      </x:c>
      <x:c r="B182" s="7" t="str">
        <x:v>認識を伴うピック・付帯加工・除去</x:v>
      </x:c>
      <x:c r="C182" s="20" t="str">
        <x:v>双和化成株式会社</x:v>
      </x:c>
      <x:c r="D182" s="7" t="str">
        <x:v>セラミックファイバーブラシ・砥石 「Cristone」「CERATON」</x:v>
      </x:c>
      <x:c r="E182" s="7" t="str">
        <x:v>W4050</x:v>
      </x:c>
      <x:c r="F182" s="7" t="str">
        <x:v>認識を伴うピック・付帯加工・除去</x:v>
      </x:c>
      <x:c r="G182" s="7" t="str">
        <x:v>原典抜粋：JIMTOF2026では、バリ取りや研磨の自動化・効率化を可能にするセラミックファイバーブラシ・砥石製品、さらに金型などの清掃に特化したクリーナー製品を展示いたします。</x:v>
      </x:c>
      <x:c r="H182" s="7" t="str">
        <x:v>形状や絡まりが変わる物理作業に固定手順で対応しにくい。</x:v>
      </x:c>
      <x:c r="I182" s="7" t="str">
        <x:v>2024原典抜粋：双和化成は繊維と熱硬化性樹脂の配合品であるFRPに特化した製造企業です。お客様の様々なニーズに合わせ、独自の製造・開発ラインでモノづくりをサポートいたします。 JIMTOF 2024では、バリ取りの自動化と繊細な表面仕上げを実現するセラミックファイバーブラシ・砥石を紹介します。 ナノ結合したセラミックファイバーを使用することで 超微細な表面仕上げと高い曲げ強度を実現したCristoneシリーズ</x:v>
      </x:c>
      <x:c r="J182" s="7" t="str">
        <x:v>2026原典抜粋：JIMTOF2026では、バリ取りや研磨の自動化・効率化を可能にするセラミックファイバーブラシ・砥石製品、さらに金型などの清掃に特化したクリーナー製品を展示いたします。</x:v>
      </x:c>
      <x:c r="K182" s="7" t="str">
        <x:v>原典記述の対照。個別機能の追加・性能差・初登場年は未判定。</x:v>
      </x:c>
      <x:c r="L182" s="7" t="str">
        <x:v>両年説明あり・機能差未判定</x:v>
      </x:c>
      <x:c r="M182" s="7" t="str">
        <x:v>出展説明の一次分類</x:v>
      </x:c>
      <x:c r="N182" s="7" t="str"/>
      <x:c r="O182" s="7" t="str">
        <x:v>承認・例外対応・停止・復帰の境界は未確認</x:v>
      </x:c>
      <x:c r="P182" s="7" t="str">
        <x:v>2026公式カタログ掲載・現地未確認
2026展示予定。既存製品・参考出展・構想等は原典で個別確認</x:v>
      </x:c>
      <x:c r="Q182" s="7" t="str">
        <x:v>AC122</x:v>
      </x:c>
      <x:c t="str" r="R182" s="21">
        <x:f>HYPERLINK("https://www.jimtof.org/search/jp/ESdetails?e=aJBm2hnGsqY","JIMTOF2026 出展ページ")</x:f>
        <x:v>JIMTOF2026 出展ページ</x:v>
      </x:c>
      <x:c t="str" r="S182" s="21">
        <x:f>HYPERLINK("https://www.jimtof.org/2024/search/jp/ESdetails?e=iRQKn5kaGi8","JIMTOF2024 出展ページ")</x:f>
        <x:v>JIMTOF2024 出展ページ</x:v>
      </x:c>
      <x:c r="T182" s="7" t="str">
        <x:v>EEX-EXH-2026-f4c953df9f4aea17: https://www.jimtof.org/search/jp/ESdetails?e=aJBm2hnGsqY
該当箇所: 出展紹介・主な出展物。追加カードの原典抜粋で検索
EEX-EXH-2024-728e4b4a806ec58d: https://www.jimtof.org/2024/search/jp/ESdetails?e=iRQKn5kaGi8
該当箇所: 出展紹介・主な出展物。追加カードの原典抜粋で検索</x:v>
      </x:c>
    </x:row>
    <x:row r="183" ht="155" customHeight="1">
      <x:c r="A183" s="7" t="str">
        <x:v>段取り・物理作業</x:v>
      </x:c>
      <x:c r="B183" s="7" t="str">
        <x:v>認識を伴うピック・付帯加工・除去</x:v>
      </x:c>
      <x:c r="C183" s="20" t="str">
        <x:v>大同興業株式会社</x:v>
      </x:c>
      <x:c r="D183" s="7" t="str">
        <x:v>DM-400 油圧クランプ仕様、UNI-DEBURRING バリ取り機、Safety Tools Cold Work対応エアグラインダー、AXXAIR</x:v>
      </x:c>
      <x:c r="E183" s="7" t="str">
        <x:v>S1007</x:v>
      </x:c>
      <x:c r="F183" s="7" t="str">
        <x:v>認識を伴うピック・付帯加工・除去</x:v>
      </x:c>
      <x:c r="G183" s="7" t="str">
        <x:v>原典抜粋：金属切断・研削・バリ取りの省力化、安全性向上をテーマに、DM-400、UNI-DEBURRING、Safety Tools、AXXAIR製品などを展示します。 / DM-400 油圧クランプ仕様、UNI-DEBURRING バリ取り機、Safety Tools Cold Work対応エアグラインダー、AXXAIR パイプ切断・開先加工・円周溶接関連機器、ドリル研磨機</x:v>
      </x:c>
      <x:c r="H183" s="7" t="str">
        <x:v>形状や絡まりが変わる物理作業に固定手順で対応しにくい。</x:v>
      </x:c>
      <x:c r="I183" s="7" t="str">
        <x:v>2024原典抜粋：大同興業では、切る・バリ取る・溶接する をテーマに体験型のブースを展開いたします。 今回の展示会での初披露となる新型切断機DM-400のデモ、また新型のAXXAIR溶接機、その他はベストセラーとなっておりますUNI-DEBURRING小型バリ取り機とポータブル切断機AXXAIRを御体験頂けます。 切断機 DM-400 並びに AXXAIR切断機 溶接機 AXXAIRパイプ溶接機 バリ取り機 UNI-DEBURRING小型ブラシバリ取り機 その他 メタルソー・チップソー展示</x:v>
      </x:c>
      <x:c r="J183" s="7" t="str">
        <x:v>2026原典抜粋：金属切断・研削・バリ取りの省力化、安全性向上をテーマに、DM-400、UNI-DEBURRING、Safety Tools、AXXAIR製品などを展示します。 / DM-400 油圧クランプ仕様、UNI-DEBURRING バリ取り機、Safety Tools Cold Work対応エアグラインダー、AXXAIR パイプ切断・開先加工・円周溶接関連機器、ドリル研磨機</x:v>
      </x:c>
      <x:c r="K183" s="7" t="str">
        <x:v>原典記述の対照。個別機能の追加・性能差・初登場年は未判定。</x:v>
      </x:c>
      <x:c r="L183" s="7" t="str">
        <x:v>両年説明あり・機能差未判定</x:v>
      </x:c>
      <x:c r="M183" s="7" t="str">
        <x:v>出展説明の一次分類</x:v>
      </x:c>
      <x:c r="N183" s="7" t="str"/>
      <x:c r="O183" s="7" t="str">
        <x:v>承認・例外対応・停止・復帰の境界は未確認</x:v>
      </x:c>
      <x:c r="P183" s="7" t="str">
        <x:v>2026公式カタログ掲載・現地未確認
2026展示予定。既存製品・参考出展・構想等は原典で個別確認</x:v>
      </x:c>
      <x:c r="Q183" s="7" t="str">
        <x:v>AC126</x:v>
      </x:c>
      <x:c t="str" r="R183" s="21">
        <x:f>HYPERLINK("https://www.jimtof.org/search/jp/ESdetails?e=t55m-mwo_zM","JIMTOF2026 出展ページ")</x:f>
        <x:v>JIMTOF2026 出展ページ</x:v>
      </x:c>
      <x:c t="str" r="S183" s="21">
        <x:f>HYPERLINK("https://www.jimtof.org/2024/search/jp/ESdetails?e=XwCpwCtBW5k","JIMTOF2024 出展ページ")</x:f>
        <x:v>JIMTOF2024 出展ページ</x:v>
      </x:c>
      <x:c r="T183" s="7" t="str">
        <x:v>EEX-EXH-2026-6ffc5e37fa7b33e5: https://www.jimtof.org/search/jp/ESdetails?e=t55m-mwo_zM
該当箇所: 出展紹介・主な出展物。追加カードの原典抜粋で検索
EEX-EXH-2024-44a6e2fe8944bc02: https://www.jimtof.org/2024/search/jp/ESdetails?e=XwCpwCtBW5k
該当箇所: 出展紹介・主な出展物。追加カードの原典抜粋で検索</x:v>
      </x:c>
    </x:row>
    <x:row r="184" ht="155" customHeight="1">
      <x:c r="A184" s="7" t="str">
        <x:v>段取り・物理作業</x:v>
      </x:c>
      <x:c r="B184" s="7" t="str">
        <x:v>認識を伴うピック・付帯加工・除去</x:v>
      </x:c>
      <x:c r="C184" s="20" t="str">
        <x:v>ダイナミックツール株式会社</x:v>
      </x:c>
      <x:c r="D184" s="7" t="str">
        <x:v>【ダイナミックツール社】</x:v>
      </x:c>
      <x:c r="E184" s="7" t="str">
        <x:v>S2009</x:v>
      </x:c>
      <x:c r="F184" s="7" t="str">
        <x:v>認識を伴うピック・付帯加工・除去 ／ クーラント・潤滑・清掃の省人化</x:v>
      </x:c>
      <x:c r="G184" s="7" t="str">
        <x:v>原典抜粋：注目の新製品をはじめ、「掴む」「加工・回転」「自動化・搬送」「環境保全」「クーラント・冷却」の5つのソリューションで、モノづくりの課題を解決します。 / 【自動化・搬送】 / 生産現場に、止まらない“流れと自動化”を。 / 磁気浮上式搬送やバリ取り自動化で、省人化と生産性向上を支援。 / 高圧ノズル、ノズル自動制御、ウルトラファインバブルなどで、加工品質と生産性を高める。 / 熟練工の技を自動化 / リニアモータ式自動ドア</x:v>
      </x:c>
      <x:c r="H184" s="7" t="str">
        <x:v>形状や絡まりが変わる物理作業に固定手順で対応しにくい。 ／ 補充・濃度管理・切粉処理などの保守作業で運転が途切れる。</x:v>
      </x:c>
      <x:c r="I184" s="7" t="str">
        <x:v>2024原典抜粋：高精度加工・生産性向上・作業環境改善に寄与する機械の周辺設備をラインナップし、展示。 1.チャックは豊富なバリエーションを有し、これまでに培ってきたノウハウでお客様の様々な要望に適した内容で提案が可能。 2.スピンドルはJäger社、MYL社、KESSLER社と異なるメニューを持つ3社を取り扱いし、軽切削から難削材の高トルク加工や研削加工など、幅広い用途のスピンドルを提案。 3.バリ取りの熟練工レベルの自動化を実現する製品。 4.長年にわたり、オイルミスト/油煙/ダストの問題を解決する為に培った経験をいかした環境配</x:v>
      </x:c>
      <x:c r="J184" s="7" t="str">
        <x:v>2026原典抜粋：注目の新製品をはじめ、「掴む」「加工・回転」「自動化・搬送」「環境保全」「クーラント・冷却」の5つのソリューションで、モノづくりの課題を解決します。 / 【自動化・搬送】 / 生産現場に、止まらない“流れと自動化”を。 / 磁気浮上式搬送やバリ取り自動化で、省人化と生産性向上を支援。 / 高圧ノズル、ノズル自動制御、ウルトラファインバブルなどで、加工品質と生産性を高める。 / 熟練工の技を自動化 / リニアモータ式自動ドア</x:v>
      </x:c>
      <x:c r="K184" s="7" t="str">
        <x:v>原典記述の対照。個別機能の追加・性能差・初登場年は未判定。</x:v>
      </x:c>
      <x:c r="L184" s="7" t="str">
        <x:v>両年説明あり・機能差未判定</x:v>
      </x:c>
      <x:c r="M184" s="7" t="str">
        <x:v>出展説明の一次分類</x:v>
      </x:c>
      <x:c r="N184" s="7" t="str"/>
      <x:c r="O184" s="7" t="str">
        <x:v>承認・例外対応・停止・復帰の境界は未確認</x:v>
      </x:c>
      <x:c r="P184" s="7" t="str">
        <x:v>2026公式カタログ掲載・現地未確認
2026展示予定。既存製品・参考出展・構想等は原典で個別確認</x:v>
      </x:c>
      <x:c r="Q184" s="7" t="str">
        <x:v>AC127</x:v>
      </x:c>
      <x:c t="str" r="R184" s="21">
        <x:f>HYPERLINK("https://www.jimtof.org/search/jp/ESdetails?e=wAurYrCTgOs","JIMTOF2026 出展ページ")</x:f>
        <x:v>JIMTOF2026 出展ページ</x:v>
      </x:c>
      <x:c t="str" r="S184" s="21">
        <x:f>HYPERLINK("https://www.jimtof.org/2024/search/jp/ESdetails?e=bRKaw8mtvM4","JIMTOF2024 出展ページ")</x:f>
        <x:v>JIMTOF2024 出展ページ</x:v>
      </x:c>
      <x:c r="T184" s="7" t="str">
        <x:v>EEX-EXH-2026-d32daa7543b852bd: https://www.jimtof.org/search/jp/ESdetails?e=wAurYrCTgOs
該当箇所: 出展紹介・主な出展物。追加カードの原典抜粋で検索
EEX-EXH-2024-de51604541a0c776: https://www.jimtof.org/2024/search/jp/ESdetails?e=bRKaw8mtvM4
該当箇所: 出展紹介・主な出展物。追加カードの原典抜粋で検索</x:v>
      </x:c>
    </x:row>
    <x:row r="185" ht="155" customHeight="1">
      <x:c r="A185" s="7" t="str">
        <x:v>段取り・物理作業</x:v>
      </x:c>
      <x:c r="B185" s="7" t="str">
        <x:v>認識を伴うピック・付帯加工・除去</x:v>
      </x:c>
      <x:c r="C185" s="20" t="str">
        <x:v>株式会社チップトン</x:v>
      </x:c>
      <x:c r="D185" s="7" t="str">
        <x:v>遠心バレル研磨機「HS8V-10G」(2L×4槽タイプ)</x:v>
      </x:c>
      <x:c r="E185" s="7" t="str">
        <x:v>W4040</x:v>
      </x:c>
      <x:c r="F185" s="7" t="str">
        <x:v>認識を伴うピック・付帯加工・除去</x:v>
      </x:c>
      <x:c r="G185" s="7" t="str">
        <x:v>原典抜粋：水の飛散がなく、インライン化・自動化にも適したオンリーワンの振動バレルをご覧ください。 / ワーク装入・研磨・選別・洗浄・乾燥までをつなぐ全自動ラインの構築により、バレル研磨工程の無人化にも対応します。</x:v>
      </x:c>
      <x:c r="H185" s="7" t="str">
        <x:v>形状や絡まりが変わる物理作業に固定手順で対応しにくい。</x:v>
      </x:c>
      <x:c r="I185" s="7" t="str">
        <x:v>2024原典抜粋：最新のバレル研磨機と研磨石、それにバレルシミュレーションの受託解析サービスを展示します。 研磨機「Ｍｉｇｈｔｙ・Ｍｉｌｄ🄬」は５０ｍｍ以下の小さな精密部品の研磨に向いています。新発明の低速高圧流動により、従来の遠心バレルと比較して、加工時間を１／３に短縮しながら加工傷を８０％以上減少させることが可能です。 研磨機「ドラッグフィニッシュ」は５０ｍｍ以上の大きな部品の研磨に向いています。数個から数十個のワークをひとつずつチャックして研磨するので、大きな部品でも加工傷なく研磨することができます。 研磨石「Ｅシリーズ」は小</x:v>
      </x:c>
      <x:c r="J185" s="7" t="str">
        <x:v>2026原典抜粋：水の飛散がなく、インライン化・自動化にも適したオンリーワンの振動バレルをご覧ください。 / ワーク装入・研磨・選別・洗浄・乾燥までをつなぐ全自動ラインの構築により、バレル研磨工程の無人化にも対応します。</x:v>
      </x:c>
      <x:c r="K185" s="7" t="str">
        <x:v>原典記述の対照。個別機能の追加・性能差・初登場年は未判定。</x:v>
      </x:c>
      <x:c r="L185" s="7" t="str">
        <x:v>両年説明あり・機能差未判定</x:v>
      </x:c>
      <x:c r="M185" s="7" t="str">
        <x:v>出展説明の一次分類</x:v>
      </x:c>
      <x:c r="N185" s="7" t="str"/>
      <x:c r="O185" s="7" t="str">
        <x:v>承認・例外対応・停止・復帰の境界は未確認</x:v>
      </x:c>
      <x:c r="P185" s="7" t="str">
        <x:v>2026公式カタログ掲載・現地未確認
2026展示予定。既存製品・参考出展・構想等は原典で個別確認</x:v>
      </x:c>
      <x:c r="Q185" s="7" t="str">
        <x:v>AC133</x:v>
      </x:c>
      <x:c t="str" r="R185" s="21">
        <x:f>HYPERLINK("https://www.jimtof.org/search/jp/ESdetails?e=nBcJqlTC_OU","JIMTOF2026 出展ページ")</x:f>
        <x:v>JIMTOF2026 出展ページ</x:v>
      </x:c>
      <x:c t="str" r="S185" s="21">
        <x:f>HYPERLINK("https://www.jimtof.org/2024/search/jp/ESdetails?e=RQkXWhWkKEs","JIMTOF2024 出展ページ")</x:f>
        <x:v>JIMTOF2024 出展ページ</x:v>
      </x:c>
      <x:c r="T185" s="7" t="str">
        <x:v>EEX-EXH-2026-c187ee9769dcb716: https://www.jimtof.org/search/jp/ESdetails?e=nBcJqlTC_OU
該当箇所: 出展紹介・主な出展物。追加カードの原典抜粋で検索
EEX-EXH-2024-f3a474fce21abcfe: https://www.jimtof.org/2024/search/jp/ESdetails?e=RQkXWhWkKEs
該当箇所: 出展紹介・主な出展物。追加カードの原典抜粋で検索</x:v>
      </x:c>
    </x:row>
    <x:row r="186" ht="155" customHeight="1">
      <x:c r="A186" s="7" t="str">
        <x:v>段取り・物理作業</x:v>
      </x:c>
      <x:c r="B186" s="7" t="str">
        <x:v>認識を伴うピック・付帯加工・除去</x:v>
      </x:c>
      <x:c r="C186" s="20" t="str">
        <x:v>東京エレクトロンデバイス株式会社</x:v>
      </x:c>
      <x:c r="D186" s="7" t="str">
        <x:v>3D形状認識・教示不要の面取り／皿もみ</x:v>
      </x:c>
      <x:c r="E186" s="7" t="str">
        <x:v>E7073</x:v>
      </x:c>
      <x:c r="F186" s="7" t="str">
        <x:v>不定形ワークの面取り・皿もみを行う</x:v>
      </x:c>
      <x:c r="G186" s="7" t="str">
        <x:v>3Dスキャンから不定形ワークを認識し面取り等の軌道を生成。</x:v>
      </x:c>
      <x:c r="H186" s="7" t="str">
        <x:v>形状や絡まりが変わる物理作業に固定手順で対応しにくい。</x:v>
      </x:c>
      <x:c r="I186" s="7" t="str">
        <x:v>同一名称の2024詳細なし。名称変更・他ブースの照合は未完了。</x:v>
      </x:c>
      <x:c r="J186" s="7" t="str">
        <x:v>レーザースキャンで未教示の不定形ワークを認識し、加工軌道を生成して面取り・皿もみ等を行う予定。</x:v>
      </x:c>
      <x:c r="K186" s="7" t="str">
        <x:v>2024同名比較不能。2026の具体タスクは確認。</x:v>
      </x:c>
      <x:c r="L186" s="7" t="str">
        <x:v>個別比較あり</x:v>
      </x:c>
      <x:c r="M186" s="7" t="str">
        <x:v>詳細比較済み</x:v>
      </x:c>
      <x:c r="N186" s="7" t="str"/>
      <x:c r="O186" s="7" t="str">
        <x:v>加工条件設定、干渉確認、誤認識時の停止・品質承認は未公開。</x:v>
      </x:c>
      <x:c r="P186" s="7" t="str">
        <x:v>東京エンジニアリングE7073内で展示予定（企業公式告知で確認）
2026展示予定。既存製品・参考出展・構想等は原典で個別確認</x:v>
      </x:c>
      <x:c r="Q186" s="7" t="str">
        <x:v>AC146</x:v>
      </x:c>
      <x:c t="str" r="R186" s="21">
        <x:f>HYPERLINK("https://www.jimtof.org/search/jp/ESdetails?e=c4cChQniAm8","JIMTOF2026 出展ページ")</x:f>
        <x:v>JIMTOF2026 出展ページ</x:v>
      </x:c>
      <x:c r="S186" s="21" t="str"/>
      <x:c r="T186" s="7" t="str">
        <x:v>EEX-EXH-2026-8c08de1ffed47316: https://www.jimtof.org/search/jp/ESdetails?e=c4cChQniAm8
該当箇所: 出展紹介・主な出展物。追加カードの原典抜粋で検索
EEX-WTED: https://www.inrevium.com/news-event/event/p7331/
該当箇所: 展示会概要・出展製品／2026年5月13日の製品説明</x:v>
      </x:c>
    </x:row>
    <x:row r="187" ht="155" customHeight="1">
      <x:c r="A187" s="7" t="str">
        <x:v>段取り・物理作業</x:v>
      </x:c>
      <x:c r="B187" s="7" t="str">
        <x:v>認識を伴うピック・付帯加工・除去</x:v>
      </x:c>
      <x:c r="C187" s="20" t="str">
        <x:v>南海モルディ株式会社</x:v>
      </x:c>
      <x:c r="D187" s="7" t="str">
        <x:v>①自動肉盛りシステム【肉盛りくん】施工事例品・金型</x:v>
      </x:c>
      <x:c r="E187" s="7" t="str">
        <x:v>S3005</x:v>
      </x:c>
      <x:c r="F187" s="7" t="str">
        <x:v>認識を伴うピック・付帯加工・除去 ／ 自動加工セル・工程集約</x:v>
      </x:c>
      <x:c r="G187" s="7" t="str">
        <x:v>原典抜粋：当社開発の自動肉盛り溶接システム【肉盛りくん】やその応用方法を展示。 / いままで”コツ・カン”の世界だった肉盛り溶接技術をパウダー溶接技術と6軸ロボットの融合により最大限のパフォーマンスを実現。 / ①自動肉盛りシステム【肉盛りくん】施工事例品・金型</x:v>
      </x:c>
      <x:c r="H187" s="7" t="str">
        <x:v>形状や絡まりが変わる物理作業に固定手順で対応しにくい。 ／ 設備間の持替えや繰返し作業が、人手・待ち時間・品質差につながる。</x:v>
      </x:c>
      <x:c r="I187" s="7" t="str">
        <x:v>同一正規化名称の2024詳細なし。新規出展・技術不存在とは判断しない。</x:v>
      </x:c>
      <x:c r="J187" s="7" t="str">
        <x:v>2026原典抜粋：当社開発の自動肉盛り溶接システム【肉盛りくん】やその応用方法を展示。 / いままで”コツ・カン”の世界だった肉盛り溶接技術をパウダー溶接技術と6軸ロボットの融合により最大限のパフォーマンスを実現。 / ①自動肉盛りシステム【肉盛りくん】施工事例品・金型</x:v>
      </x:c>
      <x:c r="K187" s="7" t="str">
        <x:v>原典記述の対照。個別機能の追加・性能差・初登場年は未判定。</x:v>
      </x:c>
      <x:c r="L187" s="7" t="str">
        <x:v>年度資料不足・比較不能</x:v>
      </x:c>
      <x:c r="M187" s="7" t="str">
        <x:v>出展説明の一次分類</x:v>
      </x:c>
      <x:c r="N187" s="7" t="str"/>
      <x:c r="O187" s="7" t="str">
        <x:v>承認・例外対応・停止・復帰の境界は未確認</x:v>
      </x:c>
      <x:c r="P187" s="7" t="str">
        <x:v>2026公式カタログ掲載・現地未確認
2026展示予定。既存製品・参考出展・構想等は原典で個別確認</x:v>
      </x:c>
      <x:c r="Q187" s="7" t="str">
        <x:v>AC160</x:v>
      </x:c>
      <x:c t="str" r="R187" s="21">
        <x:f>HYPERLINK("https://www.jimtof.org/search/jp/ESdetails?e=DzEQo0I9qrQ","JIMTOF2026 出展ページ")</x:f>
        <x:v>JIMTOF2026 出展ページ</x:v>
      </x:c>
      <x:c r="S187" s="21" t="str"/>
      <x:c r="T187" s="7" t="str">
        <x:v>EEX-EXH-2026-87d81bbdb5e75826: https://www.jimtof.org/search/jp/ESdetails?e=DzEQo0I9qrQ
該当箇所: 出展紹介・主な出展物。追加カードの原典抜粋で検索</x:v>
      </x:c>
    </x:row>
    <x:row r="188" ht="155" customHeight="1">
      <x:c r="A188" s="7" t="str">
        <x:v>段取り・物理作業</x:v>
      </x:c>
      <x:c r="B188" s="7" t="str">
        <x:v>認識を伴うピック・付帯加工・除去</x:v>
      </x:c>
      <x:c r="C188" s="20" t="str">
        <x:v>日本オートマチックマシン株式会社</x:v>
      </x:c>
      <x:c r="D188" s="7" t="str">
        <x:v>新型の高速サーボプレスを用いた量産のご提案</x:v>
      </x:c>
      <x:c r="E188" s="7" t="str">
        <x:v>W2009</x:v>
      </x:c>
      <x:c r="F188" s="7" t="str">
        <x:v>認識を伴うピック・付帯加工・除去 ／ 自動加工セル・工程集約</x:v>
      </x:c>
      <x:c r="G188" s="7" t="str">
        <x:v>原典抜粋：最新のサーボプレスおよび油圧プレスを活用した自動化・省人化ソリューションをご提案します。 / さらに、刃の自動送り機構を搭載した新しい面取機を展示し、面取り作業の効率化や品質の安定化を実現する最新技術をご紹介します。 / ・新型の精密サーボプレスを用いた自動化のご提案 / ・油圧プレスと産業ロボットを用いた自動化のご提案</x:v>
      </x:c>
      <x:c r="H188" s="7" t="str">
        <x:v>形状や絡まりが変わる物理作業に固定手順で対応しにくい。 ／ 設備間の持替えや繰返し作業が、人手・待ち時間・品質差につながる。</x:v>
      </x:c>
      <x:c r="I188" s="7" t="str">
        <x:v>2024原典抜粋：【精密バイス】自動化、省人化へのご提案としてExc's(イクシーズ)シリーズを展示。 オートクランプバイスや自動搬送ロボットやCNC円テーブルとのコラボ展示で、自動搬送のイメージを具現化。自動化に不可欠な高精度バイスを多数出展する。 【プレス】新たに高速4柱サーボプレス”RSS1000P"を初公開。プレス機本体は当社独自のコンパクト設計で、生産ラインのレイアウトもしやすく省スペース化ができる。ストローク数は最大600s.p.m.まで設定可能なため、生産性向上にも貢献します。また新型プレス"Z"シリーズは高精度でカス</x:v>
      </x:c>
      <x:c r="J188" s="7" t="str">
        <x:v>2026原典抜粋：最新のサーボプレスおよび油圧プレスを活用した自動化・省人化ソリューションをご提案します。 / さらに、刃の自動送り機構を搭載した新しい面取機を展示し、面取り作業の効率化や品質の安定化を実現する最新技術をご紹介します。 / ・新型の精密サーボプレスを用いた自動化のご提案 / ・油圧プレスと産業ロボットを用いた自動化のご提案</x:v>
      </x:c>
      <x:c r="K188" s="7" t="str">
        <x:v>原典記述の対照。個別機能の追加・性能差・初登場年は未判定。</x:v>
      </x:c>
      <x:c r="L188" s="7" t="str">
        <x:v>両年説明あり・機能差未判定</x:v>
      </x:c>
      <x:c r="M188" s="7" t="str">
        <x:v>出展説明の一次分類</x:v>
      </x:c>
      <x:c r="N188" s="7" t="str"/>
      <x:c r="O188" s="7" t="str">
        <x:v>承認・例外対応・停止・復帰の境界は未確認</x:v>
      </x:c>
      <x:c r="P188" s="7" t="str">
        <x:v>2026公式カタログ掲載・現地未確認
2026展示予定。既存製品・参考出展・構想等は原典で個別確認</x:v>
      </x:c>
      <x:c r="Q188" s="7" t="str">
        <x:v>AC174</x:v>
      </x:c>
      <x:c t="str" r="R188" s="21">
        <x:f>HYPERLINK("https://www.jimtof.org/search/jp/ESdetails?e=sGohRmZeceo","JIMTOF2026 出展ページ")</x:f>
        <x:v>JIMTOF2026 出展ページ</x:v>
      </x:c>
      <x:c t="str" r="S188" s="21">
        <x:f>HYPERLINK("https://www.jimtof.org/2024/search/jp/ESdetails?e=gu-Bf9cZXn4","JIMTOF2024 出展ページ")</x:f>
        <x:v>JIMTOF2024 出展ページ</x:v>
      </x:c>
      <x:c r="T188" s="7" t="str">
        <x:v>EEX-EXH-2026-720ee83a35850033: https://www.jimtof.org/search/jp/ESdetails?e=sGohRmZeceo
該当箇所: 出展紹介・主な出展物。追加カードの原典抜粋で検索
EEX-EXH-2024-319924ee07900c3f: https://www.jimtof.org/2024/search/jp/ESdetails?e=gu-Bf9cZXn4
該当箇所: 出展紹介・主な出展物。追加カードの原典抜粋で検索</x:v>
      </x:c>
    </x:row>
    <x:row r="189" ht="155" customHeight="1">
      <x:c r="A189" s="7" t="str">
        <x:v>段取り・物理作業</x:v>
      </x:c>
      <x:c r="B189" s="7" t="str">
        <x:v>認識を伴うピック・付帯加工・除去</x:v>
      </x:c>
      <x:c r="C189" s="20" t="str">
        <x:v>ニューレジストン株式会社</x:v>
      </x:c>
      <x:c r="D189" s="7" t="str">
        <x:v>研削ロボットシステム,ブルーセラックオフセットタイプ,シグマジェイド,空気式グラインダ空神100,空気式ミニグラインダ空神ミニ,電気式ミニグダインダ雷</x:v>
      </x:c>
      <x:c r="E189" s="7" t="str">
        <x:v>W4039</x:v>
      </x:c>
      <x:c r="F189" s="7" t="str">
        <x:v>認識を伴うピック・付帯加工・除去</x:v>
      </x:c>
      <x:c r="G189" s="7" t="str">
        <x:v>原典抜粋：また自動化・省人化をご提案できる研削ロボットシステムの実演展示も行いますので、ぜひブースまでお越しください。 / 研削ロボットシステム,ブルーセラックオフセットタイプ,シグマジェイド,空気式グラインダ空神100,空気式ミニグラインダ空神ミニ,電気式ミニグダインダ雷神スリムⅡ,空気式ストレートグラインダ空神ストレート,NRS超硬バー,電気式グラインダ安全グラインダ180,シェル ジェイドタイプ</x:v>
      </x:c>
      <x:c r="H189" s="7" t="str">
        <x:v>形状や絡まりが変わる物理作業に固定手順で対応しにくい。</x:v>
      </x:c>
      <x:c r="I189" s="7" t="str">
        <x:v>2024原典抜粋：先端ツールから工具まで、切る・削る・磨くのトータルソリューションを実現いたします！ 異次元の研削力「ブルーセラック オフセットタイプ」、電気式ミニグラインダ「雷神スリムII」など、ブース内では実演も行っていますので、是非、見て・聞いて・削ってみてください。 ロボットシステムを活用した研削支援ツールも提案しております！ ・セラミック砥粒 研削用ディスク「ブルーセラック オフセットタイプ」 ・電気式ミニグラインダ「雷神スリムⅡ」、専用砥石「ミニシリーズ」 ・新製品 切断砥石「ゼータカット」 ・空気式ストレートグラインダ</x:v>
      </x:c>
      <x:c r="J189" s="7" t="str">
        <x:v>2026原典抜粋：また自動化・省人化をご提案できる研削ロボットシステムの実演展示も行いますので、ぜひブースまでお越しください。 / 研削ロボットシステム,ブルーセラックオフセットタイプ,シグマジェイド,空気式グラインダ空神100,空気式ミニグラインダ空神ミニ,電気式ミニグダインダ雷神スリムⅡ,空気式ストレートグラインダ空神ストレート,NRS超硬バー,電気式グラインダ安全グラインダ180,シェル ジェイドタイプ</x:v>
      </x:c>
      <x:c r="K189" s="7" t="str">
        <x:v>原典記述の対照。個別機能の追加・性能差・初登場年は未判定。</x:v>
      </x:c>
      <x:c r="L189" s="7" t="str">
        <x:v>両年説明あり・機能差未判定</x:v>
      </x:c>
      <x:c r="M189" s="7" t="str">
        <x:v>出展説明の一次分類</x:v>
      </x:c>
      <x:c r="N189" s="7" t="str"/>
      <x:c r="O189" s="7" t="str">
        <x:v>承認・例外対応・停止・復帰の境界は未確認</x:v>
      </x:c>
      <x:c r="P189" s="7" t="str">
        <x:v>2026公式カタログ掲載・現地未確認
2026展示予定。既存製品・参考出展・構想等は原典で個別確認</x:v>
      </x:c>
      <x:c r="Q189" s="7" t="str">
        <x:v>AC181</x:v>
      </x:c>
      <x:c t="str" r="R189" s="21">
        <x:f>HYPERLINK("https://www.jimtof.org/search/jp/ESdetails?e=IUHezG5Z4xQ","JIMTOF2026 出展ページ")</x:f>
        <x:v>JIMTOF2026 出展ページ</x:v>
      </x:c>
      <x:c t="str" r="S189" s="21">
        <x:f>HYPERLINK("https://www.jimtof.org/2024/search/jp/ESdetails?e=U09xKJMYJs8","JIMTOF2024 出展ページ")</x:f>
        <x:v>JIMTOF2024 出展ページ</x:v>
      </x:c>
      <x:c r="T189" s="7" t="str">
        <x:v>EEX-EXH-2026-66d65480e2017d11: https://www.jimtof.org/search/jp/ESdetails?e=IUHezG5Z4xQ
該当箇所: 出展紹介・主な出展物。追加カードの原典抜粋で検索
EEX-EXH-2024-218eaae9815a5b2b: https://www.jimtof.org/2024/search/jp/ESdetails?e=U09xKJMYJs8
該当箇所: 出展紹介・主な出展物。追加カードの原典抜粋で検索</x:v>
      </x:c>
    </x:row>
    <x:row r="190" ht="155" customHeight="1">
      <x:c r="A190" s="7" t="str">
        <x:v>段取り・物理作業</x:v>
      </x:c>
      <x:c r="B190" s="7" t="str">
        <x:v>認識を伴うピック・付帯加工・除去</x:v>
      </x:c>
      <x:c r="C190" s="20" t="str">
        <x:v>富士精工株式会社</x:v>
      </x:c>
      <x:c r="D190" s="7" t="str">
        <x:v>自働化ソリューション展示</x:v>
      </x:c>
      <x:c r="E190" s="7" t="str">
        <x:v>W1062</x:v>
      </x:c>
      <x:c r="F190" s="7" t="str">
        <x:v>爪・治具・ハンドと位置の段取り ／ 認識を伴うピック・付帯加工・除去</x:v>
      </x:c>
      <x:c r="G190" s="7" t="str">
        <x:v>原典抜粋：マシニングセンターなどの既存設備の自働化を促進する工具をはじめ、自動化の阻害要因となる切りくず、バリ、加工不良といった課題に対応する工具を展示します。 / 【ロボット】自働工具交換技術、バリ取りなど</x:v>
      </x:c>
      <x:c r="H190" s="7" t="str">
        <x:v>多品種で繰り返す機械的交換と再教示の負担。 ／ 形状や絡まりが変わる物理作業に固定手順で対応しにくい。</x:v>
      </x:c>
      <x:c r="I190" s="7" t="str">
        <x:v>2024原典抜粋：昨年10月にHPをリニューアルした事に伴い、改めて当社製品の周知及び当社の モノづくりにフォーカスした展示をいたします。展示ではロボットを使った 動きものや触って体験できる展示などお客様により分かりやすい展示品をご用意しております。 切口は『新製品』、『ギヤツーリング製品』、『特殊工程製品』、『モノづくり技術力』、 『3Dプリント製品』、『サービス』にて展示をしております。 《注目製品》 ● 工具の再研自動化に最適な『ユニバーサルチャック』 ● 穴の外観検査の自動化が可能な『アナライザー』 《その他主な展示物》 ●</x:v>
      </x:c>
      <x:c r="J190" s="7" t="str">
        <x:v>2026原典抜粋：マシニングセンターなどの既存設備の自働化を促進する工具をはじめ、自動化の阻害要因となる切りくず、バリ、加工不良といった課題に対応する工具を展示します。 / 【ロボット】自働工具交換技術、バリ取りなど</x:v>
      </x:c>
      <x:c r="K190" s="7" t="str">
        <x:v>原典記述の対照。個別機能の追加・性能差・初登場年は未判定。</x:v>
      </x:c>
      <x:c r="L190" s="7" t="str">
        <x:v>両年説明あり・機能差未判定</x:v>
      </x:c>
      <x:c r="M190" s="7" t="str">
        <x:v>出展説明の一次分類</x:v>
      </x:c>
      <x:c r="N190" s="7" t="str"/>
      <x:c r="O190" s="7" t="str">
        <x:v>承認・例外対応・停止・復帰の境界は未確認</x:v>
      </x:c>
      <x:c r="P190" s="7" t="str">
        <x:v>2026公式カタログ掲載・現地未確認
2026展示予定。既存製品・参考出展・構想等は原典で個別確認</x:v>
      </x:c>
      <x:c r="Q190" s="7" t="str">
        <x:v>AC201</x:v>
      </x:c>
      <x:c t="str" r="R190" s="21">
        <x:f>HYPERLINK("https://www.jimtof.org/search/jp/ESdetails?e=4V4-l4rKNxY","JIMTOF2026 出展ページ")</x:f>
        <x:v>JIMTOF2026 出展ページ</x:v>
      </x:c>
      <x:c t="str" r="S190" s="21">
        <x:f>HYPERLINK("https://www.jimtof.org/2024/search/jp/ESdetails?e=85EwhsF0gYo","JIMTOF2024 出展ページ")</x:f>
        <x:v>JIMTOF2024 出展ページ</x:v>
      </x:c>
      <x:c r="T190" s="7" t="str">
        <x:v>EEX-EXH-2026-60ce989c04f949c1: https://www.jimtof.org/search/jp/ESdetails?e=4V4-l4rKNxY
該当箇所: 出展紹介・主な出展物。追加カードの原典抜粋で検索
EEX-EXH-2024-3433972cc02b009b: https://www.jimtof.org/2024/search/jp/ESdetails?e=85EwhsF0gYo
該当箇所: 出展紹介・主な出展物。追加カードの原典抜粋で検索</x:v>
      </x:c>
    </x:row>
    <x:row r="191" ht="155" customHeight="1">
      <x:c r="A191" s="7" t="str">
        <x:v>段取り・物理作業</x:v>
      </x:c>
      <x:c r="B191" s="7" t="str">
        <x:v>認識を伴うピック・付帯加工・除去</x:v>
      </x:c>
      <x:c r="C191" s="20" t="str">
        <x:v>マツザワマシナリー株式会社</x:v>
      </x:c>
      <x:c r="D191" s="7" t="str">
        <x:v>（段差）円筒研削盤は、先進的な研削技術と研削盤製造の理念を融合して研究開発・製造され</x:v>
      </x:c>
      <x:c r="E191" s="7" t="str">
        <x:v>S1065</x:v>
      </x:c>
      <x:c r="F191" s="7" t="str">
        <x:v>認識を伴うピック・付帯加工・除去 ／ 自動加工セル・工程集約</x:v>
      </x:c>
      <x:c r="G191" s="7" t="str">
        <x:v>原典抜粋：たもので、円棒や異形ワークの横方向・半径方向研削に適用され、0.8-16/25mmの超硬合金棒材のショルダ径、 外径成形研削、複雑形状の工具、大長径比のダブルパンチ及び金型ワークの高速・高精度・全自動研削に用いられます。 / 全自動ツールポリッシュマシン / 切削工具の刃先R付けとポリッシングを自動化 / たもので、円棒や異形ワークの横方向・半径方向研削に適用され、0.8-16/25mmの超硬合金棒材のショルダ径、 外径成形研削、複雑形</x:v>
      </x:c>
      <x:c r="H191" s="7" t="str">
        <x:v>形状や絡まりが変わる物理作業に固定手順で対応しにくい。 ／ 設備間の持替えや繰返し作業が、人手・待ち時間・品質差につながる。</x:v>
      </x:c>
      <x:c r="I191" s="7" t="str">
        <x:v>2024原典抜粋：今までご好評いただいていた、各種工具研削盤メーカー松澤が新たに生まれ変わりマツザワマシナリーと して今回JIMTOFに出展させていただきました。同時に新しいマツザワマシナリーとして外周段付き円筒研削盤を販売させていただきます。従来の松澤の良い伝統を引き継ぎ、新しい未来に前進する意味でこの外周研削盤にMZを引き継ぎました。ぜひ、弊社のブースにお立ち寄りいただき我々の新しい決意を感じてください。 ８軸制御研削盤MZ-205 ブラストマシーン 測定器</x:v>
      </x:c>
      <x:c r="J191" s="7" t="str">
        <x:v>2026原典抜粋：たもので、円棒や異形ワークの横方向・半径方向研削に適用され、0.8-16/25mmの超硬合金棒材のショルダ径、 外径成形研削、複雑形状の工具、大長径比のダブルパンチ及び金型ワークの高速・高精度・全自動研削に用いられます。 / 全自動ツールポリッシュマシン / 切削工具の刃先R付けとポリッシングを自動化 / たもので、円棒や異形ワークの横方向・半径方向研削に適用され、0.8-16/25mmの超硬合金棒材のショルダ径、 外径成形研削、複雑形</x:v>
      </x:c>
      <x:c r="K191" s="7" t="str">
        <x:v>原典記述の対照。個別機能の追加・性能差・初登場年は未判定。</x:v>
      </x:c>
      <x:c r="L191" s="7" t="str">
        <x:v>両年説明あり・機能差未判定</x:v>
      </x:c>
      <x:c r="M191" s="7" t="str">
        <x:v>出展説明の一次分類</x:v>
      </x:c>
      <x:c r="N191" s="7" t="str"/>
      <x:c r="O191" s="7" t="str">
        <x:v>承認・例外対応・停止・復帰の境界は未確認</x:v>
      </x:c>
      <x:c r="P191" s="7" t="str">
        <x:v>2026公式カタログ掲載・現地未確認
2026展示予定。既存製品・参考出展・構想等は原典で個別確認</x:v>
      </x:c>
      <x:c r="Q191" s="7" t="str">
        <x:v>AC212</x:v>
      </x:c>
      <x:c t="str" r="R191" s="21">
        <x:f>HYPERLINK("https://www.jimtof.org/search/jp/ESdetails?e=z-dR3pMeEyA","JIMTOF2026 出展ページ")</x:f>
        <x:v>JIMTOF2026 出展ページ</x:v>
      </x:c>
      <x:c t="str" r="S191" s="21">
        <x:f>HYPERLINK("https://www.jimtof.org/2024/search/jp/ESdetails?e=zWtwHxsaw3Q","JIMTOF2024 出展ページ")</x:f>
        <x:v>JIMTOF2024 出展ページ</x:v>
      </x:c>
      <x:c r="T191" s="7" t="str">
        <x:v>EEX-EXH-2026-5b194844c6be3f53: https://www.jimtof.org/search/jp/ESdetails?e=z-dR3pMeEyA
該当箇所: 出展紹介・主な出展物。追加カードの原典抜粋で検索
EEX-EXH-2024-29beff07dabb63f0: https://www.jimtof.org/2024/search/jp/ESdetails?e=zWtwHxsaw3Q
該当箇所: 出展紹介・主な出展物。追加カードの原典抜粋で検索</x:v>
      </x:c>
    </x:row>
    <x:row r="192" ht="155" customHeight="1">
      <x:c r="A192" s="7" t="str">
        <x:v>段取り・物理作業</x:v>
      </x:c>
      <x:c r="B192" s="7" t="str">
        <x:v>認識を伴うピック・付帯加工・除去</x:v>
      </x:c>
      <x:c r="C192" s="20" t="str">
        <x:v>マツモト機械株式会社</x:v>
      </x:c>
      <x:c r="D192" s="7" t="str">
        <x:v>パイプえぐり加工機「Rカット」</x:v>
      </x:c>
      <x:c r="E192" s="7" t="str">
        <x:v>S1064</x:v>
      </x:c>
      <x:c r="F192" s="7" t="str">
        <x:v>認識を伴うピック・付帯加工・除去 ／ 自動加工セル・工程集約</x:v>
      </x:c>
      <x:c r="G192" s="7" t="str">
        <x:v>原典抜粋：弊社は、ロボットシステムやレーザ溶接システム、溶接装置とその周辺機器および自動機械の設計、製作を行っております。 / 本展示会では、パイプりぐり加工機、ベンディングロール、簡易自動溶接装置、固定管自動溶接装置の出展を予定しております。 / ・簡易自動溶接装置「トータルマック」 / ・デジタル制御・配管自動溶接装置</x:v>
      </x:c>
      <x:c r="H192" s="7" t="str">
        <x:v>形状や絡まりが変わる物理作業に固定手順で対応しにくい。 ／ 設備間の持替えや繰返し作業が、人手・待ち時間・品質差につながる。</x:v>
      </x:c>
      <x:c r="I192" s="7" t="str">
        <x:v>同一正規化名称の2024詳細なし。新規出展・技術不存在とは判断しない。</x:v>
      </x:c>
      <x:c r="J192" s="7" t="str">
        <x:v>2026原典抜粋：弊社は、ロボットシステムやレーザ溶接システム、溶接装置とその周辺機器および自動機械の設計、製作を行っております。 / 本展示会では、パイプりぐり加工機、ベンディングロール、簡易自動溶接装置、固定管自動溶接装置の出展を予定しております。 / ・簡易自動溶接装置「トータルマック」 / ・デジタル制御・配管自動溶接装置</x:v>
      </x:c>
      <x:c r="K192" s="7" t="str">
        <x:v>原典記述の対照。個別機能の追加・性能差・初登場年は未判定。</x:v>
      </x:c>
      <x:c r="L192" s="7" t="str">
        <x:v>年度資料不足・比較不能</x:v>
      </x:c>
      <x:c r="M192" s="7" t="str">
        <x:v>出展説明の一次分類</x:v>
      </x:c>
      <x:c r="N192" s="7" t="str"/>
      <x:c r="O192" s="7" t="str">
        <x:v>承認・例外対応・停止・復帰の境界は未確認</x:v>
      </x:c>
      <x:c r="P192" s="7" t="str">
        <x:v>2026公式カタログ掲載・現地未確認
2026展示予定。既存製品・参考出展・構想等は原典で個別確認</x:v>
      </x:c>
      <x:c r="Q192" s="7" t="str">
        <x:v>AC213</x:v>
      </x:c>
      <x:c t="str" r="R192" s="21">
        <x:f>HYPERLINK("https://www.jimtof.org/search/jp/ESdetails?e=yVcAwif6HR0","JIMTOF2026 出展ページ")</x:f>
        <x:v>JIMTOF2026 出展ページ</x:v>
      </x:c>
      <x:c r="S192" s="21" t="str"/>
      <x:c r="T192" s="7" t="str">
        <x:v>EEX-EXH-2026-bacd8437326ccedb: https://www.jimtof.org/search/jp/ESdetails?e=yVcAwif6HR0
該当箇所: 出展紹介・主な出展物。追加カードの原典抜粋で検索</x:v>
      </x:c>
    </x:row>
    <x:row r="193" ht="155" customHeight="1">
      <x:c r="A193" s="7" t="str">
        <x:v>段取り・物理作業</x:v>
      </x:c>
      <x:c r="B193" s="7" t="str">
        <x:v>認識を伴うピック・付帯加工・除去</x:v>
      </x:c>
      <x:c r="C193" s="20" t="str">
        <x:v>株式会社ムラキ</x:v>
      </x:c>
      <x:c r="D193" s="7" t="str">
        <x:v>MRA超硬バー、MRAバリ取りホルダ、GEMエアグラインダ、MRAエアグラインダ、MRA ERコレットシステム、ガンドリル、バリ取りブラシ、AWCワー</x:v>
      </x:c>
      <x:c r="E193" s="7" t="str">
        <x:v>W1061</x:v>
      </x:c>
      <x:c r="F193" s="7" t="str">
        <x:v>認識を伴うピック・付帯加工・除去</x:v>
      </x:c>
      <x:c r="G193" s="7" t="str">
        <x:v>原典抜粋：また、SYIC社の“AWCワーククランプシステム”及びCAPTOタイプ“スタティックツールホルダ”の展示を行い、各種作業の自動化・省人化をサポートいたします。 / 併せて会期中はロボットアームを用いたバリ取り加工の実演を実施いたします。 / ロボットアームへMRAバリ取りホルダ“でばりん”を搭載した、高効率なバリ取りをご覧ください。</x:v>
      </x:c>
      <x:c r="H193" s="7" t="str">
        <x:v>形状や絡まりが変わる物理作業に固定手順で対応しにくい。</x:v>
      </x:c>
      <x:c r="I193" s="7" t="str">
        <x:v>2024原典抜粋：自社ブランドである“MRA”グラインダに新たなモデルがラインナップしました。 エコタイプの拡充やピンツール採用の新たな3mmグラインダを追加し、各種ニーズに合わせた選択が可能となります。 また、SYIC社の“AWCワーククランプシステム”の販売を新たに開始しました。 AWCジグツールホルダ及びAWCクランプベースにて構成され、ロボット等を用い マシニングセンタで自動ワーク交換を実現する画期的なワーククランプシステムとなります。 併せて会期中はロボットアームを用いたバリ取り加工の実演を行います。 ロボットアームへMR</x:v>
      </x:c>
      <x:c r="J193" s="7" t="str">
        <x:v>2026原典抜粋：また、SYIC社の“AWCワーククランプシステム”及びCAPTOタイプ“スタティックツールホルダ”の展示を行い、各種作業の自動化・省人化をサポートいたします。 / 併せて会期中はロボットアームを用いたバリ取り加工の実演を実施いたします。 / ロボットアームへMRAバリ取りホルダ“でばりん”を搭載した、高効率なバリ取りをご覧ください。</x:v>
      </x:c>
      <x:c r="K193" s="7" t="str">
        <x:v>原典記述の対照。個別機能の追加・性能差・初登場年は未判定。</x:v>
      </x:c>
      <x:c r="L193" s="7" t="str">
        <x:v>両年説明あり・機能差未判定</x:v>
      </x:c>
      <x:c r="M193" s="7" t="str">
        <x:v>出展説明の一次分類</x:v>
      </x:c>
      <x:c r="N193" s="7" t="str"/>
      <x:c r="O193" s="7" t="str">
        <x:v>承認・例外対応・停止・復帰の境界は未確認</x:v>
      </x:c>
      <x:c r="P193" s="7" t="str">
        <x:v>2026公式カタログ掲載・現地未確認
2026展示予定。既存製品・参考出展・構想等は原典で個別確認</x:v>
      </x:c>
      <x:c r="Q193" s="7" t="str">
        <x:v>AC223</x:v>
      </x:c>
      <x:c t="str" r="R193" s="21">
        <x:f>HYPERLINK("https://www.jimtof.org/search/jp/ESdetails?e=qIDqZhLSNgg","JIMTOF2026 出展ページ")</x:f>
        <x:v>JIMTOF2026 出展ページ</x:v>
      </x:c>
      <x:c t="str" r="S193" s="21">
        <x:f>HYPERLINK("https://www.jimtof.org/2024/search/jp/ESdetails?e=kch9Awhyci8","JIMTOF2024 出展ページ")</x:f>
        <x:v>JIMTOF2024 出展ページ</x:v>
      </x:c>
      <x:c r="T193" s="7" t="str">
        <x:v>EEX-EXH-2026-2f9afa9947d91429: https://www.jimtof.org/search/jp/ESdetails?e=qIDqZhLSNgg
該当箇所: 出展紹介・主な出展物。追加カードの原典抜粋で検索
EEX-EXH-2024-d1228f049f28882d: https://www.jimtof.org/2024/search/jp/ESdetails?e=kch9Awhyci8
該当箇所: 出展紹介・主な出展物。追加カードの原典抜粋で検索</x:v>
      </x:c>
    </x:row>
    <x:row r="194" ht="155" customHeight="1">
      <x:c r="A194" s="7" t="str">
        <x:v>段取り・物理作業</x:v>
      </x:c>
      <x:c r="B194" s="7" t="str">
        <x:v>認識を伴うピック・付帯加工・除去</x:v>
      </x:c>
      <x:c r="C194" s="20" t="str">
        <x:v>モバック株式会社</x:v>
      </x:c>
      <x:c r="D194" s="7" t="str">
        <x:v>独自開発ロボットを使用した狙い撃ち CNC 高圧洗浄機で自動車部品・油圧部品の生産現場に省スペース化と高効率化を提案します。 / ①独自開発 Scar</x:v>
      </x:c>
      <x:c r="E194" s="7" t="str">
        <x:v>S2004</x:v>
      </x:c>
      <x:c r="F194" s="7" t="str">
        <x:v>認識を伴うピック・付帯加工・除去</x:v>
      </x:c>
      <x:c r="G194" s="7" t="str">
        <x:v>原典抜粋：独自開発ロボットを使用した狙い撃ち CNC 高圧洗浄機で自動車部品・油圧部品の生産現場に省スペース化と高効率化を提案します。 / ①独自開発 Scara 型ロボットの使用により従来機種と比較して設置面積 1/3、早送り速度 2 倍を実現します。</x:v>
      </x:c>
      <x:c r="H194" s="7" t="str">
        <x:v>形状や絡まりが変わる物理作業に固定手順で対応しにくい。</x:v>
      </x:c>
      <x:c r="I194" s="7" t="str">
        <x:v>同一正規化名称の2024詳細なし。新規出展・技術不存在とは判断しない。</x:v>
      </x:c>
      <x:c r="J194" s="7" t="str">
        <x:v>2026原典抜粋：独自開発ロボットを使用した狙い撃ち CNC 高圧洗浄機で自動車部品・油圧部品の生産現場に省スペース化と高効率化を提案します。 / ①独自開発 Scara 型ロボットの使用により従来機種と比較して設置面積 1/3、早送り速度 2 倍を実現します。</x:v>
      </x:c>
      <x:c r="K194" s="7" t="str">
        <x:v>原典記述の対照。個別機能の追加・性能差・初登場年は未判定。</x:v>
      </x:c>
      <x:c r="L194" s="7" t="str">
        <x:v>年度資料不足・比較不能</x:v>
      </x:c>
      <x:c r="M194" s="7" t="str">
        <x:v>出展説明の一次分類</x:v>
      </x:c>
      <x:c r="N194" s="7" t="str"/>
      <x:c r="O194" s="7" t="str">
        <x:v>承認・例外対応・停止・復帰の境界は未確認</x:v>
      </x:c>
      <x:c r="P194" s="7" t="str">
        <x:v>2026公式カタログ掲載・現地未確認
2026展示予定。既存製品・参考出展・構想等は原典で個別確認</x:v>
      </x:c>
      <x:c r="Q194" s="7" t="str">
        <x:v>AC229</x:v>
      </x:c>
      <x:c t="str" r="R194" s="21">
        <x:f>HYPERLINK("https://www.jimtof.org/search/jp/ESdetails?e=o9Igifyx28Y","JIMTOF2026 出展ページ")</x:f>
        <x:v>JIMTOF2026 出展ページ</x:v>
      </x:c>
      <x:c r="S194" s="21" t="str"/>
      <x:c r="T194" s="7" t="str">
        <x:v>EEX-EXH-2026-fa86a6a592392b7e: https://www.jimtof.org/search/jp/ESdetails?e=o9Igifyx28Y
該当箇所: 出展紹介・主な出展物。追加カードの原典抜粋で検索</x:v>
      </x:c>
    </x:row>
    <x:row r="195" ht="155" customHeight="1">
      <x:c r="A195" s="7" t="str">
        <x:v>段取り・物理作業</x:v>
      </x:c>
      <x:c r="B195" s="7" t="str">
        <x:v>認識を伴うピック・付帯加工・除去</x:v>
      </x:c>
      <x:c r="C195" s="20" t="str">
        <x:v>柳瀬株式会社</x:v>
      </x:c>
      <x:c r="D195" s="7" t="str">
        <x:v>FeRrobotics・自動バリ取り機用ホイール(ストレートクラゲ・スリットクラゲ)・楽斬・ベベルグレート・コードレスフラップサンダー・バリキレブラシ</x:v>
      </x:c>
      <x:c r="E195" s="7" t="str">
        <x:v>W4041</x:v>
      </x:c>
      <x:c r="F195" s="7" t="str">
        <x:v>認識を伴うピック・付帯加工・除去</x:v>
      </x:c>
      <x:c r="G195" s="7" t="str">
        <x:v>原典抜粋：柳瀬の研磨ロボットは、オーストリア・ＦＥＲＲＯＢＯＴＩＣＳ社製のエンドエフェクタを日本代理店として取り扱いし、自動化提案している。 / 一定の押し付け圧を保持して研磨作業を自動化でき、ワークの段差や砥石摩耗に対しても約４ミリ秒で高速追従する。 / エンドエフェクタが軽量なため、可搬重量の小さい協働ロボットへの搭載が可能。 / FeRrobotics・自動バリ取り機用ホイール(ストレートクラゲ・スリットクラゲ)・楽斬・ベベルグレート・コー</x:v>
      </x:c>
      <x:c r="H195" s="7" t="str">
        <x:v>形状や絡まりが変わる物理作業に固定手順で対応しにくい。</x:v>
      </x:c>
      <x:c r="I195" s="7" t="str">
        <x:v>2024原典抜粋：弊社柳瀬は、機械工具商、ＨＣ(ホームセンター)通販などを通して研磨製品を日本国内及び海外の工場や工事現場にお届けしております。その他にはダイヤモンド電着やチップソー(オーダーメイドを含む)などの販売もしております。そして近年ロボット自動化が進んでる中オーストリアのＦＥＲＲＯＢＴＩＣＳ(ファーロボティクス)社の日本の正式代理店になり今回の出展製品である研磨エンドエフェクターを拡販しております。柳瀬ＳＮＳではLINE、YouTube、Instagramなどお客様のお役に立つコンテンツを各種にご用意しておりLINEで”ケ</x:v>
      </x:c>
      <x:c r="J195" s="7" t="str">
        <x:v>2026原典抜粋：柳瀬の研磨ロボットは、オーストリア・ＦＥＲＲＯＢＯＴＩＣＳ社製のエンドエフェクタを日本代理店として取り扱いし、自動化提案している。 / 一定の押し付け圧を保持して研磨作業を自動化でき、ワークの段差や砥石摩耗に対しても約４ミリ秒で高速追従する。 / エンドエフェクタが軽量なため、可搬重量の小さい協働ロボットへの搭載が可能。 / FeRrobotics・自動バリ取り機用ホイール(ストレートクラゲ・スリットクラゲ)・楽斬・ベベルグレート・コー</x:v>
      </x:c>
      <x:c r="K195" s="7" t="str">
        <x:v>原典記述の対照。個別機能の追加・性能差・初登場年は未判定。</x:v>
      </x:c>
      <x:c r="L195" s="7" t="str">
        <x:v>両年説明あり・機能差未判定</x:v>
      </x:c>
      <x:c r="M195" s="7" t="str">
        <x:v>出展説明の一次分類</x:v>
      </x:c>
      <x:c r="N195" s="7" t="str"/>
      <x:c r="O195" s="7" t="str">
        <x:v>承認・例外対応・停止・復帰の境界は未確認</x:v>
      </x:c>
      <x:c r="P195" s="7" t="str">
        <x:v>2026公式カタログ掲載・現地未確認
2026展示予定。既存製品・参考出展・構想等は原典で個別確認</x:v>
      </x:c>
      <x:c r="Q195" s="7" t="str">
        <x:v>AC230</x:v>
      </x:c>
      <x:c t="str" r="R195" s="21">
        <x:f>HYPERLINK("https://www.jimtof.org/search/jp/ESdetails?e=VB1iAf4ngXo","JIMTOF2026 出展ページ")</x:f>
        <x:v>JIMTOF2026 出展ページ</x:v>
      </x:c>
      <x:c t="str" r="S195" s="21">
        <x:f>HYPERLINK("https://www.jimtof.org/2024/search/jp/ESdetails?e=u5TMHxWUeCQ","JIMTOF2024 出展ページ")</x:f>
        <x:v>JIMTOF2024 出展ページ</x:v>
      </x:c>
      <x:c r="T195" s="7" t="str">
        <x:v>EEX-EXH-2026-2c9090a62c406e00: https://www.jimtof.org/search/jp/ESdetails?e=VB1iAf4ngXo
該当箇所: 出展紹介・主な出展物。追加カードの原典抜粋で検索
EEX-EXH-2024-45242386ffbf5c68: https://www.jimtof.org/2024/search/jp/ESdetails?e=u5TMHxWUeCQ
該当箇所: 出展紹介・主な出展物。追加カードの原典抜粋で検索</x:v>
      </x:c>
    </x:row>
    <x:row r="196" ht="155" customHeight="1">
      <x:c r="A196" s="7" t="str">
        <x:v>段取り・物理作業</x:v>
      </x:c>
      <x:c r="B196" s="7" t="str">
        <x:v>認識を伴うピック・付帯加工・除去</x:v>
      </x:c>
      <x:c r="C196" s="20" t="str">
        <x:v>吉川鐵工株式会社</x:v>
      </x:c>
      <x:c r="D196" s="7" t="str">
        <x:v>①FRE-01搭載 XY卓上自動機</x:v>
      </x:c>
      <x:c r="E196" s="7" t="str">
        <x:v>E7055</x:v>
      </x:c>
      <x:c r="F196" s="7" t="str">
        <x:v>認識を伴うピック・付帯加工・除去 ／ 自動加工セル・工程集約</x:v>
      </x:c>
      <x:c r="G196" s="7" t="str">
        <x:v>原典抜粋：【省人化・自動化】 / 供給・搬送・カシメ・取出しまで、工程の自動化 / ①FRE-01搭載 XY卓上自動機 / ②FRE-05+リベット自動供給装置+協働ロボット / 電動サーボタイプのリベッティング・マシンに、リベット自動供給装置及び協働ロボットアームを取付けた装置。 / 部品およびリベットの供給→組立→カシメ→搬出といった工程の自動化イメージをご紹介。</x:v>
      </x:c>
      <x:c r="H196" s="7" t="str">
        <x:v>形状や絡まりが変わる物理作業に固定手順で対応しにくい。 ／ 設備間の持替えや繰返し作業が、人手・待ち時間・品質差につながる。</x:v>
      </x:c>
      <x:c r="I196" s="7" t="str">
        <x:v>2024原典抜粋：リベッティング・マシンにしか加工できない様々なカシメを紹介。 ・【生産性向上】リベット自動供給装置 ・【1工程で綺麗な仕上がり】絞り加工カシメ ・【カシメのカスタマイズ】様々なインサートによるリベット形状の違い ・【脱属人化】ユーザーフレンドリーな新型コントローラー ・【労働環境良化・疲労軽減】新型スイッチ ①FRE-05＋リベット自動供給＋協働ロボット 電動サーボタイプのリベッティング・マシンに、リベット自動供給装置及び協働ロボットアームを取付けた装置。部品及びリベットの供給→組立→カシメ→搬出といった工程の自動</x:v>
      </x:c>
      <x:c r="J196" s="7" t="str">
        <x:v>2026原典抜粋：【省人化・自動化】 / 供給・搬送・カシメ・取出しまで、工程の自動化 / ①FRE-01搭載 XY卓上自動機 / ②FRE-05+リベット自動供給装置+協働ロボット / 電動サーボタイプのリベッティング・マシンに、リベット自動供給装置及び協働ロボットアームを取付けた装置。 / 部品およびリベットの供給→組立→カシメ→搬出といった工程の自動化イメージをご紹介。</x:v>
      </x:c>
      <x:c r="K196" s="7" t="str">
        <x:v>原典記述の対照。個別機能の追加・性能差・初登場年は未判定。</x:v>
      </x:c>
      <x:c r="L196" s="7" t="str">
        <x:v>両年説明あり・機能差未判定</x:v>
      </x:c>
      <x:c r="M196" s="7" t="str">
        <x:v>出展説明の一次分類</x:v>
      </x:c>
      <x:c r="N196" s="7" t="str"/>
      <x:c r="O196" s="7" t="str">
        <x:v>承認・例外対応・停止・復帰の境界は未確認</x:v>
      </x:c>
      <x:c r="P196" s="7" t="str">
        <x:v>2026公式カタログ掲載・現地未確認
2026展示予定。既存製品・参考出展・構想等は原典で個別確認</x:v>
      </x:c>
      <x:c r="Q196" s="7" t="str">
        <x:v>AC238</x:v>
      </x:c>
      <x:c t="str" r="R196" s="21">
        <x:f>HYPERLINK("https://www.jimtof.org/search/jp/ESdetails?e=HjByZxxPSok","JIMTOF2026 出展ページ")</x:f>
        <x:v>JIMTOF2026 出展ページ</x:v>
      </x:c>
      <x:c t="str" r="S196" s="21">
        <x:f>HYPERLINK("https://www.jimtof.org/2024/search/jp/ESdetails?e=SnqZSY1MFMk","JIMTOF2024 出展ページ")</x:f>
        <x:v>JIMTOF2024 出展ページ</x:v>
      </x:c>
      <x:c r="T196" s="7" t="str">
        <x:v>EEX-EXH-2026-43847f0d8d9f485f: https://www.jimtof.org/search/jp/ESdetails?e=HjByZxxPSok
該当箇所: 出展紹介・主な出展物。追加カードの原典抜粋で検索
EEX-EXH-2024-d565dd3e7eb0517e: https://www.jimtof.org/2024/search/jp/ESdetails?e=SnqZSY1MFMk
該当箇所: 出展紹介・主な出展物。追加カードの原典抜粋で検索</x:v>
      </x:c>
    </x:row>
    <x:row r="197" ht="155" customHeight="1">
      <x:c r="A197" s="7" t="str">
        <x:v>段取り・物理作業</x:v>
      </x:c>
      <x:c r="B197" s="7" t="str">
        <x:v>認識を伴うピック・付帯加工・除去</x:v>
      </x:c>
      <x:c r="C197" s="20" t="str">
        <x:v>菱高精機株式会社</x:v>
      </x:c>
      <x:c r="D197" s="7" t="str">
        <x:v>CNC自動ドリルホーニング加工専用機 「ORION+」</x:v>
      </x:c>
      <x:c r="E197" s="7" t="str">
        <x:v>W1014</x:v>
      </x:c>
      <x:c r="F197" s="7" t="str">
        <x:v>認識を伴うピック・付帯加工・除去</x:v>
      </x:c>
      <x:c r="G197" s="7" t="str">
        <x:v>原典抜粋：清掃用工具(切屑を人の手から自動化へ清掃する工具) / CNC自動ドリルホーニング加工専用機 「ORION+」 / 自動清掃用工具「Titan」</x:v>
      </x:c>
      <x:c r="H197" s="7" t="str">
        <x:v>形状や絡まりが変わる物理作業に固定手順で対応しにくい。</x:v>
      </x:c>
      <x:c r="I197" s="7" t="str">
        <x:v>2024原典抜粋：穴加工なら菱高精機にお任せください。 今回の展示では、新製品コーナーだけでなく時代の変化に適応した新たな工具など、多彩な製品をご紹介します。 また、参考出品のアイテムも豊富に取り揃えております。ぜひ、W1022ブースにお立ち寄りください。 ・ドリル「深穴加工用」「高硬度用」「ロウ付け」 ・サ―メットリーマ「ヘッド交換式」「ソリッド」「ロウ付け」 ・T-KOCHIシリーズ「低価格工具シリーズ」 ・裏ザグリ工具バックファイヤー ・自動清掃用工具Titan ・その他参考出品「多数」 ・CNC自動5軸工具研削盤イプシロン </x:v>
      </x:c>
      <x:c r="J197" s="7" t="str">
        <x:v>2026原典抜粋：清掃用工具(切屑を人の手から自動化へ清掃する工具) / CNC自動ドリルホーニング加工専用機 「ORION+」 / 自動清掃用工具「Titan」</x:v>
      </x:c>
      <x:c r="K197" s="7" t="str">
        <x:v>原典記述の対照。個別機能の追加・性能差・初登場年は未判定。</x:v>
      </x:c>
      <x:c r="L197" s="7" t="str">
        <x:v>両年説明あり・機能差未判定</x:v>
      </x:c>
      <x:c r="M197" s="7" t="str">
        <x:v>出展説明の一次分類</x:v>
      </x:c>
      <x:c r="N197" s="7" t="str"/>
      <x:c r="O197" s="7" t="str">
        <x:v>承認・例外対応・停止・復帰の境界は未確認</x:v>
      </x:c>
      <x:c r="P197" s="7" t="str">
        <x:v>2026公式カタログ掲載・現地未確認
2026展示予定。既存製品・参考出展・構想等は原典で個別確認</x:v>
      </x:c>
      <x:c r="Q197" s="7" t="str">
        <x:v>AC242</x:v>
      </x:c>
      <x:c t="str" r="R197" s="21">
        <x:f>HYPERLINK("https://www.jimtof.org/search/jp/ESdetails?e=NwMMephg4LA","JIMTOF2026 出展ページ")</x:f>
        <x:v>JIMTOF2026 出展ページ</x:v>
      </x:c>
      <x:c t="str" r="S197" s="21">
        <x:f>HYPERLINK("https://www.jimtof.org/2024/search/jp/ESdetails?e=TKbYZS8t9TM","JIMTOF2024 出展ページ")</x:f>
        <x:v>JIMTOF2024 出展ページ</x:v>
      </x:c>
      <x:c r="T197" s="7" t="str">
        <x:v>EEX-EXH-2026-1f5c719008ea72e9: https://www.jimtof.org/search/jp/ESdetails?e=NwMMephg4LA
該当箇所: 出展紹介・主な出展物。追加カードの原典抜粋で検索
EEX-EXH-2024-1d35799d3bdb2b7a: https://www.jimtof.org/2024/search/jp/ESdetails?e=TKbYZS8t9TM
該当箇所: 出展紹介・主な出展物。追加カードの原典抜粋で検索</x:v>
      </x:c>
    </x:row>
    <x:row r="198" ht="155" customHeight="1">
      <x:c r="A198" s="7" t="str">
        <x:v>段取り・物理作業</x:v>
      </x:c>
      <x:c r="B198" s="7" t="str">
        <x:v>認識を伴うピック・付帯加工・除去</x:v>
      </x:c>
      <x:c r="C198" s="20" t="str">
        <x:v>Gifu Enterprise Co., Ltd</x:v>
      </x:c>
      <x:c r="D198" s="7" t="str">
        <x:v>低炭素・スマート・多機能 カルーセル式チェーンマガジン</x:v>
      </x:c>
      <x:c r="E198" s="7" t="str">
        <x:v>W3040</x:v>
      </x:c>
      <x:c r="F198" s="7" t="str">
        <x:v>認識を伴うピック・付帯加工・除去</x:v>
      </x:c>
      <x:c r="G198" s="7" t="str">
        <x:v>原典抜粋：部品標準化により調達コストを6%削減し、自動旋転式エアブロー・ブラシ洗浄装置による完全自動化と高精度な位置決めを実現。 / 3. M625648号 – ツールシャンク自動回転式エアブロー・ブラシ洗浄装置 / 1. 自動回転式エアブロー・ブラシ洗浄装置により、手動作業が不要となり、自動化された清掃で時間短縮と省エネを実現。</x:v>
      </x:c>
      <x:c r="H198" s="7" t="str">
        <x:v>形状や絡まりが変わる物理作業に固定手順で対応しにくい。</x:v>
      </x:c>
      <x:c r="I198" s="7" t="str">
        <x:v>2024原典抜粋：「GIFU ENTERPRISE CO.,LTD」は自動工具交換装置(ATC)を設計、開発、製作するの専門メーカーです。 今回出展した製品は新開発されていた「智能化低炭素揺れる機構付きの全サーボ駆動自動工具交換装置」。 この装置は独創的な全サーボモーター駆動で、低炭素、低エネルギーと高効率を達成する。 全サーボ駆動な工具交換機構、機構はコンパクトで、工具交換はより速くて便利です。 新型な工具自動回転式吹き出しエアーブラッシュ機構は、精密な主軸を保護できる。 「智能化低炭素揺れる機構付きの全サーボ駆動自動工具交換装置</x:v>
      </x:c>
      <x:c r="J198" s="7" t="str">
        <x:v>2026原典抜粋：部品標準化により調達コストを6%削減し、自動旋転式エアブロー・ブラシ洗浄装置による完全自動化と高精度な位置決めを実現。 / 3. M625648号 – ツールシャンク自動回転式エアブロー・ブラシ洗浄装置 / 1. 自動回転式エアブロー・ブラシ洗浄装置により、手動作業が不要となり、自動化された清掃で時間短縮と省エネを実現。</x:v>
      </x:c>
      <x:c r="K198" s="7" t="str">
        <x:v>原典記述の対照。個別機能の追加・性能差・初登場年は未判定。</x:v>
      </x:c>
      <x:c r="L198" s="7" t="str">
        <x:v>両年説明あり・機能差未判定</x:v>
      </x:c>
      <x:c r="M198" s="7" t="str">
        <x:v>出展説明の一次分類</x:v>
      </x:c>
      <x:c r="N198" s="7" t="str"/>
      <x:c r="O198" s="7" t="str">
        <x:v>承認・例外対応・停止・復帰の境界は未確認</x:v>
      </x:c>
      <x:c r="P198" s="7" t="str">
        <x:v>2026公式カタログ掲載・現地未確認
2026展示予定。既存製品・参考出展・構想等は原典で個別確認</x:v>
      </x:c>
      <x:c r="Q198" s="7" t="str">
        <x:v>AC262</x:v>
      </x:c>
      <x:c t="str" r="R198" s="21">
        <x:f>HYPERLINK("https://www.jimtof.org/search/jp/ESdetails?e=KFThic8eDqA","JIMTOF2026 出展ページ")</x:f>
        <x:v>JIMTOF2026 出展ページ</x:v>
      </x:c>
      <x:c t="str" r="S198" s="21">
        <x:f>HYPERLINK("https://www.jimtof.org/2024/search/jp/ESdetails?e=LizGJdC_gRQ","JIMTOF2024 出展ページ")</x:f>
        <x:v>JIMTOF2024 出展ページ</x:v>
      </x:c>
      <x:c r="T198" s="7" t="str">
        <x:v>EEX-EXH-2026-08801fc905a3c0c2: https://www.jimtof.org/search/jp/ESdetails?e=KFThic8eDqA
該当箇所: 出展紹介・主な出展物。追加カードの原典抜粋で検索
EEX-EXH-2024-69b09ebe300791c8: https://www.jimtof.org/2024/search/jp/ESdetails?e=LizGJdC_gRQ
該当箇所: 出展紹介・主な出展物。追加カードの原典抜粋で検索</x:v>
      </x:c>
    </x:row>
    <x:row r="199" ht="155" customHeight="1">
      <x:c r="A199" s="7" t="str">
        <x:v>段取り・物理作業</x:v>
      </x:c>
      <x:c r="B199" s="7" t="str">
        <x:v>認識を伴うピック・付帯加工・除去</x:v>
      </x:c>
      <x:c r="C199" s="20" t="str">
        <x:v>IMM Maschinenbau GmbH</x:v>
      </x:c>
      <x:c r="D199" s="7" t="str">
        <x:v>タービンブレード研削盤（サンプル出展）</x:v>
      </x:c>
      <x:c r="E199" s="7" t="str">
        <x:v>E2026</x:v>
      </x:c>
      <x:c r="F199" s="7" t="str">
        <x:v>認識を伴うピック・付帯加工・除去</x:v>
      </x:c>
      <x:c r="G199" s="7" t="str">
        <x:v>原典抜粋：【アイエムエム タービンブレードベルト研削盤】 / ～タービンブレード磨きの省力化、工程短縮、品質安定を実現～ / 磨き装置の専門メーカーであるアイエムエムのベルト研磨機は、発電機・航空機用ブレードの業界で広く認知され、高い評価を受けています。 / タービンブレード研削盤（サンプル出展）</x:v>
      </x:c>
      <x:c r="H199" s="7" t="str">
        <x:v>形状や絡まりが変わる物理作業に固定手順で対応しにくい。</x:v>
      </x:c>
      <x:c r="I199" s="7" t="str">
        <x:v>2024原典抜粋：【アイエムエム タービンブレード研削盤】 ～タービンブレード翼面仕上げの業界標準機～ 磨き装置の専門メーカーであるアイエムエムのベルト研磨機は発電機・航空機向けブレードの業界で広く認知され高い評価を受けています。 タービンブレード研削盤(サンプル出展)</x:v>
      </x:c>
      <x:c r="J199" s="7" t="str">
        <x:v>2026原典抜粋：【アイエムエム タービンブレードベルト研削盤】 / ～タービンブレード磨きの省力化、工程短縮、品質安定を実現～ / 磨き装置の専門メーカーであるアイエムエムのベルト研磨機は、発電機・航空機用ブレードの業界で広く認知され、高い評価を受けています。 / タービンブレード研削盤（サンプル出展）</x:v>
      </x:c>
      <x:c r="K199" s="7" t="str">
        <x:v>原典記述の対照。個別機能の追加・性能差・初登場年は未判定。</x:v>
      </x:c>
      <x:c r="L199" s="7" t="str">
        <x:v>両年説明あり・機能差未判定</x:v>
      </x:c>
      <x:c r="M199" s="7" t="str">
        <x:v>出展説明の一次分類</x:v>
      </x:c>
      <x:c r="N199" s="7" t="str"/>
      <x:c r="O199" s="7" t="str">
        <x:v>承認・例外対応・停止・復帰の境界は未確認</x:v>
      </x:c>
      <x:c r="P199" s="7" t="str">
        <x:v>2026公式カタログ掲載・現地未確認
2026展示予定。既存製品・参考出展・構想等は原典で個別確認</x:v>
      </x:c>
      <x:c r="Q199" s="7" t="str">
        <x:v>AC264</x:v>
      </x:c>
      <x:c t="str" r="R199" s="21">
        <x:f>HYPERLINK("https://www.jimtof.org/search/jp/ESdetails?e=p1moNnspTGg","JIMTOF2026 出展ページ")</x:f>
        <x:v>JIMTOF2026 出展ページ</x:v>
      </x:c>
      <x:c t="str" r="S199" s="21">
        <x:f>HYPERLINK("https://www.jimtof.org/2024/search/jp/ESdetails?e=TV4m8rG-6WU","JIMTOF2024 出展ページ")</x:f>
        <x:v>JIMTOF2024 出展ページ</x:v>
      </x:c>
      <x:c r="T199" s="7" t="str">
        <x:v>EEX-EXH-2026-763f74d6ac021fe7: https://www.jimtof.org/search/jp/ESdetails?e=p1moNnspTGg
該当箇所: 出展紹介・主な出展物。追加カードの原典抜粋で検索
EEX-EXH-2024-1a4072c88ad669cf: https://www.jimtof.org/2024/search/jp/ESdetails?e=TV4m8rG-6WU
該当箇所: 出展紹介・主な出展物。追加カードの原典抜粋で検索</x:v>
      </x:c>
    </x:row>
    <x:row r="200" ht="155" customHeight="1">
      <x:c r="A200" s="7" t="str">
        <x:v>工場運用</x:v>
      </x:c>
      <x:c r="B200" s="7" t="str">
        <x:v>現場エージェント・遠隔介入</x:v>
      </x:c>
      <x:c r="C200" s="20" t="str">
        <x:v>DMG森精機</x:v>
      </x:c>
      <x:c r="D200" s="7" t="str">
        <x:v>工作機械へのAIエージェント実装（名称・担当不明）</x:v>
      </x:c>
      <x:c r="E200" s="7" t="str">
        <x:v>E8005</x:v>
      </x:c>
      <x:c r="F200" s="7" t="str">
        <x:v>担当タスク未特定</x:v>
      </x:c>
      <x:c r="G200" s="7" t="str">
        <x:v>AIエージェント実装との記述のみ</x:v>
      </x:c>
      <x:c r="H200" s="7" t="str">
        <x:v>具体的な担当タスクと対応する顧客課題は、今回確認した資料では未特定</x:v>
      </x:c>
      <x:c r="I200" s="7" t="str">
        <x:v>MXとデータ収集・可視化・分析を掲載</x:v>
      </x:c>
      <x:c r="J200" s="7" t="str">
        <x:v>AIエージェント実装を明記</x:v>
      </x:c>
      <x:c r="K200" s="7" t="str">
        <x:v>出展説明・公式資料の記載比較。初発明年・実演成功・性能向上を証明するものではない。</x:v>
      </x:c>
      <x:c r="L200" s="7" t="str">
        <x:v>比較記録あり</x:v>
      </x:c>
      <x:c r="M200" s="7" t="str">
        <x:v>個別タスク整理</x:v>
      </x:c>
      <x:c r="N200" s="7" t="str"/>
      <x:c r="O200" s="7" t="str">
        <x:v>助言・操作・承認の境界が不明</x:v>
      </x:c>
      <x:c r="P200" s="7" t="str">
        <x:v>JIMTOF2026公式カタログ掲載・現地未確認
2026展示予定・提供段階未確認</x:v>
      </x:c>
      <x:c r="Q200" s="7" t="str">
        <x:v>FC003</x:v>
      </x:c>
      <x:c t="str" r="R200" s="21">
        <x:f>HYPERLINK("https://www.jimtof.org/search/jp/ESdetails?e=zcqDj1lSkGs","JIMTOF2026 出展ページ")</x:f>
        <x:v>JIMTOF2026 出展ページ</x:v>
      </x:c>
      <x:c t="str" r="S200" s="21">
        <x:f>HYPERLINK("https://www.jimtof.org/2024/search/jp/ESdetails?e=lOXEEpvlXpM","JIMTOF2024 出展ページ")</x:f>
        <x:v>JIMTOF2024 出展ページ</x:v>
      </x:c>
      <x:c r="T200" s="7" t="str">
        <x:v>EOV-V001-2024-1: https://www.jimtof.org/2024/search/jp/ESdetails?e=lOXEEpvlXpM
該当箇所: main &gt; div.col-md-8.mb-5 の出展紹介、見出し「主な出展物」直後
EOV-V001-2026-1: https://www.jimtof.org/search/jp/ESdetails?e=zcqDj1lSkGs
該当箇所: main &gt; div.col-md-8.mb-5 の出展紹介、見出し「主な出展物」直後</x:v>
      </x:c>
    </x:row>
    <x:row r="201" ht="155" customHeight="1">
      <x:c r="A201" s="7" t="str">
        <x:v>工場運用</x:v>
      </x:c>
      <x:c r="B201" s="7" t="str">
        <x:v>現場エージェント・遠隔介入</x:v>
      </x:c>
      <x:c r="C201" s="20" t="str">
        <x:v>ベッコフオートメーション</x:v>
      </x:c>
      <x:c r="D201" s="7" t="str">
        <x:v>TwinCAT CoAgent for Operations</x:v>
      </x:c>
      <x:c r="E201" s="7" t="str">
        <x:v>E2028</x:v>
      </x:c>
      <x:c r="F201" s="7" t="str">
        <x:v>機械のアラーム原因と対処方法を調べる</x:v>
      </x:c>
      <x:c r="G201" s="7" t="str">
        <x:v>Operationsは機械データと文書から原因仮説・対処案を作る。</x:v>
      </x:c>
      <x:c r="H201" s="7" t="str">
        <x:v>異常原因・保全対処の属人化と、記録・診断情報を調べる負担</x:v>
      </x:c>
      <x:c r="I201" s="7" t="str">
        <x:v>2024詳細不足</x:v>
      </x:c>
      <x:c r="J201" s="7" t="str">
        <x:v>一般的なアラーム対策支援をHMI・データ接続・実行機能へ具体化</x:v>
      </x:c>
      <x:c r="K201" s="7" t="str">
        <x:v>2024比較不能。製品発表・投入時期要問合せ。</x:v>
      </x:c>
      <x:c r="L201" s="7" t="str">
        <x:v>個別比較あり</x:v>
      </x:c>
      <x:c r="M201" s="7" t="str">
        <x:v>詳細比較済み</x:v>
      </x:c>
      <x:c r="N201" s="7" t="str"/>
      <x:c r="O201" s="7" t="str">
        <x:v>専門家が制御権保持。毎回承認・書込権限・失敗復帰は未公開。</x:v>
      </x:c>
      <x:c r="P201" s="7" t="str">
        <x:v>JIMTOF2026公式カタログ掲載・現地未確認
製品発表・投入時期要問い合わせ</x:v>
      </x:c>
      <x:c r="Q201" s="7" t="str">
        <x:v>FC013</x:v>
      </x:c>
      <x:c t="str" r="R201" s="21">
        <x:f>HYPERLINK("https://www.jimtof.org/search/jp/ESdetails?e=K7DqahO2h08","JIMTOF2026 出展ページ")</x:f>
        <x:v>JIMTOF2026 出展ページ</x:v>
      </x:c>
      <x:c r="S201" s="21" t="str"/>
      <x:c r="T201" s="7" t="str">
        <x:v>EOV-V005-2026-1: https://www.jimtof.org/search/jp/ESdetails?e=K7DqahO2h08
該当箇所: main &gt; div.col-md-8.mb-5 の出展紹介、見出し「主な出展物」直後
EAT-N04: https://www.beckhoff.com/ko-kr/products/automation/twincat/tfxxxx-twincat-3-functions/tf1xxx-system/tf1700.html
該当箇所: Properties／Product status
EAT-N05: https://www.beckhoff.com/ko-kr/products/automation/twincat-projects-with-ai-supported-engineering/
該当箇所: CoAgents for development and machine operation
EDP-03: https://www.beckhoff.com/en-en/company/press/twincat-chat-using-innovative-chatbot-technology-in-twincat-engineering-2023-04.html
該当箇所: TwinCAT XAE／コード作成・追加・最適化・文書化
ERF-02: https://www.beckhoff.com/en-en/products/automation/twincat/tfxxxx-twincat-3-functions/tf1xxx-system/tf1700.html
該当箇所: Properties／direct system access；Product status／market release on request</x:v>
      </x:c>
    </x:row>
    <x:row r="202" ht="155" customHeight="1">
      <x:c r="A202" s="7" t="str">
        <x:v>工場運用</x:v>
      </x:c>
      <x:c r="B202" s="7" t="str">
        <x:v>現場エージェント・遠隔介入</x:v>
      </x:c>
      <x:c r="C202" s="20" t="str">
        <x:v>ソフィックス</x:v>
      </x:c>
      <x:c r="D202" s="7" t="str">
        <x:v>SOFIXCAN Fleeter＋AI Forecast：ミニ工場</x:v>
      </x:c>
      <x:c r="E202" s="7" t="str">
        <x:v>E1067</x:v>
      </x:c>
      <x:c r="F202" s="7" t="str">
        <x:v>設備・搬送を連携し予測を活用する</x:v>
      </x:c>
      <x:c r="G202" s="7" t="str">
        <x:v>AI Forecastの予測とFleeterの機器連携をミニ工場で紹介。</x:v>
      </x:c>
      <x:c r="H202" s="7" t="str">
        <x:v>部品・容器等の運搬と、設備間の受渡し・連携の負担</x:v>
      </x:c>
      <x:c r="I202" s="7" t="str">
        <x:v>メーター読取、切粉除去、AI熱変位補正を掲載</x:v>
      </x:c>
      <x:c r="J202" s="7" t="str">
        <x:v>2026は連携するミニ工場展示</x:v>
      </x:c>
      <x:c r="K202" s="7" t="str">
        <x:v>Fleeterミニ工場は2025にも予告済み。2026初とはしない。</x:v>
      </x:c>
      <x:c r="L202" s="7" t="str">
        <x:v>個別比較あり</x:v>
      </x:c>
      <x:c r="M202" s="7" t="str">
        <x:v>詳細比較済み</x:v>
      </x:c>
      <x:c r="N202" s="7" t="str"/>
      <x:c r="O202" s="7" t="str">
        <x:v>予測から指令への権限、通信・搬送失敗時の復帰は未公開。</x:v>
      </x:c>
      <x:c r="P202" s="7" t="str">
        <x:v>JIMTOF2026公式カタログ掲載・現地未確認
ミニ工場の展示デモ予定・商用無人工場実績ではない</x:v>
      </x:c>
      <x:c r="Q202" s="7" t="str">
        <x:v>FC030</x:v>
      </x:c>
      <x:c t="str" r="R202" s="21">
        <x:f>HYPERLINK("https://www.jimtof.org/search/jp/ESdetails?e=rYRhOM0muPQ","JIMTOF2026 出展ページ")</x:f>
        <x:v>JIMTOF2026 出展ページ</x:v>
      </x:c>
      <x:c t="str" r="S202" s="21">
        <x:f>HYPERLINK("https://www.jimtof.org/2024/search/jp/ESdetails?e=WNiUW-E-atY","JIMTOF2024 出展ページ")</x:f>
        <x:v>JIMTOF2024 出展ページ</x:v>
      </x:c>
      <x:c r="T202" s="7" t="str">
        <x:v>EOV-V015-2024-1: https://www.jimtof.org/2024/search/jp/ESdetails?e=WNiUW-E-atY
該当箇所: main &gt; div.col-md-8.mb-5 の出展紹介、見出し「主な出展物」直後
EOV-V015-2026-1: https://www.jimtof.org/search/jp/ESdetails?e=rYRhOM0muPQ
該当箇所: main &gt; div.col-md-8.mb-5 の出展紹介、見出し「主な出展物」直後
EDP-21: https://www.sofix.co.jp/products/sofixcan_ai_forecast/
該当箇所: 時系列データ予測／形状領域予測／顧客別予測システム開発
EDP-22: https://www.sofix.co.jp/products/sofixcan_fleeter/
該当箇所: 上位システム命令をトリガーに各機器を制御／通信モジュール追加
EDP-23: https://www.sofix.co.jp/
該当箇所: 2026/9/29告知／2025/11/4国際ロボット展でもミニ工場を予告</x:v>
      </x:c>
    </x:row>
    <x:row r="203" ht="155" customHeight="1">
      <x:c r="A203" s="7" t="str">
        <x:v>工場運用</x:v>
      </x:c>
      <x:c r="B203" s="7" t="str">
        <x:v>現場エージェント・遠隔介入</x:v>
      </x:c>
      <x:c r="C203" s="20" t="str">
        <x:v>パナソニックプロダクションエンジニアリング</x:v>
      </x:c>
      <x:c r="D203" s="7" t="str">
        <x:v>X-Area Remote</x:v>
      </x:c>
      <x:c r="E203" s="7" t="str">
        <x:v>W3086</x:v>
      </x:c>
      <x:c r="F203" s="7" t="str">
        <x:v>停止した搬送車を人が遠隔で復帰させる</x:v>
      </x:c>
      <x:c r="G203" s="7" t="str">
        <x:v>X-Area Remote実証では停止車両を人が遠隔操作して回避。</x:v>
      </x:c>
      <x:c r="H203" s="7" t="str">
        <x:v>設備エラー時の現場駆け付けと、遠隔からの状態把握・対処</x:v>
      </x:c>
      <x:c r="I203" s="7" t="str">
        <x:v>2024詳細なし。2022年に工場内けん引車の実証あり</x:v>
      </x:c>
      <x:c r="J203" s="7" t="str">
        <x:v>2026年7月の公式実証で、障害物停止後に人が遠隔回避する運用と車載構成を具体確認。JIMTOFは遠隔管制を展示予定。</x:v>
      </x:c>
      <x:c r="K203" s="7" t="str">
        <x:v>2026/7実証で人の担当を具体確認。2024個別比較不能。</x:v>
      </x:c>
      <x:c r="L203" s="7" t="str">
        <x:v>個別比較あり</x:v>
      </x:c>
      <x:c r="M203" s="7" t="str">
        <x:v>詳細比較済み</x:v>
      </x:c>
      <x:c r="N203" s="7" t="str"/>
      <x:c r="O203" s="7" t="str">
        <x:v>運行担当者が介入。実証はセーフティドライバー搭乗。</x:v>
      </x:c>
      <x:c r="P203" s="7" t="str">
        <x:v>JIMTOF2026公式カタログ掲載・現地未確認
既存サービス方式確認・2026展示予定</x:v>
      </x:c>
      <x:c r="Q203" s="7" t="str">
        <x:v>FC031</x:v>
      </x:c>
      <x:c t="str" r="R203" s="21">
        <x:f>HYPERLINK("https://www.jimtof.org/search/jp/ESdetails?e=5mrMofo3nN8","JIMTOF2026 出展ページ")</x:f>
        <x:v>JIMTOF2026 出展ページ</x:v>
      </x:c>
      <x:c r="S203" s="21" t="str"/>
      <x:c r="T203" s="7" t="str">
        <x:v>EOV-V016-2026-1: https://www.jimtof.org/search/jp/ESdetails?e=5mrMofo3nN8
該当箇所: main &gt; div.col-md-8.mb-5 の出展紹介、見出し「主な出展物」直後
EOV-W05: https://www.panasonic.com/jp/company/ppe/products/x-area.html
該当箇所: サービス概要、システム構成
EOV-W09: https://tech.panasonic.com/jp/td/news/20221124.html
該当箇所: 2022/11/24 NEWS &amp; TOPICS
EDP-24: https://news.panasonic.com/jp/press/jn260713-1
該当箇所: 障害物停止時に自動運転から人の遠隔操作へ切替／担当者とセーフティドライバー</x:v>
      </x:c>
    </x:row>
    <x:row r="204" ht="155" customHeight="1">
      <x:c r="A204" s="7" t="str">
        <x:v>工場運用</x:v>
      </x:c>
      <x:c r="B204" s="7" t="str">
        <x:v>現場エージェント・遠隔介入</x:v>
      </x:c>
      <x:c r="C204" s="20" t="str">
        <x:v>ミロクリエ</x:v>
      </x:c>
      <x:c r="D204" s="7" t="str">
        <x:v>ミロクルAI保全ナビ／分析レポート</x:v>
      </x:c>
      <x:c r="E204" s="7" t="str">
        <x:v>E2016</x:v>
      </x:c>
      <x:c r="F204" s="7" t="str">
        <x:v>保全診断・知識支援</x:v>
      </x:c>
      <x:c r="G204" s="7" t="str">
        <x:v>記録を整形し類似トラブルのヒント、KPIと分析解説を生成</x:v>
      </x:c>
      <x:c r="H204" s="7" t="str">
        <x:v>異常原因・保全対処の属人化と、記録・診断情報を調べる負担</x:v>
      </x:c>
      <x:c r="I204" s="7" t="str">
        <x:v>2024詳細なし</x:v>
      </x:c>
      <x:c r="J204" s="7" t="str">
        <x:v>2026は保全ナビ・分析・ヘルプを個別説明</x:v>
      </x:c>
      <x:c r="K204" s="7" t="str">
        <x:v>出展説明・公式資料の記載比較。初発明年・実演成功・性能向上を証明するものではない。</x:v>
      </x:c>
      <x:c r="L204" s="7" t="str">
        <x:v>年度資料不足・比較不能</x:v>
      </x:c>
      <x:c r="M204" s="7" t="str">
        <x:v>個別タスク整理</x:v>
      </x:c>
      <x:c r="N204" s="7" t="str"/>
      <x:c r="O204" s="7" t="str">
        <x:v>設備への操作指示・修理実行は説明なし。AIオプションと本体を区別</x:v>
      </x:c>
      <x:c r="P204" s="7" t="str">
        <x:v>JIMTOF2026公式カタログ掲載・現地未確認
本体とは別のAIオプション・提供範囲未確認</x:v>
      </x:c>
      <x:c r="Q204" s="7" t="str">
        <x:v>FC058</x:v>
      </x:c>
      <x:c t="str" r="R204" s="21">
        <x:f>HYPERLINK("https://www.jimtof.org/search/jp/ESdetails?e=IQhLnLagU5I","JIMTOF2026 出展ページ")</x:f>
        <x:v>JIMTOF2026 出展ページ</x:v>
      </x:c>
      <x:c r="S204" s="21" t="str"/>
      <x:c r="T204" s="7" t="str">
        <x:v>EOV-V038-2026-1: https://www.jimtof.org/search/jp/ESdetails?e=IQhLnLagU5I
該当箇所: main &gt; div.col-md-8.mb-5 の出展紹介、見出し「主な出展物」直後</x:v>
      </x:c>
    </x:row>
    <x:row r="205" ht="155" customHeight="1">
      <x:c r="A205" s="7" t="str">
        <x:v>工場運用</x:v>
      </x:c>
      <x:c r="B205" s="7" t="str">
        <x:v>現場エージェント・遠隔介入</x:v>
      </x:c>
      <x:c r="C205" s="20" t="str">
        <x:v>三菱電機</x:v>
      </x:c>
      <x:c r="D205" s="7" t="str">
        <x:v>遠隔保守サポート／スマート保全</x:v>
      </x:c>
      <x:c r="E205" s="7" t="str">
        <x:v>S2003</x:v>
      </x:c>
      <x:c r="F205" s="7" t="str">
        <x:v>遠隔操作・例外対応</x:v>
      </x:c>
      <x:c r="G205" s="7" t="str">
        <x:v>デジタル接続で復旧迅速化、保全の計画対応化を支援</x:v>
      </x:c>
      <x:c r="H205" s="7" t="str">
        <x:v>設備エラー時の現場駆け付けと、遠隔からの状態把握・対処</x:v>
      </x:c>
      <x:c r="I205" s="7" t="str">
        <x:v>2024はクラウドアプリ・ラインDX等を掲載</x:v>
      </x:c>
      <x:c r="J205" s="7" t="str">
        <x:v>2026は遠隔保守とスマート保全を明示</x:v>
      </x:c>
      <x:c r="K205" s="7" t="str">
        <x:v>出展説明・公式資料の記載比較。初発明年・実演成功・性能向上を証明するものではない。</x:v>
      </x:c>
      <x:c r="L205" s="7" t="str">
        <x:v>比較記録あり</x:v>
      </x:c>
      <x:c r="M205" s="7" t="str">
        <x:v>個別タスク整理</x:v>
      </x:c>
      <x:c r="N205" s="7" t="str"/>
      <x:c r="O205" s="7" t="str">
        <x:v>遠隔で操作可能な範囲、顧客承認・現場作業は未確認</x:v>
      </x:c>
      <x:c r="P205" s="7" t="str">
        <x:v>JIMTOF2026公式カタログ掲載・現地未確認
2026展示予定・提供段階未確認</x:v>
      </x:c>
      <x:c r="Q205" s="7" t="str">
        <x:v>FC066</x:v>
      </x:c>
      <x:c t="str" r="R205" s="21">
        <x:f>HYPERLINK("https://www.jimtof.org/search/jp/ESdetails?e=AjLnzm01WWU","JIMTOF2026 出展ページ")</x:f>
        <x:v>JIMTOF2026 出展ページ</x:v>
      </x:c>
      <x:c t="str" r="S205" s="21">
        <x:f>HYPERLINK("https://www.jimtof.org/2024/search/jp/ESdetails?e=30li0vWcseI","JIMTOF2024 出展ページ")</x:f>
        <x:v>JIMTOF2024 出展ページ</x:v>
      </x:c>
      <x:c r="T205" s="7" t="str">
        <x:v>EAT-V043-2024-1: https://www.jimtof.org/2024/search/jp/ESdetails?e=30li0vWcseI
該当箇所: 出展紹介・主な出展物（カードの製品名・機能語で検索）
EAT-V043-2026-1: https://www.jimtof.org/search/jp/ESdetails?e=AjLnzm01WWU
該当箇所: 出展紹介・主な出展物（カードの製品名・機能語で検索）</x:v>
      </x:c>
    </x:row>
    <x:row r="206" ht="155" customHeight="1">
      <x:c r="A206" s="7" t="str">
        <x:v>工場運用</x:v>
      </x:c>
      <x:c r="B206" s="7" t="str">
        <x:v>工場データ・計画・資源の連携</x:v>
      </x:c>
      <x:c r="C206" s="20" t="str">
        <x:v>Smart Craft</x:v>
      </x:c>
      <x:c r="D206" s="7" t="str">
        <x:v>Smart Craft MES</x:v>
      </x:c>
      <x:c r="E206" s="7" t="str">
        <x:v>S3002</x:v>
      </x:c>
      <x:c r="F206" s="7" t="str">
        <x:v>作業記録・指示・製造履歴を管理する</x:v>
      </x:c>
      <x:c r="G206" s="7" t="str">
        <x:v>Smart Craft MESは記録・指示・履歴を一元管理しAPI連携。</x:v>
      </x:c>
      <x:c r="H206" s="7" t="str">
        <x:v>生産・品質・在庫・購買の分散情報、現場入力と転記の負担</x:v>
      </x:c>
      <x:c r="I206" s="7" t="str">
        <x:v>2024詳細なし</x:v>
      </x:c>
      <x:c r="J206" s="7" t="str">
        <x:v>2026機能説明あり</x:v>
      </x:c>
      <x:c r="K206" s="7" t="str">
        <x:v>2024個別比較不能。</x:v>
      </x:c>
      <x:c r="L206" s="7" t="str">
        <x:v>個別比較あり</x:v>
      </x:c>
      <x:c r="M206" s="7" t="str">
        <x:v>詳細比較済み</x:v>
      </x:c>
      <x:c r="N206" s="7" t="str"/>
      <x:c r="O206" s="7" t="str">
        <x:v>AI分析の内容や判断権限、入力作業の残りは未確認。</x:v>
      </x:c>
      <x:c r="P206" s="7" t="str">
        <x:v>JIMTOF2026公式カタログ掲載・現地未確認
2026展示予定・提供段階未確認</x:v>
      </x:c>
      <x:c r="Q206" s="7" t="str">
        <x:v>FC026</x:v>
      </x:c>
      <x:c t="str" r="R206" s="21">
        <x:f>HYPERLINK("https://www.jimtof.org/search/jp/ESdetails?e=WqjRB6DEqN0","JIMTOF2026 出展ページ")</x:f>
        <x:v>JIMTOF2026 出展ページ</x:v>
      </x:c>
      <x:c r="S206" s="21" t="str"/>
      <x:c r="T206" s="7" t="str">
        <x:v>EOV-V013-2026-1: https://www.jimtof.org/search/jp/ESdetails?e=WqjRB6DEqN0
該当箇所: main &gt; div.col-md-8.mb-5 の出展紹介、見出し「主な出展物」直後</x:v>
      </x:c>
    </x:row>
    <x:row r="207" ht="155" customHeight="1">
      <x:c r="A207" s="7" t="str">
        <x:v>工場運用</x:v>
      </x:c>
      <x:c r="B207" s="7" t="str">
        <x:v>工場データ・計画・資源の連携</x:v>
      </x:c>
      <x:c r="C207" s="20" t="str">
        <x:v>ものレボ</x:v>
      </x:c>
      <x:c r="D207" s="7" t="str">
        <x:v>MonoRevo：工程計画・スケジューリング</x:v>
      </x:c>
      <x:c r="E207" s="7" t="str">
        <x:v>W3042</x:v>
      </x:c>
      <x:c r="F207" s="7" t="str">
        <x:v>工程の順番と生産予定を組む</x:v>
      </x:c>
      <x:c r="G207" s="7" t="str">
        <x:v>MonoRevoは工程設計・計画・進捗をまとめ自動計画を支援。</x:v>
      </x:c>
      <x:c r="H207" s="7" t="str">
        <x:v>納期・工程・負荷が変わる際の生産計画調整</x:v>
      </x:c>
      <x:c r="I207" s="7" t="str">
        <x:v>2024詳細なし</x:v>
      </x:c>
      <x:c r="J207" s="7" t="str">
        <x:v>2026は工程設計・自動スケジューリングを説明</x:v>
      </x:c>
      <x:c r="K207" s="7" t="str">
        <x:v>2024個別比較不能。2026は自動スケジューリングを記載。</x:v>
      </x:c>
      <x:c r="L207" s="7" t="str">
        <x:v>個別比較あり</x:v>
      </x:c>
      <x:c r="M207" s="7" t="str">
        <x:v>詳細比較済み</x:v>
      </x:c>
      <x:c r="N207" s="7" t="str"/>
      <x:c r="O207" s="7" t="str">
        <x:v>計画制約・再計画確定者・例外対応は未確認。</x:v>
      </x:c>
      <x:c r="P207" s="7" t="str">
        <x:v>JIMTOF2026公式カタログ掲載・現地未確認
2026展示予定・提供段階未確認</x:v>
      </x:c>
      <x:c r="Q207" s="7" t="str">
        <x:v>FC027</x:v>
      </x:c>
      <x:c t="str" r="R207" s="21">
        <x:f>HYPERLINK("https://www.jimtof.org/search/jp/ESdetails?e=sccKfxE4bYo","JIMTOF2026 出展ページ")</x:f>
        <x:v>JIMTOF2026 出展ページ</x:v>
      </x:c>
      <x:c r="S207" s="21" t="str"/>
      <x:c r="T207" s="7" t="str">
        <x:v>EOV-V014-2026-1: https://www.jimtof.org/search/jp/ESdetails?e=sccKfxE4bYo
該当箇所: main &gt; div.col-md-8.mb-5 の出展紹介、見出し「主な出展物」直後</x:v>
      </x:c>
    </x:row>
    <x:row r="208" ht="155" customHeight="1">
      <x:c r="A208" s="7" t="str">
        <x:v>工場運用</x:v>
      </x:c>
      <x:c r="B208" s="7" t="str">
        <x:v>工場データ・計画・資源の連携</x:v>
      </x:c>
      <x:c r="C208" s="20" t="str">
        <x:v>テクノア</x:v>
      </x:c>
      <x:c r="D208" s="7" t="str">
        <x:v>TECHS系：スマホ実績・購買API</x:v>
      </x:c>
      <x:c r="E208" s="7" t="str">
        <x:v>S3009</x:v>
      </x:c>
      <x:c r="F208" s="7" t="str">
        <x:v>購買見積・発注・受入と実績入力</x:v>
      </x:c>
      <x:c r="G208" s="7" t="str">
        <x:v>TECHSの購買APIとスマートフォン実績入力。部品の加工見積AIとは別。</x:v>
      </x:c>
      <x:c r="H208" s="7" t="str">
        <x:v>生産・品質・在庫・購買の分散情報、現場入力と転記の負担</x:v>
      </x:c>
      <x:c r="I208" s="7" t="str">
        <x:v>AI・IoT、生産管理4500社超を既に掲載</x:v>
      </x:c>
      <x:c r="J208" s="7" t="str">
        <x:v>購買API・スマホ機能を具体化</x:v>
      </x:c>
      <x:c r="K208" s="7" t="str">
        <x:v>出展説明・公式資料の記載比較。初発明年・実演成功・性能向上を証明するものではない。</x:v>
      </x:c>
      <x:c r="L208" s="7" t="str">
        <x:v>比較記録あり</x:v>
      </x:c>
      <x:c r="M208" s="7" t="str">
        <x:v>個別タスク整理</x:v>
      </x:c>
      <x:c r="N208" s="7" t="str">
        <x:v>関連（購買API）。加工原価見積AIとは別。</x:v>
      </x:c>
      <x:c r="O208" s="7" t="str">
        <x:v>AIによる自律購買や全体計画の確定とは未確認</x:v>
      </x:c>
      <x:c r="P208" s="7" t="str">
        <x:v>JIMTOF2026公式カタログ掲載・現地未確認
2026展示予定・提供段階未確認</x:v>
      </x:c>
      <x:c r="Q208" s="7" t="str">
        <x:v>FC061</x:v>
      </x:c>
      <x:c t="str" r="R208" s="21">
        <x:f>HYPERLINK("https://www.jimtof.org/search/jp/ESdetails?e=sSRmH-KuV8U","JIMTOF2026 出展ページ")</x:f>
        <x:v>JIMTOF2026 出展ページ</x:v>
      </x:c>
      <x:c t="str" r="S208" s="21">
        <x:f>HYPERLINK("https://www.jimtof.org/2024/search/jp/ESdetails?e=lmqsWTyiVAY","JIMTOF2024 出展ページ")</x:f>
        <x:v>JIMTOF2024 出展ページ</x:v>
      </x:c>
      <x:c r="T208" s="7" t="str">
        <x:v>EOV-V040-2024-1: https://www.jimtof.org/2024/search/jp/ESdetails?e=lmqsWTyiVAY
該当箇所: main &gt; div.col-md-8.mb-5 の出展紹介、見出し「主な出展物」直後
EOV-V040-2026-1: https://www.jimtof.org/search/jp/ESdetails?e=sSRmH-KuV8U
該当箇所: main &gt; div.col-md-8.mb-5 の出展紹介、見出し「主な出展物」直後</x:v>
      </x:c>
    </x:row>
    <x:row r="209" ht="155" customHeight="1">
      <x:c r="A209" s="7" t="str">
        <x:v>工場運用</x:v>
      </x:c>
      <x:c r="B209" s="7" t="str">
        <x:v>工場データ・計画・資源の連携</x:v>
      </x:c>
      <x:c r="C209" s="20" t="str">
        <x:v>三菱電機</x:v>
      </x:c>
      <x:c r="D209" s="7" t="str">
        <x:v>放電加工の新開発スケジューラ</x:v>
      </x:c>
      <x:c r="E209" s="7" t="str">
        <x:v>S2003</x:v>
      </x:c>
      <x:c r="F209" s="7" t="str">
        <x:v>計画変更・負荷調整</x:v>
      </x:c>
      <x:c r="G209" s="7" t="str">
        <x:v>新開発スケジューラによる自動化運用を提案</x:v>
      </x:c>
      <x:c r="H209" s="7" t="str">
        <x:v>納期・工程・負荷が変わる際の生産計画調整</x:v>
      </x:c>
      <x:c r="I209" s="7" t="str">
        <x:v>2024はMX600、SV-P等とラインDXを掲載</x:v>
      </x:c>
      <x:c r="J209" s="7" t="str">
        <x:v>2026はMG12R・SV12Pと新開発スケジューラを記載</x:v>
      </x:c>
      <x:c r="K209" s="7" t="str">
        <x:v>出展説明・公式資料の記載比較。初発明年・実演成功・性能向上を証明するものではない。</x:v>
      </x:c>
      <x:c r="L209" s="7" t="str">
        <x:v>比較記録あり</x:v>
      </x:c>
      <x:c r="M209" s="7" t="str">
        <x:v>個別タスク整理</x:v>
      </x:c>
      <x:c r="N209" s="7" t="str"/>
      <x:c r="O209" s="7" t="str">
        <x:v>自動確定する工程・工具・順序と人の承認は未確認</x:v>
      </x:c>
      <x:c r="P209" s="7" t="str">
        <x:v>JIMTOF2026公式カタログ掲載・現地未確認
2026展示予定・提供段階未確認</x:v>
      </x:c>
      <x:c r="Q209" s="7" t="str">
        <x:v>FC065</x:v>
      </x:c>
      <x:c t="str" r="R209" s="21">
        <x:f>HYPERLINK("https://www.jimtof.org/search/jp/ESdetails?e=AjLnzm01WWU","JIMTOF2026 出展ページ")</x:f>
        <x:v>JIMTOF2026 出展ページ</x:v>
      </x:c>
      <x:c t="str" r="S209" s="21">
        <x:f>HYPERLINK("https://www.jimtof.org/2024/search/jp/ESdetails?e=30li0vWcseI","JIMTOF2024 出展ページ")</x:f>
        <x:v>JIMTOF2024 出展ページ</x:v>
      </x:c>
      <x:c r="T209" s="7" t="str">
        <x:v>EAT-V043-2024-1: https://www.jimtof.org/2024/search/jp/ESdetails?e=30li0vWcseI
該当箇所: 出展紹介・主な出展物（カードの製品名・機能語で検索）
EAT-V043-2026-1: https://www.jimtof.org/search/jp/ESdetails?e=AjLnzm01WWU
該当箇所: 出展紹介・主な出展物（カードの製品名・機能語で検索）</x:v>
      </x:c>
    </x:row>
    <x:row r="210" ht="155" customHeight="1">
      <x:c r="A210" s="7" t="str">
        <x:v>工場運用</x:v>
      </x:c>
      <x:c r="B210" s="7" t="str">
        <x:v>工場データ・計画・資源の連携</x:v>
      </x:c>
      <x:c r="C210" s="20" t="str">
        <x:v>株式会社インプローブ</x:v>
      </x:c>
      <x:c r="D210" s="7" t="str">
        <x:v>スマホ・ブラウザ工程管理システム『サクスマ』</x:v>
      </x:c>
      <x:c r="E210" s="7" t="str">
        <x:v>W3042</x:v>
      </x:c>
      <x:c r="F210" s="7" t="str">
        <x:v>工場データ・計画・資源の連携</x:v>
      </x:c>
      <x:c r="G210" s="7" t="str">
        <x:v>原典抜粋：『サクスマ』　スマホ・タブレット・PCのブラウザで利用できる工程管理システム / スマホ・ブラウザ工程管理システム『サクスマ』 / 工程別・製番別・担当者別の3視点を切り替えられるスマホ、ブラウザ対応の工程管理システムです。</x:v>
      </x:c>
      <x:c r="H210" s="7" t="str">
        <x:v>現物・工具マスター・進捗が分断し変更に追従しにくい。</x:v>
      </x:c>
      <x:c r="I210" s="7" t="str">
        <x:v>2024原典抜粋：中小規模、受注生産型製造業向けの ・負荷管理 ・工程管理、進捗管理 ・実績収集 などのソフトウエアを実機にて展示しております。 業務の効率化、作業の見える化、情報の一元化でお困りの方はお気軽にお立ち寄りください。 課題解決に最適なご提案をさせていただきます。 工程管理システム 【サクっと工程シリーズ】 ・サクっと工程 進捗が分かり易く納期管理をしっかり行いたい工場に最適です ・サクっと工程Pro 分単位のスケジュールが可能な工程管理システムです マシン別のスケジュールにより、各マシンの負荷調整が行えて稼働率向上を目</x:v>
      </x:c>
      <x:c r="J210" s="7" t="str">
        <x:v>2026原典抜粋：『サクスマ』　スマホ・タブレット・PCのブラウザで利用できる工程管理システム / スマホ・ブラウザ工程管理システム『サクスマ』 / 工程別・製番別・担当者別の3視点を切り替えられるスマホ、ブラウザ対応の工程管理システムです。</x:v>
      </x:c>
      <x:c r="K210" s="7" t="str">
        <x:v>原典記述の対照。個別機能の追加・性能差・初登場年は未判定。</x:v>
      </x:c>
      <x:c r="L210" s="7" t="str">
        <x:v>両年説明あり・機能差未判定</x:v>
      </x:c>
      <x:c r="M210" s="7" t="str">
        <x:v>出展説明の一次分類</x:v>
      </x:c>
      <x:c r="N210" s="7" t="str"/>
      <x:c r="O210" s="7" t="str">
        <x:v>承認・例外対応・停止・復帰の境界は未確認</x:v>
      </x:c>
      <x:c r="P210" s="7" t="str">
        <x:v>2026公式カタログ掲載・現地未確認
2026展示予定。既存製品・参考出展・構想等は原典で個別確認</x:v>
      </x:c>
      <x:c r="Q210" s="7" t="str">
        <x:v>AC025</x:v>
      </x:c>
      <x:c t="str" r="R210" s="21">
        <x:f>HYPERLINK("https://www.jimtof.org/search/jp/ESdetails?e=WacbHqw4PMw","JIMTOF2026 出展ページ")</x:f>
        <x:v>JIMTOF2026 出展ページ</x:v>
      </x:c>
      <x:c t="str" r="S210" s="21">
        <x:f>HYPERLINK("https://www.jimtof.org/2024/search/jp/ESdetails?e=_nI6m1Y6VMA","JIMTOF2024 出展ページ")</x:f>
        <x:v>JIMTOF2024 出展ページ</x:v>
      </x:c>
      <x:c r="T210" s="7" t="str">
        <x:v>EEX-EXH-2026-2703960c6bc2e1d3: https://www.jimtof.org/search/jp/ESdetails?e=WacbHqw4PMw
該当箇所: 出展紹介・主な出展物。追加カードの原典抜粋で検索
EEX-EXH-2024-0542688e8340ea41: https://www.jimtof.org/2024/search/jp/ESdetails?e=_nI6m1Y6VMA
該当箇所: 出展紹介・主な出展物。追加カードの原典抜粋で検索</x:v>
      </x:c>
    </x:row>
    <x:row r="211" ht="155" customHeight="1">
      <x:c r="A211" s="7" t="str">
        <x:v>工場運用</x:v>
      </x:c>
      <x:c r="B211" s="7" t="str">
        <x:v>工場データ・計画・資源の連携</x:v>
      </x:c>
      <x:c r="C211" s="20" t="str">
        <x:v>株式会社インプローブ</x:v>
      </x:c>
      <x:c r="D211" s="7" t="str">
        <x:v>スマホ・ブラウザ工程管理システム</x:v>
      </x:c>
      <x:c r="E211" s="7" t="str">
        <x:v>S3008</x:v>
      </x:c>
      <x:c r="F211" s="7" t="str">
        <x:v>工場データ・計画・資源の連携</x:v>
      </x:c>
      <x:c r="G211" s="7" t="str">
        <x:v>原典抜粋：・工程管理、進捗管理 / スマホ・ブラウザ工程管理システム / 工程別・製番別・担当者別の3視点を切り替えられる工程管理システム / 生産管理システム / 情報の見える化により、コストダウン対策が行える生産管理システム / 工程管理システム　【サクっと工程シリーズ】 / 工程管理システムと自動スケジューラの連携が実現したシステムをローコストでお使いいただけます</x:v>
      </x:c>
      <x:c r="H211" s="7" t="str">
        <x:v>現物・工具マスター・進捗が分断し変更に追従しにくい。</x:v>
      </x:c>
      <x:c r="I211" s="7" t="str">
        <x:v>2024原典抜粋：中小規模、受注生産型製造業向けの ・負荷管理 ・工程管理、進捗管理 ・実績収集 などのソフトウエアを実機にて展示しております。 業務の効率化、作業の見える化、情報の一元化でお困りの方はお気軽にお立ち寄りください。 課題解決に最適なご提案をさせていただきます。 工程管理システム 【サクっと工程シリーズ】 ・サクっと工程 進捗が分かり易く納期管理をしっかり行いたい工場に最適です ・サクっと工程Pro 分単位のスケジュールが可能な工程管理システムです マシン別のスケジュールにより、各マシンの負荷調整が行えて稼働率向上を目</x:v>
      </x:c>
      <x:c r="J211" s="7" t="str">
        <x:v>2026原典抜粋：・工程管理、進捗管理 / スマホ・ブラウザ工程管理システム / 工程別・製番別・担当者別の3視点を切り替えられる工程管理システム / 生産管理システム / 情報の見える化により、コストダウン対策が行える生産管理システム / 工程管理システム　【サクっと工程シリーズ】 / 工程管理システムと自動スケジューラの連携が実現したシステムをローコストでお使いいただけます</x:v>
      </x:c>
      <x:c r="K211" s="7" t="str">
        <x:v>原典記述の対照。個別機能の追加・性能差・初登場年は未判定。</x:v>
      </x:c>
      <x:c r="L211" s="7" t="str">
        <x:v>両年説明あり・機能差未判定</x:v>
      </x:c>
      <x:c r="M211" s="7" t="str">
        <x:v>出展説明の一次分類</x:v>
      </x:c>
      <x:c r="N211" s="7" t="str"/>
      <x:c r="O211" s="7" t="str">
        <x:v>承認・例外対応・停止・復帰の境界は未確認</x:v>
      </x:c>
      <x:c r="P211" s="7" t="str">
        <x:v>2026公式カタログ掲載・現地未確認
2026展示予定。既存製品・参考出展・構想等は原典で個別確認</x:v>
      </x:c>
      <x:c r="Q211" s="7" t="str">
        <x:v>AC026</x:v>
      </x:c>
      <x:c t="str" r="R211" s="21">
        <x:f>HYPERLINK("https://www.jimtof.org/search/jp/ESdetails?e=U6gS--b_Z9A","JIMTOF2026 出展ページ")</x:f>
        <x:v>JIMTOF2026 出展ページ</x:v>
      </x:c>
      <x:c t="str" r="S211" s="21">
        <x:f>HYPERLINK("https://www.jimtof.org/2024/search/jp/ESdetails?e=_nI6m1Y6VMA","JIMTOF2024 出展ページ")</x:f>
        <x:v>JIMTOF2024 出展ページ</x:v>
      </x:c>
      <x:c r="T211" s="7" t="str">
        <x:v>EEX-EXH-2026-dc0db149daeb6803: https://www.jimtof.org/search/jp/ESdetails?e=U6gS--b_Z9A
該当箇所: 出展紹介・主な出展物。追加カードの原典抜粋で検索
EEX-EXH-2024-0542688e8340ea41: https://www.jimtof.org/2024/search/jp/ESdetails?e=_nI6m1Y6VMA
該当箇所: 出展紹介・主な出展物。追加カードの原典抜粋で検索</x:v>
      </x:c>
    </x:row>
    <x:row r="212" ht="155" customHeight="1">
      <x:c r="A212" s="7" t="str">
        <x:v>工場運用</x:v>
      </x:c>
      <x:c r="B212" s="7" t="str">
        <x:v>工場データ・計画・資源の連携</x:v>
      </x:c>
      <x:c r="C212" s="20" t="str">
        <x:v>FNS株式会社</x:v>
      </x:c>
      <x:c r="D212" s="7" t="str">
        <x:v>TM-2800：AMR・ロボット・加工機の統合</x:v>
      </x:c>
      <x:c r="E212" s="7" t="str">
        <x:v>E2034</x:v>
      </x:c>
      <x:c r="F212" s="7" t="str">
        <x:v>ワーク・パレット・切粉の搬送 ／ 工場データ・計画・資源の連携</x:v>
      </x:c>
      <x:c r="G212" s="7" t="str">
        <x:v>TM-2800の工程指示・統合制御の説明。AIによる再計画・最適化の有無は未特定</x:v>
      </x:c>
      <x:c r="H212" s="7" t="str">
        <x:v>品種・量の変化に合わせて人の供給往復を減らす。 ／ 現物・工具マスター・進捗が分断し変更に追従しにくい。</x:v>
      </x:c>
      <x:c r="I212" s="7" t="str">
        <x:v>2024はRK510のストッカー・2D位置補正・ハンド交換と加工機接続。</x:v>
      </x:c>
      <x:c r="J212" s="7" t="str">
        <x:v>2026は高層ストッカーTM-2800を起点にAMR・ロボット・加工機を統合制御する提案。</x:v>
      </x:c>
      <x:c r="K212" s="7" t="str">
        <x:v>セル内供給から工程間統合へ対象拡大を記載。再計画・未知例外対応は未確認。</x:v>
      </x:c>
      <x:c r="L212" s="7" t="str">
        <x:v>両年説明あり・機能差未判定</x:v>
      </x:c>
      <x:c r="M212" s="7" t="str">
        <x:v>出展説明の一次分類</x:v>
      </x:c>
      <x:c r="N212" s="7" t="str"/>
      <x:c r="O212" s="7" t="str">
        <x:v>事前準備：公式出展説明：人が投入・スケジューリング。企業製品ページは旧RK510等の構成まで／承認：未記載：統合指示・計画変更の承認、機器間の権限／例外対応：未記載：AMR遅延・加工機停止・仕掛品欠品での再計画と復帰</x:v>
      </x:c>
      <x:c r="P212" s="7" t="str">
        <x:v>2026公式カタログ掲載・現地未確認
2026展示予定。既存製品・参考出展・構想等は原典で個別確認</x:v>
      </x:c>
      <x:c r="Q212" s="7" t="str">
        <x:v>AC039</x:v>
      </x:c>
      <x:c t="str" r="R212" s="21">
        <x:f>HYPERLINK("https://www.jimtof.org/search/jp/ESdetails?e=_q_YetP8_og","JIMTOF2026 出展ページ")</x:f>
        <x:v>JIMTOF2026 出展ページ</x:v>
      </x:c>
      <x:c t="str" r="S212" s="21">
        <x:f>HYPERLINK("https://www.jimtof.org/2024/search/jp/ESdetails?e=LRKay8iRNz4","JIMTOF2024 出展ページ")</x:f>
        <x:v>JIMTOF2024 出展ページ</x:v>
      </x:c>
      <x:c r="T212" s="7" t="str">
        <x:v>EEX-EXH-2026-9022dcaec2b02dde: https://www.jimtof.org/search/jp/ESdetails?e=_q_YetP8_og
該当箇所: 出展紹介・主な出展物。追加カードの原典抜粋で検索
EEX-EXH-2024-caa95a5ce916176b: https://www.jimtof.org/2024/search/jp/ESdetails?e=LRKay8iRNz4
該当箇所: 出展紹介・主な出展物。追加カードの原典抜粋で検索
EDP-25: https://www.fns-inc.jp/%E3%83%AD%E3%83%9C%E3%83%83%E3%83%88%E3%82%B7%E3%82%B9%E3%83%86%E3%83%A0
該当箇所: RK510：FANUC CRX-10iA・2段ストッカー・CNCマクロ変数・カメラオプション</x:v>
      </x:c>
    </x:row>
    <x:row r="213" ht="155" customHeight="1">
      <x:c r="A213" s="7" t="str">
        <x:v>工場運用</x:v>
      </x:c>
      <x:c r="B213" s="7" t="str">
        <x:v>工場データ・計画・資源の連携</x:v>
      </x:c>
      <x:c r="C213" s="20" t="str">
        <x:v>エンシュウ株式会社</x:v>
      </x:c>
      <x:c r="D213" s="7" t="str">
        <x:v>「3つの技術の融合」をテーマに、エンシュウは「工作機械メーカー × SIer × 量産部品加工メーカー」の3つの技術と機能を融合し、製造現場が直面する</x:v>
      </x:c>
      <x:c r="E213" s="7" t="str">
        <x:v>E3027</x:v>
      </x:c>
      <x:c r="F213" s="7" t="str">
        <x:v>ワーク・パレット・切粉の搬送 ／ 工場データ・計画・資源の連携 ／ 自動加工セル・工程集約</x:v>
      </x:c>
      <x:c r="G213" s="7" t="str">
        <x:v>原典抜粋：「3つの技術の融合」をテーマに、エンシュウは「工作機械メーカー × SIer × 量産部品加工メーカー」の3つの技術と機能を融合し、製造現場が直面する「自動化」「デジタル化」「省エネ」の課題に新たな価値を提案します。 / 今回の展示では、①横形マシニングセンタJE50Sコンセプトモデルによる「工作機械×デジタル」、②Mobile Robotによるモノと情報をつなぐ物流自動化、③量産部品加工で培った生産性と品質を両立する“実践技術”をご紹</x:v>
      </x:c>
      <x:c r="H213" s="7" t="str">
        <x:v>品種・量の変化に合わせて人の供給往復を減らす。 ／ 現物・工具マスター・進捗が分断し変更に追従しにくい。 ／ 設備間の持替えや繰返し作業が、人手・待ち時間・品質差につながる。</x:v>
      </x:c>
      <x:c r="I213" s="7" t="str">
        <x:v>2024原典抜粋：「Diverse technology Enshu」をテーマに掲げ、お客様の工場において多様化するモノづくりに対し、お客様の課題に合うソリューションを提案いたします。今回の展示あたっては、マシニングセンタを4台、溶接機を1台出展いたします。マシニングセンタでは、①ご好評を頂いている横形マシニングセンタGE480Hのバージョンアップモデル、②多品種混流生産向けに省力化、省人化技術提案として自動搬送付きマシニングセンタWE30Vとストッカーの組合せ例、③精密部品・半導体・医療関係向けに小型マシニングセンタSV130の5</x:v>
      </x:c>
      <x:c r="J213" s="7" t="str">
        <x:v>2026原典抜粋：「3つの技術の融合」をテーマに、エンシュウは「工作機械メーカー × SIer × 量産部品加工メーカー」の3つの技術と機能を融合し、製造現場が直面する「自動化」「デジタル化」「省エネ」の課題に新たな価値を提案します。 / 今回の展示では、①横形マシニングセンタJE50Sコンセプトモデルによる「工作機械×デジタル」、②Mobile Robotによるモノと情報をつなぐ物流自動化、③量産部品加工で培った生産性と品質を両立する“実践技術”をご紹</x:v>
      </x:c>
      <x:c r="K213" s="7" t="str">
        <x:v>原典記述の対照。個別機能の追加・性能差・初登場年は未判定。</x:v>
      </x:c>
      <x:c r="L213" s="7" t="str">
        <x:v>両年説明あり・機能差未判定</x:v>
      </x:c>
      <x:c r="M213" s="7" t="str">
        <x:v>出展説明の一次分類</x:v>
      </x:c>
      <x:c r="N213" s="7" t="str"/>
      <x:c r="O213" s="7" t="str">
        <x:v>承認・例外対応・停止・復帰の境界は未確認</x:v>
      </x:c>
      <x:c r="P213" s="7" t="str">
        <x:v>2026公式カタログ掲載・現地未確認
2026展示予定。既存製品・参考出展・構想等は原典で個別確認</x:v>
      </x:c>
      <x:c r="Q213" s="7" t="str">
        <x:v>AC041</x:v>
      </x:c>
      <x:c t="str" r="R213" s="21">
        <x:f>HYPERLINK("https://www.jimtof.org/search/jp/ESdetails?e=fPfTIEegDHY","JIMTOF2026 出展ページ")</x:f>
        <x:v>JIMTOF2026 出展ページ</x:v>
      </x:c>
      <x:c t="str" r="S213" s="21">
        <x:f>HYPERLINK("https://www.jimtof.org/2024/search/jp/ESdetails?e=3oUCCObcIv4","JIMTOF2024 出展ページ")</x:f>
        <x:v>JIMTOF2024 出展ページ</x:v>
      </x:c>
      <x:c r="T213" s="7" t="str">
        <x:v>EEX-EXH-2026-0e942b9436bf5d6c: https://www.jimtof.org/search/jp/ESdetails?e=fPfTIEegDHY
該当箇所: 出展紹介・主な出展物。追加カードの原典抜粋で検索
EEX-EXH-2024-1a36e44614911fa1: https://www.jimtof.org/2024/search/jp/ESdetails?e=3oUCCObcIv4
該当箇所: 出展紹介・主な出展物。追加カードの原典抜粋で検索</x:v>
      </x:c>
    </x:row>
    <x:row r="214" ht="155" customHeight="1">
      <x:c r="A214" s="7" t="str">
        <x:v>工場運用</x:v>
      </x:c>
      <x:c r="B214" s="7" t="str">
        <x:v>工場データ・計画・資源の連携</x:v>
      </x:c>
      <x:c r="C214" s="20" t="str">
        <x:v>株式会社ケーエムケーワールド</x:v>
      </x:c>
      <x:c r="D214" s="7" t="str">
        <x:v>セミオーダー型生産管理システム「A's Style」を出展いたします。</x:v>
      </x:c>
      <x:c r="E214" s="7" t="str">
        <x:v>S3018</x:v>
      </x:c>
      <x:c r="F214" s="7" t="str">
        <x:v>工場データ・計画・資源の連携</x:v>
      </x:c>
      <x:c r="G214" s="7" t="str">
        <x:v>原典抜粋：中小・中堅製造業向けセミオーダー型生産管理システム「A's Style」および「A's Style SaaS」を展示いたします。 / 販売管理、生産管理、購買管理、在庫管理、原価管理を一元管理し、製造現場の業務効率化と情報の見える化を実現します。 / 製番管理方式の生産管理システムとなります。 / 中小・中堅製造業のお客様を中心に、製造DXや生産管理システムの導入をご検討中の方におすすめです。 / セミオーダー型生産管理システム「A's</x:v>
      </x:c>
      <x:c r="H214" s="7" t="str">
        <x:v>現物・工具マスター・進捗が分断し変更に追従しにくい。</x:v>
      </x:c>
      <x:c r="I214" s="7" t="str">
        <x:v>2024原典抜粋：セミオーダー型生産管理システム『A’s Style (アズスタイル)』 中小・中堅製造業様向け販売・購買・生産・在庫・原価管理がオールインワンになったクラウド型の生産管理システムです。利用ユーザー数は無制限！ 自社開発ローコードツールからスタートしたセミオーダー型なので、個社様ごとの業種・業態・ニーズに柔軟にお応えします。他社システムとも柔軟に連携が可能！ AI OCR・RPAとの組合せ提案も可能です。 セミオーダー型生産管理システム『A’s Style (アズスタイル)』 A’s Styleは柔軟性、拡張性の高い</x:v>
      </x:c>
      <x:c r="J214" s="7" t="str">
        <x:v>2026原典抜粋：中小・中堅製造業向けセミオーダー型生産管理システム「A's Style」および「A's Style SaaS」を展示いたします。 / 販売管理、生産管理、購買管理、在庫管理、原価管理を一元管理し、製造現場の業務効率化と情報の見える化を実現します。 / 製番管理方式の生産管理システムとなります。 / 中小・中堅製造業のお客様を中心に、製造DXや生産管理システムの導入をご検討中の方におすすめです。 / セミオーダー型生産管理システム「A's</x:v>
      </x:c>
      <x:c r="K214" s="7" t="str">
        <x:v>原典記述の対照。個別機能の追加・性能差・初登場年は未判定。</x:v>
      </x:c>
      <x:c r="L214" s="7" t="str">
        <x:v>両年説明あり・機能差未判定</x:v>
      </x:c>
      <x:c r="M214" s="7" t="str">
        <x:v>出展説明の一次分類</x:v>
      </x:c>
      <x:c r="N214" s="7" t="str"/>
      <x:c r="O214" s="7" t="str">
        <x:v>承認・例外対応・停止・復帰の境界は未確認</x:v>
      </x:c>
      <x:c r="P214" s="7" t="str">
        <x:v>2026公式カタログ掲載・現地未確認
2026展示予定。既存製品・参考出展・構想等は原典で個別確認</x:v>
      </x:c>
      <x:c r="Q214" s="7" t="str">
        <x:v>AC070</x:v>
      </x:c>
      <x:c t="str" r="R214" s="21">
        <x:f>HYPERLINK("https://www.jimtof.org/search/jp/ESdetails?e=iRQKn5kaGi8","JIMTOF2026 出展ページ")</x:f>
        <x:v>JIMTOF2026 出展ページ</x:v>
      </x:c>
      <x:c t="str" r="S214" s="21">
        <x:f>HYPERLINK("https://www.jimtof.org/2024/search/jp/ESdetails?e=-rwblKpSVo0","JIMTOF2024 出展ページ")</x:f>
        <x:v>JIMTOF2024 出展ページ</x:v>
      </x:c>
      <x:c r="T214" s="7" t="str">
        <x:v>EEX-EXH-2026-5f368e093f795d47: https://www.jimtof.org/search/jp/ESdetails?e=iRQKn5kaGi8
該当箇所: 出展紹介・主な出展物。追加カードの原典抜粋で検索
EEX-EXH-2024-3e753591adc4594a: https://www.jimtof.org/2024/search/jp/ESdetails?e=-rwblKpSVo0
該当箇所: 出展紹介・主な出展物。追加カードの原典抜粋で検索</x:v>
      </x:c>
    </x:row>
    <x:row r="215" ht="155" customHeight="1">
      <x:c r="A215" s="7" t="str">
        <x:v>工場運用</x:v>
      </x:c>
      <x:c r="B215" s="7" t="str">
        <x:v>工場データ・計画・資源の連携</x:v>
      </x:c>
      <x:c r="C215" s="20" t="str">
        <x:v>株式会社ゴードーソリューション</x:v>
      </x:c>
      <x:c r="D215" s="7" t="str">
        <x:v>新製品「NAZCA5 GEMBACO」をはじめ、製造現場のデジタル化を支援する製品を展示します。</x:v>
      </x:c>
      <x:c r="E215" s="7" t="str">
        <x:v>S4009</x:v>
      </x:c>
      <x:c r="F215" s="7" t="str">
        <x:v>図面管理・CAM・稼働可視化</x:v>
      </x:c>
      <x:c r="G215" s="7" t="str">
        <x:v>NAZCA5 GEMBACO、CAD/CAM、LINKA3を紹介。図面管理へのAI使用は未確認。</x:v>
      </x:c>
      <x:c r="H215" s="7" t="str">
        <x:v>過去図面と原価を探し、案件ごとに見積を組み立てる負担。 ／ 工具・機械・段取り制約を織り込む工程作成の技能依存。 ／ 現物・工具マスター・進捗が分断し変更に追従しにくい。 ／ 形状の設計変更や加工前の確認に手間がかかる。 ／ 図面・工具・品質・工程情報が別々に保存され、再利用しにくい。</x:v>
      </x:c>
      <x:c r="I215" s="7" t="str">
        <x:v>2024原典抜粋：ゴードーソリューションは、CAD/CAMや加工シミュレーション・NCプログラム通信など、NC工作機械向けソフトウェアの開発から販売・サポートまでをすべて自社で行っているソフトウェアメーカーです。 ナスカの愛称で親しまれている当社製品は、これまで多くのお客様にご愛顧いただき、シリーズ累計21,000事業所に導入いただいています。（2023年3月時点） 今回は、生産設備向けIoTシステム「Nazca Neo Linka」をはじめ、CAD/CAM、図面管理システムのデモンストレーションを行います。 「Nazca Neo </x:v>
      </x:c>
      <x:c r="J215" s="7" t="str">
        <x:v>2026原典抜粋：ゴードーソリューションは、CAD/CAMや加工シミュレーション、NCプログラム通信など、NC工作機械向けソフトウェアの開発から販売・サポートまでを一貫して自社で行うソフトウェアメーカーです。 / 今回は、加工現場向け図面＆データ管理ソフト「NAZCA5 GEMBACO」をはじめ、CAD/CAM製品や、IoTによる工場の見える化システム「LINKA3」を展示します。 / また、会議棟では「加工現場のデータ活用DX」をテーマにした実践的なセ</x:v>
      </x:c>
      <x:c r="K215" s="7" t="str">
        <x:v>原典記述の対照。個別機能の追加・性能差・初登場年は未判定。</x:v>
      </x:c>
      <x:c r="L215" s="7" t="str">
        <x:v>両年説明あり・機能差未判定</x:v>
      </x:c>
      <x:c r="M215" s="7" t="str">
        <x:v>出展説明の一次分類</x:v>
      </x:c>
      <x:c r="N215" s="7" t="str">
        <x:v>関連（図面・文書管理）。AI見積の直接事例ではない。</x:v>
      </x:c>
      <x:c r="O215" s="7" t="str">
        <x:v>承認・例外対応・停止・復帰の境界は未確認</x:v>
      </x:c>
      <x:c r="P215" s="7" t="str">
        <x:v>2026公式カタログ掲載・現地未確認
2026展示予定。既存製品・参考出展・構想等は原典で個別確認</x:v>
      </x:c>
      <x:c r="Q215" s="7" t="str">
        <x:v>AC074</x:v>
      </x:c>
      <x:c t="str" r="R215" s="21">
        <x:f>HYPERLINK("https://www.jimtof.org/search/jp/ESdetails?e=oO-G_YDcimE","JIMTOF2026 出展ページ")</x:f>
        <x:v>JIMTOF2026 出展ページ</x:v>
      </x:c>
      <x:c t="str" r="S215" s="21">
        <x:f>HYPERLINK("https://www.jimtof.org/2024/search/jp/ESdetails?e=GozGZRxlviw","JIMTOF2024 出展ページ")</x:f>
        <x:v>JIMTOF2024 出展ページ</x:v>
      </x:c>
      <x:c r="T215" s="7" t="str">
        <x:v>EEX-EXH-2026-a64bab179251039a: https://www.jimtof.org/search/jp/ESdetails?e=oO-G_YDcimE
該当箇所: 出展紹介・主な出展物。追加カードの原典抜粋で検索
EEX-EXH-2024-a1ef24027ba76956: https://www.jimtof.org/2024/search/jp/ESdetails?e=GozGZRxlviw
該当箇所: 出展紹介・主な出展物。追加カードの原典抜粋で検索</x:v>
      </x:c>
    </x:row>
    <x:row r="216" ht="155" customHeight="1">
      <x:c r="A216" s="7" t="str">
        <x:v>工場運用</x:v>
      </x:c>
      <x:c r="B216" s="7" t="str">
        <x:v>工場データ・計画・資源の連携</x:v>
      </x:c>
      <x:c r="C216" s="20" t="str">
        <x:v>株式会社C＆Gシステムズ</x:v>
      </x:c>
      <x:c r="D216" s="7" t="str">
        <x:v>《　主な出展内容　》</x:v>
      </x:c>
      <x:c r="E216" s="7" t="str">
        <x:v>E2008</x:v>
      </x:c>
      <x:c r="F216" s="7" t="str">
        <x:v>部品・金型のCAD/CAMと生産管理</x:v>
      </x:c>
      <x:c r="G216" s="7" t="str">
        <x:v>CAM-TOOL・EXCESS-HYBRIDⅡ・PartsCAM等。AI・DXの紹介内容と機能の対応は未精査。</x:v>
      </x:c>
      <x:c r="H216" s="7" t="str">
        <x:v>工具・機械・段取り制約を織り込む工程作成の技能依存。 ／ 現物・工具マスター・進捗が分断し変更に追従しにくい。 ／ 形状の設計変更や加工前の確認に手間がかかる。</x:v>
      </x:c>
      <x:c r="I216" s="7" t="str">
        <x:v>2024原典抜粋：CGSが提案する「省力化・多様化・周辺との親和性」をテーマに、昨今のキーワード（AI・ギガキャスト・DX）から弊社の最新技術を様々な事例（加工サンプルなど）を通じてご紹介させていたく他、次期バージョン情報をいち早くお届けします。また、日工会主催のイベントに協賛いたします。あわせてご参加ください。 ●「金属Addtive Manufacturing セミナー（11/6）」 DED 方式金属AM 用CAD/CAM「CAM-TOOL AM」の概要と導入事例 ●「工作機械関連のソフトウエア・ワークショップ（11/7）」 最</x:v>
      </x:c>
      <x:c r="J216" s="7" t="str">
        <x:v>2026原典抜粋：「自動化・省力化・多様化・周辺機器との親和性」をテーマに、昨今のキーワード（AI・DX）から弊社の最新技術を様々な事例（加工サンプルなど）を通じてご紹介させていたく他、次期バージョン情報をいち早くお届けします。 / ● CAD/CAM システム、生産管理システムの展示 / ● CAD/CAM 関連 / CAM-TOOL／EXCESS-HYBRIDⅡ／PartsCAM／CG Series for SOLIDWORKS（アドオン） / CA</x:v>
      </x:c>
      <x:c r="K216" s="7" t="str">
        <x:v>原典記述の対照。個別機能の追加・性能差・初登場年は未判定。</x:v>
      </x:c>
      <x:c r="L216" s="7" t="str">
        <x:v>両年説明あり・機能差未判定</x:v>
      </x:c>
      <x:c r="M216" s="7" t="str">
        <x:v>出展説明の一次分類</x:v>
      </x:c>
      <x:c r="N216" s="7" t="str"/>
      <x:c r="O216" s="7" t="str">
        <x:v>承認・例外対応・停止・復帰の境界は未確認</x:v>
      </x:c>
      <x:c r="P216" s="7" t="str">
        <x:v>2026公式カタログ掲載・現地未確認
2026展示予定。既存製品・参考出展・構想等は原典で個別確認</x:v>
      </x:c>
      <x:c r="Q216" s="7" t="str">
        <x:v>AC095</x:v>
      </x:c>
      <x:c t="str" r="R216" s="21">
        <x:f>HYPERLINK("https://www.jimtof.org/search/jp/ESdetails?e=U_kHbhLD6rU","JIMTOF2026 出展ページ")</x:f>
        <x:v>JIMTOF2026 出展ページ</x:v>
      </x:c>
      <x:c t="str" r="S216" s="21">
        <x:f>HYPERLINK("https://www.jimtof.org/2024/search/jp/ESdetails?e=RVv4M6_8NyQ","JIMTOF2024 出展ページ")</x:f>
        <x:v>JIMTOF2024 出展ページ</x:v>
      </x:c>
      <x:c r="T216" s="7" t="str">
        <x:v>EEX-EXH-2026-8d7ad5c62f3412a9: https://www.jimtof.org/search/jp/ESdetails?e=U_kHbhLD6rU
該当箇所: 出展紹介・主な出展物。追加カードの原典抜粋で検索
EEX-EXH-2024-bf5a20df5ebf4ff9: https://www.jimtof.org/2024/search/jp/ESdetails?e=RVv4M6_8NyQ
該当箇所: 出展紹介・主な出展物。追加カードの原典抜粋で検索</x:v>
      </x:c>
    </x:row>
    <x:row r="217" ht="155" customHeight="1">
      <x:c r="A217" s="7" t="str">
        <x:v>工場運用</x:v>
      </x:c>
      <x:c r="B217" s="7" t="str">
        <x:v>工場データ・計画・資源の連携</x:v>
      </x:c>
      <x:c r="C217" s="20" t="str">
        <x:v>芝浦機械株式会社</x:v>
      </x:c>
      <x:c r="D217" s="7" t="str">
        <x:v>コンパクトかつ高剛性なテーブル形横中ぐり盤BTD-200QSを出展します。直径200mmのクイルを標準装備し、突き出し加工に優れ、強力な重切削が可能で</x:v>
      </x:c>
      <x:c r="E217" s="7" t="str">
        <x:v>E2031</x:v>
      </x:c>
      <x:c r="F217" s="7" t="str">
        <x:v>工場データ・計画・資源の連携</x:v>
      </x:c>
      <x:c r="G217" s="7" t="str">
        <x:v>原典抜粋：機械展示と合わせ、工場/機械の見える化や生産性向上を支援するDXの展示もございます。</x:v>
      </x:c>
      <x:c r="H217" s="7" t="str">
        <x:v>現物・工具マスター・進捗が分断し変更に追従しにくい。</x:v>
      </x:c>
      <x:c r="I217" s="7" t="str">
        <x:v>2024原典抜粋：出展テーマは、「経験に裏打ちされた信頼と技術力で未来を形に」とし、弊社の最新鋭機、並びにシステムを一堂に展示しております。是非、弊社小間にお立ち寄り下さい。皆様の来場をお待ちしております。 JIMTOF2024では、横中ぐりフライス盤（BTH-150.R35）、超精密マシニングセンタ（UVM-450D(5AH)、超精密非球面加工機（ULG-100G(S)）を出展致します。その他、(1)摩擦攪拌接合（FSW）(2)金属３D積層造形技術(3)DX Digital Transformation）の技術展示を致します。</x:v>
      </x:c>
      <x:c r="J217" s="7" t="str">
        <x:v>2026原典抜粋：機械展示と合わせ、工場/機械の見える化や生産性向上を支援するDXの展示もございます。</x:v>
      </x:c>
      <x:c r="K217" s="7" t="str">
        <x:v>原典記述の対照。個別機能の追加・性能差・初登場年は未判定。</x:v>
      </x:c>
      <x:c r="L217" s="7" t="str">
        <x:v>両年説明あり・機能差未判定</x:v>
      </x:c>
      <x:c r="M217" s="7" t="str">
        <x:v>出展説明の一次分類</x:v>
      </x:c>
      <x:c r="N217" s="7" t="str"/>
      <x:c r="O217" s="7" t="str">
        <x:v>承認・例外対応・停止・復帰の境界は未確認</x:v>
      </x:c>
      <x:c r="P217" s="7" t="str">
        <x:v>2026公式カタログ掲載・現地未確認
2026展示予定。既存製品・参考出展・構想等は原典で個別確認</x:v>
      </x:c>
      <x:c r="Q217" s="7" t="str">
        <x:v>AC103</x:v>
      </x:c>
      <x:c t="str" r="R217" s="21">
        <x:f>HYPERLINK("https://www.jimtof.org/search/jp/ESdetails?e=-bHzD_rkD3E","JIMTOF2026 出展ページ")</x:f>
        <x:v>JIMTOF2026 出展ページ</x:v>
      </x:c>
      <x:c t="str" r="S217" s="21">
        <x:f>HYPERLINK("https://www.jimtof.org/2024/search/jp/ESdetails?e=I4mSRSaMTqI","JIMTOF2024 出展ページ")</x:f>
        <x:v>JIMTOF2024 出展ページ</x:v>
      </x:c>
      <x:c r="T217" s="7" t="str">
        <x:v>EEX-EXH-2026-2d71c6ed52b9c1a3: https://www.jimtof.org/search/jp/ESdetails?e=-bHzD_rkD3E
該当箇所: 出展紹介・主な出展物。追加カードの原典抜粋で検索
EEX-EXH-2024-3086b93d4fddd991: https://www.jimtof.org/2024/search/jp/ESdetails?e=I4mSRSaMTqI
該当箇所: 出展紹介・主な出展物。追加カードの原典抜粋で検索</x:v>
      </x:c>
    </x:row>
    <x:row r="218" ht="155" customHeight="1">
      <x:c r="A218" s="7" t="str">
        <x:v>工場運用</x:v>
      </x:c>
      <x:c r="B218" s="7" t="str">
        <x:v>工場データ・計画・資源の連携</x:v>
      </x:c>
      <x:c r="C218" s="20" t="str">
        <x:v>SHODA株式会社</x:v>
      </x:c>
      <x:c r="D218" s="7" t="str">
        <x:v>樹脂加工専用プレミアムNCルータ　PLANET CRYSTAL NCP5000</x:v>
      </x:c>
      <x:c r="E218" s="7" t="str">
        <x:v>S1070</x:v>
      </x:c>
      <x:c r="F218" s="7" t="str">
        <x:v>工場データ・計画・資源の連携</x:v>
      </x:c>
      <x:c r="G218" s="7" t="str">
        <x:v>原典抜粋：さらに、NCルータをインターネットに繋いで日々の加工個数や加工コスト、保守状況などを可視化できるIoTサービスも展示。</x:v>
      </x:c>
      <x:c r="H218" s="7" t="str">
        <x:v>現物・工具マスター・進捗が分断し変更に追従しにくい。</x:v>
      </x:c>
      <x:c r="I218" s="7" t="str">
        <x:v>2024原典抜粋：『NCルータ専門メーカーのSHODA』 展示機械のBS101Fは高速加工、ユニバーサルヘッドの特殊な5軸制御の動きが見どころ！ 会場ではアルミ、樹脂、ウレタン、ゴムなど様々な素材を鋸を使って切断する動きをご覧ください。 ハードだけではない、NCルータに付随するソフトの開発をすることでお客様の生産を助けるソフトウェアを展示会で初披露！ JIMTOF2024では機械だけではなくソフト、データの面でも技術力をお見せします！ ぜひ会場でハードとソフトの融合をご覧ください。 ■BS101F ＊早送り速度60m/minでありな</x:v>
      </x:c>
      <x:c r="J218" s="7" t="str">
        <x:v>2026原典抜粋：さらに、NCルータをインターネットに繋いで日々の加工個数や加工コスト、保守状況などを可視化できるIoTサービスも展示。</x:v>
      </x:c>
      <x:c r="K218" s="7" t="str">
        <x:v>原典記述の対照。個別機能の追加・性能差・初登場年は未判定。</x:v>
      </x:c>
      <x:c r="L218" s="7" t="str">
        <x:v>両年説明あり・機能差未判定</x:v>
      </x:c>
      <x:c r="M218" s="7" t="str">
        <x:v>出展説明の一次分類</x:v>
      </x:c>
      <x:c r="N218" s="7" t="str"/>
      <x:c r="O218" s="7" t="str">
        <x:v>承認・例外対応・停止・復帰の境界は未確認</x:v>
      </x:c>
      <x:c r="P218" s="7" t="str">
        <x:v>2026公式カタログ掲載・現地未確認
2026展示予定。既存製品・参考出展・構想等は原典で個別確認</x:v>
      </x:c>
      <x:c r="Q218" s="7" t="str">
        <x:v>AC106</x:v>
      </x:c>
      <x:c t="str" r="R218" s="21">
        <x:f>HYPERLINK("https://www.jimtof.org/search/jp/ESdetails?e=BeXt5Rn6DGg","JIMTOF2026 出展ページ")</x:f>
        <x:v>JIMTOF2026 出展ページ</x:v>
      </x:c>
      <x:c t="str" r="S218" s="21">
        <x:f>HYPERLINK("https://www.jimtof.org/2024/search/jp/ESdetails?e=6sshXwlULlE","JIMTOF2024 出展ページ")</x:f>
        <x:v>JIMTOF2024 出展ページ</x:v>
      </x:c>
      <x:c r="T218" s="7" t="str">
        <x:v>EEX-EXH-2026-96430d6788c41c87: https://www.jimtof.org/search/jp/ESdetails?e=BeXt5Rn6DGg
該当箇所: 出展紹介・主な出展物。追加カードの原典抜粋で検索
EEX-EXH-2024-cc08eb7078f57ea3: https://www.jimtof.org/2024/search/jp/ESdetails?e=6sshXwlULlE
該当箇所: 出展紹介・主な出展物。追加カードの原典抜粋で検索</x:v>
      </x:c>
    </x:row>
    <x:row r="219" ht="155" customHeight="1">
      <x:c r="A219" s="7" t="str">
        <x:v>工場運用</x:v>
      </x:c>
      <x:c r="B219" s="7" t="str">
        <x:v>工場データ・計画・資源の連携</x:v>
      </x:c>
      <x:c r="C219" s="20" t="str">
        <x:v>シンクビジョン株式会社</x:v>
      </x:c>
      <x:c r="D219" s="7" t="str">
        <x:v>工程管理支援システム「cycleon（サイクロン）」</x:v>
      </x:c>
      <x:c r="E219" s="7" t="str">
        <x:v>S3022</x:v>
      </x:c>
      <x:c r="F219" s="7" t="str">
        <x:v>工場データ・計画・資源の連携</x:v>
      </x:c>
      <x:c r="G219" s="7" t="str">
        <x:v>原典抜粋：工程管理支援システム「cycleon」は、金型製造をはじめとする個別受注生産型の製造現場のために開発した「現場発」のシステムです。 / 実際の金型工場と日々意見を交わしながら開発しているため、突発的な予定変更やトラブルが絶えない多品種・小ロットの現場に、本当に即した柔軟な工程管理を実現します。 / 負荷状況の可視化、自動日程調整、リアルタイムの進捗把握により、「いつ・どの工程に余力があるか」をひと目で確認できます。 / cycleonと</x:v>
      </x:c>
      <x:c r="H219" s="7" t="str">
        <x:v>現物・工具マスター・進捗が分断し変更に追従しにくい。</x:v>
      </x:c>
      <x:c r="I219" s="7" t="str">
        <x:v>同一正規化名称の2024詳細なし。新規出展・技術不存在とは判断しない。</x:v>
      </x:c>
      <x:c r="J219" s="7" t="str">
        <x:v>2026原典抜粋：工程管理支援システム「cycleon」は、金型製造をはじめとする個別受注生産型の製造現場のために開発した「現場発」のシステムです。 / 実際の金型工場と日々意見を交わしながら開発しているため、突発的な予定変更やトラブルが絶えない多品種・小ロットの現場に、本当に即した柔軟な工程管理を実現します。 / 負荷状況の可視化、自動日程調整、リアルタイムの進捗把握により、「いつ・どの工程に余力があるか」をひと目で確認できます。 / cycleonと</x:v>
      </x:c>
      <x:c r="K219" s="7" t="str">
        <x:v>原典記述の対照。個別機能の追加・性能差・初登場年は未判定。</x:v>
      </x:c>
      <x:c r="L219" s="7" t="str">
        <x:v>年度資料不足・比較不能</x:v>
      </x:c>
      <x:c r="M219" s="7" t="str">
        <x:v>出展説明の一次分類</x:v>
      </x:c>
      <x:c r="N219" s="7" t="str"/>
      <x:c r="O219" s="7" t="str">
        <x:v>承認・例外対応・停止・復帰の境界は未確認</x:v>
      </x:c>
      <x:c r="P219" s="7" t="str">
        <x:v>2026公式カタログ掲載・現地未確認
2026展示予定。既存製品・参考出展・構想等は原典で個別確認</x:v>
      </x:c>
      <x:c r="Q219" s="7" t="str">
        <x:v>AC109</x:v>
      </x:c>
      <x:c t="str" r="R219" s="21">
        <x:f>HYPERLINK("https://www.jimtof.org/search/jp/ESdetails?e=WPabQbHCkho","JIMTOF2026 出展ページ")</x:f>
        <x:v>JIMTOF2026 出展ページ</x:v>
      </x:c>
      <x:c r="S219" s="21" t="str"/>
      <x:c r="T219" s="7" t="str">
        <x:v>EEX-EXH-2026-618e70ffccfa3638: https://www.jimtof.org/search/jp/ESdetails?e=WPabQbHCkho
該当箇所: 出展紹介・主な出展物。追加カードの原典抜粋で検索</x:v>
      </x:c>
    </x:row>
    <x:row r="220" ht="155" customHeight="1">
      <x:c r="A220" s="7" t="str">
        <x:v>工場運用</x:v>
      </x:c>
      <x:c r="B220" s="7" t="str">
        <x:v>工場データ・計画・資源の連携</x:v>
      </x:c>
      <x:c r="C220" s="20" t="str">
        <x:v>トルンプ株式会社</x:v>
      </x:c>
      <x:c r="D220" s="7" t="str">
        <x:v>開先加工サンプル展示：2Dレーザ加工機「TruLaser3000シリーズ」</x:v>
      </x:c>
      <x:c r="E220" s="7" t="str">
        <x:v>E1044</x:v>
      </x:c>
      <x:c r="F220" s="7" t="str">
        <x:v>工場データ・計画・資源の連携 ／ 自動加工セル・工程集約</x:v>
      </x:c>
      <x:c r="G220" s="7" t="str">
        <x:v>原典抜粋：「生産現場の自動化をかなえるトルンプの板金加工技術とソリューション」 / 【注目２】スマートファクトリーソリューション：現場のボトルネックを「DX」で突破する / 人手不足や多品種少量生産に対応するための課題を、トルンプの機械・ソフトウェア・自動化技術 / をつなぐワークフロー『Oseon』『Trutops Boost』がDXで解決。</x:v>
      </x:c>
      <x:c r="H220" s="7" t="str">
        <x:v>現物・工具マスター・進捗が分断し変更に追従しにくい。 ／ 設備間の持替えや繰返し作業が、人手・待ち時間・品質差につながる。</x:v>
      </x:c>
      <x:c r="I220" s="7" t="str">
        <x:v>2024原典抜粋： </x:v>
      </x:c>
      <x:c r="J220" s="7" t="str">
        <x:v>2026原典抜粋：「生産現場の自動化をかなえるトルンプの板金加工技術とソリューション」 / 【注目２】スマートファクトリーソリューション：現場のボトルネックを「DX」で突破する / 人手不足や多品種少量生産に対応するための課題を、トルンプの機械・ソフトウェア・自動化技術 / をつなぐワークフロー『Oseon』『Trutops Boost』がDXで解決。</x:v>
      </x:c>
      <x:c r="K220" s="7" t="str">
        <x:v>原典記述の対照。個別機能の追加・性能差・初登場年は未判定。</x:v>
      </x:c>
      <x:c r="L220" s="7" t="str">
        <x:v>両年説明あり・機能差未判定</x:v>
      </x:c>
      <x:c r="M220" s="7" t="str">
        <x:v>出展説明の一次分類</x:v>
      </x:c>
      <x:c r="N220" s="7" t="str"/>
      <x:c r="O220" s="7" t="str">
        <x:v>承認・例外対応・停止・復帰の境界は未確認</x:v>
      </x:c>
      <x:c r="P220" s="7" t="str">
        <x:v>2026公式カタログ掲載・現地未確認
2026展示予定。既存製品・参考出展・構想等は原典で個別確認</x:v>
      </x:c>
      <x:c r="Q220" s="7" t="str">
        <x:v>AC156</x:v>
      </x:c>
      <x:c t="str" r="R220" s="21">
        <x:f>HYPERLINK("https://www.jimtof.org/search/jp/ESdetails?e=P89ltew0qg0","JIMTOF2026 出展ページ")</x:f>
        <x:v>JIMTOF2026 出展ページ</x:v>
      </x:c>
      <x:c t="str" r="S220" s="21">
        <x:f>HYPERLINK("https://www.jimtof.org/2024/search/jp/ESdetails?e=4EKORtm-PKw","JIMTOF2024 出展ページ")</x:f>
        <x:v>JIMTOF2024 出展ページ</x:v>
      </x:c>
      <x:c r="T220" s="7" t="str">
        <x:v>EEX-EXH-2026-e520f1cac56a6424: https://www.jimtof.org/search/jp/ESdetails?e=P89ltew0qg0
該当箇所: 出展紹介・主な出展物。追加カードの原典抜粋で検索
EEX-EXH-2024-d54393fabbd58a8d: https://www.jimtof.org/2024/search/jp/ESdetails?e=4EKORtm-PKw
該当箇所: 出展紹介・主な出展物。追加カードの原典抜粋で検索</x:v>
      </x:c>
    </x:row>
    <x:row r="221" ht="155" customHeight="1">
      <x:c r="A221" s="7" t="str">
        <x:v>工場運用</x:v>
      </x:c>
      <x:c r="B221" s="7" t="str">
        <x:v>工場データ・計画・資源の連携</x:v>
      </x:c>
      <x:c r="C221" s="20" t="str">
        <x:v>日本ツクリダス株式会社</x:v>
      </x:c>
      <x:c r="D221" s="7" t="str">
        <x:v>日本ツクリダスは「ものづくりサービス企業」として、「生産管理システム」「デザイン制作」「コンサルティング」の３つのサービスを提供しています。</x:v>
      </x:c>
      <x:c r="E221" s="7" t="str">
        <x:v>S4012</x:v>
      </x:c>
      <x:c r="F221" s="7" t="str">
        <x:v>工場データ・計画・資源の連携</x:v>
      </x:c>
      <x:c r="G221" s="7" t="str">
        <x:v>原典抜粋：日本ツクリダスは「ものづくりサービス企業」として、「生産管理システム」「デザイン制作」「コンサルティング」の３つのサービスを提供しています。</x:v>
      </x:c>
      <x:c r="H221" s="7" t="str">
        <x:v>現物・工具マスター・進捗が分断し変更に追従しにくい。</x:v>
      </x:c>
      <x:c r="I221" s="7" t="str">
        <x:v>2024原典抜粋：「DX、何から始めれば良いかわからない･･･」という町工場の方は必見です。 町工場専用の生産管理システム“エムネットくらうど”は 「システムは多機能がすぎて使いこなせない」「費用が高い」「手間がかかってしまう」などのシステム導入時のあるある問題を徹底的にカバーします。納期管理・進捗管理・日報収集に絞ったカンタン・シンプル機能で、“町工場のDX”をサポートいたします。 生産管理システム「エムネットくらうど」</x:v>
      </x:c>
      <x:c r="J221" s="7" t="str">
        <x:v>2026原典抜粋：日本ツクリダスは「ものづくりサービス企業」として、「生産管理システム」「デザイン制作」「コンサルティング」の３つのサービスを提供しています。</x:v>
      </x:c>
      <x:c r="K221" s="7" t="str">
        <x:v>原典記述の対照。個別機能の追加・性能差・初登場年は未判定。</x:v>
      </x:c>
      <x:c r="L221" s="7" t="str">
        <x:v>両年説明あり・機能差未判定</x:v>
      </x:c>
      <x:c r="M221" s="7" t="str">
        <x:v>出展説明の一次分類</x:v>
      </x:c>
      <x:c r="N221" s="7" t="str"/>
      <x:c r="O221" s="7" t="str">
        <x:v>承認・例外対応・停止・復帰の境界は未確認</x:v>
      </x:c>
      <x:c r="P221" s="7" t="str">
        <x:v>2026公式カタログ掲載・現地未確認
2026展示予定。既存製品・参考出展・構想等は原典で個別確認</x:v>
      </x:c>
      <x:c r="Q221" s="7" t="str">
        <x:v>AC180</x:v>
      </x:c>
      <x:c t="str" r="R221" s="21">
        <x:f>HYPERLINK("https://www.jimtof.org/search/jp/ESdetails?e=_nI6m1Y6VMA","JIMTOF2026 出展ページ")</x:f>
        <x:v>JIMTOF2026 出展ページ</x:v>
      </x:c>
      <x:c t="str" r="S221" s="21">
        <x:f>HYPERLINK("https://www.jimtof.org/2024/search/jp/ESdetails?e=DWItcWihgDk","JIMTOF2024 出展ページ")</x:f>
        <x:v>JIMTOF2024 出展ページ</x:v>
      </x:c>
      <x:c r="T221" s="7" t="str">
        <x:v>EEX-EXH-2026-0c92a1e1f2d8fda4: https://www.jimtof.org/search/jp/ESdetails?e=_nI6m1Y6VMA
該当箇所: 出展紹介・主な出展物。追加カードの原典抜粋で検索
EEX-EXH-2024-195d543c3d8e6054: https://www.jimtof.org/2024/search/jp/ESdetails?e=DWItcWihgDk
該当箇所: 出展紹介・主な出展物。追加カードの原典抜粋で検索</x:v>
      </x:c>
    </x:row>
    <x:row r="222" ht="155" customHeight="1">
      <x:c r="A222" s="7" t="str">
        <x:v>工場運用</x:v>
      </x:c>
      <x:c r="B222" s="7" t="str">
        <x:v>工場データ・計画・資源の連携</x:v>
      </x:c>
      <x:c r="C222" s="20" t="str">
        <x:v>株式会社マシンソル</x:v>
      </x:c>
      <x:c r="D222" s="7" t="str">
        <x:v>①【ms-Machine monitor】 機械稼働監視システム</x:v>
      </x:c>
      <x:c r="E222" s="7" t="str">
        <x:v>S4006</x:v>
      </x:c>
      <x:c r="F222" s="7" t="str">
        <x:v>工場データ・計画・資源の連携</x:v>
      </x:c>
      <x:c r="G222" s="7" t="str">
        <x:v>原典抜粋：弊社独自の機械稼働監視システム【ms-Machinemonitor】、工程スケジューラ＆進捗管理システム / また、薬品を使わずに工場の冷却塔・配管に付着するスケールを全自動で除去する、電気分解式スケール除去装置の【ElectoroLife】も同時展示しております。 / ①【ms-Machine monitor】 機械稼働監視システム / ②【ms-Pro management】スケジューラ＆進捗監視システム / ⑤【ms-Mainte</x:v>
      </x:c>
      <x:c r="H222" s="7" t="str">
        <x:v>現物・工具マスター・進捗が分断し変更に追従しにくい。</x:v>
      </x:c>
      <x:c r="I222" s="7" t="str">
        <x:v>2024原典抜粋：工場・製造現場の見える化を実現する「機械稼働・管理集計システム」や、製造現場向けの使いやすい 「部品工程スケジューラ＆進捗管理システム」を出展します。 また、冷却塔などの循環水系に付着するスケールを電解技術を用いて強力に除去する装置や、銅イオンを利用し藻の発生を抑制する殺藻装置も同時展示致します。 ① ms-Machine monitor 「機械稼働管理・集計システム」 ② ms-Pro management 「部品工程スケジューラ＆進捗管理システム」 ③ Electro Life 「循環冷却水系に付着するスケール</x:v>
      </x:c>
      <x:c r="J222" s="7" t="str">
        <x:v>2026原典抜粋：弊社独自の機械稼働監視システム【ms-Machinemonitor】、工程スケジューラ＆進捗管理システム / また、薬品を使わずに工場の冷却塔・配管に付着するスケールを全自動で除去する、電気分解式スケール除去装置の【ElectoroLife】も同時展示しております。 / ①【ms-Machine monitor】 機械稼働監視システム / ②【ms-Pro management】スケジューラ＆進捗監視システム / ⑤【ms-Mainte</x:v>
      </x:c>
      <x:c r="K222" s="7" t="str">
        <x:v>原典記述の対照。個別機能の追加・性能差・初登場年は未判定。</x:v>
      </x:c>
      <x:c r="L222" s="7" t="str">
        <x:v>両年説明あり・機能差未判定</x:v>
      </x:c>
      <x:c r="M222" s="7" t="str">
        <x:v>出展説明の一次分類</x:v>
      </x:c>
      <x:c r="N222" s="7" t="str"/>
      <x:c r="O222" s="7" t="str">
        <x:v>承認・例外対応・停止・復帰の境界は未確認</x:v>
      </x:c>
      <x:c r="P222" s="7" t="str">
        <x:v>2026公式カタログ掲載・現地未確認
2026展示予定。既存製品・参考出展・構想等は原典で個別確認</x:v>
      </x:c>
      <x:c r="Q222" s="7" t="str">
        <x:v>AC211</x:v>
      </x:c>
      <x:c t="str" r="R222" s="21">
        <x:f>HYPERLINK("https://www.jimtof.org/search/jp/ESdetails?e=5mtGGNcGld4","JIMTOF2026 出展ページ")</x:f>
        <x:v>JIMTOF2026 出展ページ</x:v>
      </x:c>
      <x:c t="str" r="S222" s="21">
        <x:f>HYPERLINK("https://www.jimtof.org/2024/search/jp/ESdetails?e=GXCeK2ebc-k","JIMTOF2024 出展ページ")</x:f>
        <x:v>JIMTOF2024 出展ページ</x:v>
      </x:c>
      <x:c r="T222" s="7" t="str">
        <x:v>EEX-EXH-2026-c8322aa501c4ccac: https://www.jimtof.org/search/jp/ESdetails?e=5mtGGNcGld4
該当箇所: 出展紹介・主な出展物。追加カードの原典抜粋で検索
EEX-EXH-2024-d72d23dab7df27a9: https://www.jimtof.org/2024/search/jp/ESdetails?e=GXCeK2ebc-k
該当箇所: 出展紹介・主な出展物。追加カードの原典抜粋で検索</x:v>
      </x:c>
    </x:row>
    <x:row r="223" ht="155" customHeight="1">
      <x:c r="A223" s="7" t="str">
        <x:v>工場運用</x:v>
      </x:c>
      <x:c r="B223" s="7" t="str">
        <x:v>工場データ・計画・資源の連携</x:v>
      </x:c>
      <x:c r="C223" s="20" t="str">
        <x:v>株式会社三井ハイテック</x:v>
      </x:c>
      <x:c r="D223" s="7" t="str">
        <x:v>精密NC研削盤(自動搬送、機上計測）</x:v>
      </x:c>
      <x:c r="E223" s="7" t="str">
        <x:v>E7071</x:v>
      </x:c>
      <x:c r="F223" s="7" t="str">
        <x:v>工場データ・計画・資源の連携 ／ 自動計測・測定計画・品質データ ／ 自動加工セル・工程集約</x:v>
      </x:c>
      <x:c r="G223" s="7" t="str">
        <x:v>原典抜粋：三井ハイテックは、精密加工を実現する小型多機能研削盤と、C&amp;Gシステムズの自動化生産支援システムを連携させたスマート研削加工ソリューションを展示します。 / デジタル技術を活用した作業の標準化、人的ミスの低減、効率的な工程管理により、段取り時間の短縮、品質の安定化、省人化を実現。 / ・精密NC研削盤(自動搬送、機上計測）</x:v>
      </x:c>
      <x:c r="H223" s="7" t="str">
        <x:v>現物・工具マスター・進捗が分断し変更に追従しにくい。 ／ 測定の段取り・搬送・記録に人手が残り、結果が加工改善につながりにくい。 ／ 設備間の持替えや繰返し作業が、人手・待ち時間・品質差につながる。</x:v>
      </x:c>
      <x:c r="I223" s="7" t="str">
        <x:v>2024原典抜粋：三井ハイテックは福岡県北九州市に本社を置く平面研削盤メーカーです。 この度、金型部品の基本となる超精密6面体の仕上げ加工を全自動で行うことができる自動外周6面加工機を新開発し、初めての展示会出展となりました。 本加工機は平面研削盤で加工を行う上で必要となる研削機能、ワーク搬送、ワークセット、測定、加工後の清掃といった全ての要素を人が介入する事無く完全自動で行うことが可能です。 本機は将来危ぶまれている人手不足の解消を目的として開発されており、熟練加工者が持つ研削技能の継承や若手加工者への教育を不要とします。これは金</x:v>
      </x:c>
      <x:c r="J223" s="7" t="str">
        <x:v>2026原典抜粋：三井ハイテックは、精密加工を実現する小型多機能研削盤と、C&amp;Gシステムズの自動化生産支援システムを連携させたスマート研削加工ソリューションを展示します。 / デジタル技術を活用した作業の標準化、人的ミスの低減、効率的な工程管理により、段取り時間の短縮、品質の安定化、省人化を実現。 / ・精密NC研削盤(自動搬送、機上計測）</x:v>
      </x:c>
      <x:c r="K223" s="7" t="str">
        <x:v>原典記述の対照。個別機能の追加・性能差・初登場年は未判定。</x:v>
      </x:c>
      <x:c r="L223" s="7" t="str">
        <x:v>両年説明あり・機能差未判定</x:v>
      </x:c>
      <x:c r="M223" s="7" t="str">
        <x:v>出展説明の一次分類</x:v>
      </x:c>
      <x:c r="N223" s="7" t="str"/>
      <x:c r="O223" s="7" t="str">
        <x:v>承認・例外対応・停止・復帰の境界は未確認</x:v>
      </x:c>
      <x:c r="P223" s="7" t="str">
        <x:v>2026公式カタログ掲載・現地未確認
2026展示予定。既存製品・参考出展・構想等は原典で個別確認</x:v>
      </x:c>
      <x:c r="Q223" s="7" t="str">
        <x:v>AC220</x:v>
      </x:c>
      <x:c t="str" r="R223" s="21">
        <x:f>HYPERLINK("https://www.jimtof.org/search/jp/ESdetails?e=qoCbIK0OzT4","JIMTOF2026 出展ページ")</x:f>
        <x:v>JIMTOF2026 出展ページ</x:v>
      </x:c>
      <x:c t="str" r="S223" s="21">
        <x:f>HYPERLINK("https://www.jimtof.org/2024/search/jp/ESdetails?e=s4tEvaiPXOo","JIMTOF2024 出展ページ")</x:f>
        <x:v>JIMTOF2024 出展ページ</x:v>
      </x:c>
      <x:c r="T223" s="7" t="str">
        <x:v>EEX-EXH-2026-8278ec058d2d2947: https://www.jimtof.org/search/jp/ESdetails?e=qoCbIK0OzT4
該当箇所: 出展紹介・主な出展物。追加カードの原典抜粋で検索
EEX-EXH-2024-02567a674fcc12c9: https://www.jimtof.org/2024/search/jp/ESdetails?e=s4tEvaiPXOo
該当箇所: 出展紹介・主な出展物。追加カードの原典抜粋で検索</x:v>
      </x:c>
    </x:row>
    <x:row r="224" ht="155" customHeight="1">
      <x:c r="A224" s="7" t="str">
        <x:v>工場運用</x:v>
      </x:c>
      <x:c r="B224" s="7" t="str">
        <x:v>工場データ・計画・資源の連携</x:v>
      </x:c>
      <x:c r="C224" s="20" t="str">
        <x:v>ムラテックフロンティア株式会社</x:v>
      </x:c>
      <x:c r="D224" s="7" t="str">
        <x:v>中小製造業向け生産管理システム「GrowingMIS」</x:v>
      </x:c>
      <x:c r="E224" s="7" t="str">
        <x:v>S3012</x:v>
      </x:c>
      <x:c r="F224" s="7" t="str">
        <x:v>工場データ・計画・資源の連携</x:v>
      </x:c>
      <x:c r="G224" s="7" t="str">
        <x:v>原典抜粋：私たちは産業機械メーカーである村田機械グループで蓄積されたノウハウを活かして開発した生産管理システムを多岐にわたる製造業のお客様に提供してきました。 / 多種多様な製品を取り扱う村田機械グループにおいて、大量生産は元より多品種少量生産の現場で厳しく鍛えられてきた私たちは、生産管理に求められる本当のニーズを知っています。 / 今回の出展では、金属加工や装置組立などの製造業に適した生産管理システム製品を始め、人手不足や属人化といった製造業の</x:v>
      </x:c>
      <x:c r="H224" s="7" t="str">
        <x:v>現物・工具マスター・進捗が分断し変更に追従しにくい。</x:v>
      </x:c>
      <x:c r="I224" s="7" t="str">
        <x:v>2024原典抜粋：村田機械のものづくりを支えて30年。 私たちは産業機械メーカーである村田機械グループで蓄積されたノウハウを活かして開発した生産管理システムを多岐にわたる製造業のお客様に提供してきました。 その一番の強みは自らも製造業であること。多種多様な製品を取り扱う村田機械グループにおいて、大量生産は元より多品種少量生産の現場で厳しく鍛えられてきた私たちは、生産管理に求められる本当のニーズを知っています。単にシステムの機能だけではなく、お客様の業務との適合性や実現性、将来の拡張性までを見据え、豊富なノウハウを活かしたソリューショ</x:v>
      </x:c>
      <x:c r="J224" s="7" t="str">
        <x:v>2026原典抜粋：私たちは産業機械メーカーである村田機械グループで蓄積されたノウハウを活かして開発した生産管理システムを多岐にわたる製造業のお客様に提供してきました。 / 多種多様な製品を取り扱う村田機械グループにおいて、大量生産は元より多品種少量生産の現場で厳しく鍛えられてきた私たちは、生産管理に求められる本当のニーズを知っています。 / 今回の出展では、金属加工や装置組立などの製造業に適した生産管理システム製品を始め、人手不足や属人化といった製造業の</x:v>
      </x:c>
      <x:c r="K224" s="7" t="str">
        <x:v>原典記述の対照。個別機能の追加・性能差・初登場年は未判定。</x:v>
      </x:c>
      <x:c r="L224" s="7" t="str">
        <x:v>両年説明あり・機能差未判定</x:v>
      </x:c>
      <x:c r="M224" s="7" t="str">
        <x:v>出展説明の一次分類</x:v>
      </x:c>
      <x:c r="N224" s="7" t="str"/>
      <x:c r="O224" s="7" t="str">
        <x:v>承認・例外対応・停止・復帰の境界は未確認</x:v>
      </x:c>
      <x:c r="P224" s="7" t="str">
        <x:v>2026公式カタログ掲載・現地未確認
2026展示予定。既存製品・参考出展・構想等は原典で個別確認</x:v>
      </x:c>
      <x:c r="Q224" s="7" t="str">
        <x:v>AC226</x:v>
      </x:c>
      <x:c t="str" r="R224" s="21">
        <x:f>HYPERLINK("https://www.jimtof.org/search/jp/ESdetails?e=YWmIOEUq2KQ","JIMTOF2026 出展ページ")</x:f>
        <x:v>JIMTOF2026 出展ページ</x:v>
      </x:c>
      <x:c t="str" r="S224" s="21">
        <x:f>HYPERLINK("https://www.jimtof.org/2024/search/jp/ESdetails?e=5mtGGNcGld4","JIMTOF2024 出展ページ")</x:f>
        <x:v>JIMTOF2024 出展ページ</x:v>
      </x:c>
      <x:c r="T224" s="7" t="str">
        <x:v>EEX-EXH-2026-859260bbab50e467: https://www.jimtof.org/search/jp/ESdetails?e=YWmIOEUq2KQ
該当箇所: 出展紹介・主な出展物。追加カードの原典抜粋で検索
EEX-EXH-2024-01d5fdf5311a78d2: https://www.jimtof.org/2024/search/jp/ESdetails?e=5mtGGNcGld4
該当箇所: 出展紹介・主な出展物。追加カードの原典抜粋で検索</x:v>
      </x:c>
    </x:row>
    <x:row r="225" ht="155" customHeight="1">
      <x:c r="A225" s="7" t="str">
        <x:v>工場運用</x:v>
      </x:c>
      <x:c r="B225" s="7" t="str">
        <x:v>工場データ・計画・資源の連携</x:v>
      </x:c>
      <x:c r="C225" s="20" t="str">
        <x:v>WinTool AG</x:v>
      </x:c>
      <x:c r="D225" s="7" t="str">
        <x:v>WinTool：工具情報と現物・工程資源の連携</x:v>
      </x:c>
      <x:c r="E225" s="7" t="str">
        <x:v>E1049</x:v>
      </x:c>
      <x:c r="F225" s="7" t="str">
        <x:v>工具情報・所在・在庫を工程と結ぶ</x:v>
      </x:c>
      <x:c r="G225" s="7" t="str">
        <x:v>WinToolは工具情報と工程資源を連携。在庫ルールで購買要求。</x:v>
      </x:c>
      <x:c r="H225" s="7" t="str">
        <x:v>工具を探す・登録する・補充する手間や、在庫情報の分断がある。 ／ 図面・工具・品質・工程情報が別々に保存され、再利用しにくい。 ／ 現物・工具マスター・進捗が分断し変更に追従しにくい。</x:v>
      </x:c>
      <x:c r="I225" s="7" t="str">
        <x:v>2024も工具ライブラリ・CAM／NC・在庫・段取り・収納／プリセッター連携を説明。</x:v>
      </x:c>
      <x:c r="J225" s="7" t="str">
        <x:v>2026は現物情報と生産資源・BOPへの対応、一貫性を強調。</x:v>
      </x:c>
      <x:c r="K225" s="7" t="str">
        <x:v>工具・CAM・在庫連携は2024から継続。2026は資源の一貫性を強調。</x:v>
      </x:c>
      <x:c r="L225" s="7" t="str">
        <x:v>個別比較あり</x:v>
      </x:c>
      <x:c r="M225" s="7" t="str">
        <x:v>詳細比較済み</x:v>
      </x:c>
      <x:c r="N225" s="7" t="str"/>
      <x:c r="O225" s="7" t="str">
        <x:v>管理者承認後ERPへ送信。AIによる自律発注とは記載なし。</x:v>
      </x:c>
      <x:c r="P225" s="7" t="str">
        <x:v>2026公式カタログ掲載・現地未確認
2026展示予定。既存製品・参考出展・構想等は原典で個別確認</x:v>
      </x:c>
      <x:c r="Q225" s="7" t="str">
        <x:v>AC295</x:v>
      </x:c>
      <x:c t="str" r="R225" s="21">
        <x:f>HYPERLINK("https://www.jimtof.org/search/jp/ESdetails?e=sSFZV23clJo","JIMTOF2026 出展ページ")</x:f>
        <x:v>JIMTOF2026 出展ページ</x:v>
      </x:c>
      <x:c t="str" r="S225" s="21">
        <x:f>HYPERLINK("https://www.jimtof.org/2024/search/jp/ESdetails?e=-n22F1d_CDc","JIMTOF2024 出展ページ")</x:f>
        <x:v>JIMTOF2024 出展ページ</x:v>
      </x:c>
      <x:c r="T225" s="7" t="str">
        <x:v>EEX-EXH-2026-4fb92ba6b82546d7: https://www.jimtof.org/search/jp/ESdetails?e=sSFZV23clJo
該当箇所: 出展紹介・主な出展物。追加カードの原典抜粋で検索
EEX-EXH-2024-3f1fa1966a57e011: https://www.jimtof.org/2024/search/jp/ESdetails?e=-n22F1d_CDc
該当箇所: 出展紹介・主な出展物。追加カードの原典抜粋で検索
EDP-18: https://www.wintool.com/en/tool-management-software/cnc-inventory-manager/erp-integration
該当箇所: 最低在庫で購買要求を生成し、管理者承認後にERPへ自動送信
EDP-19: https://www.wintool.com/software/cnc-prozessverwaltung
該当箇所: 工具積卸リスト・在庫確認・プリセッター指示・NCと測定値の転送</x:v>
      </x:c>
    </x:row>
    <x:row r="226" ht="155" customHeight="1">
      <x:c r="A226" s="7" t="str">
        <x:v>共通基盤</x:v>
      </x:c>
      <x:c r="B226" s="7" t="str">
        <x:v>AIモデル作成・機器接続の基盤</x:v>
      </x:c>
      <x:c r="C226" s="20" t="str">
        <x:v>ベッコフオートメーション</x:v>
      </x:c>
      <x:c r="D226" s="7" t="str">
        <x:v>TwinCAT Machine Learning Creator</x:v>
      </x:c>
      <x:c r="E226" s="7" t="str">
        <x:v>E2028</x:v>
      </x:c>
      <x:c r="F226" s="7" t="str">
        <x:v>現場データから判定モデルを作る</x:v>
      </x:c>
      <x:c r="G226" s="7" t="str">
        <x:v>ML Creatorは学習・モデル選択を自動化し、解析とONNX出力を支援。</x:v>
      </x:c>
      <x:c r="H226" s="7" t="str">
        <x:v>AIモデルの作成・評価からPLC等への組込みに要する専門技能</x:v>
      </x:c>
      <x:c r="I226" s="7" t="str">
        <x:v>2024出展詳細は不足。ただしPC Control 02/2024で、データ分割・モデル解析・ONNX出力から制御への統合を説明済み。</x:v>
      </x:c>
      <x:c r="J226" s="7" t="str">
        <x:v>2026はノーコードでAI作成しPLC実装と記載</x:v>
      </x:c>
      <x:c r="K226" s="7" t="str">
        <x:v>データ分割・ONNX統合は2024公式資料にも記載。</x:v>
      </x:c>
      <x:c r="L226" s="7" t="str">
        <x:v>個別比較あり</x:v>
      </x:c>
      <x:c r="M226" s="7" t="str">
        <x:v>詳細比較済み</x:v>
      </x:c>
      <x:c r="N226" s="7" t="str"/>
      <x:c r="O226" s="7" t="str">
        <x:v>人がデータ・注釈・目的を準備。実機採用基準は要確認。</x:v>
      </x:c>
      <x:c r="P226" s="7" t="str">
        <x:v>JIMTOF2026公式カタログ掲載・現地未確認
既存製品方式確認・2026掲載</x:v>
      </x:c>
      <x:c r="Q226" s="7" t="str">
        <x:v>FC014</x:v>
      </x:c>
      <x:c t="str" r="R226" s="21">
        <x:f>HYPERLINK("https://www.jimtof.org/search/jp/ESdetails?e=K7DqahO2h08","JIMTOF2026 出展ページ")</x:f>
        <x:v>JIMTOF2026 出展ページ</x:v>
      </x:c>
      <x:c r="S226" s="21" t="str"/>
      <x:c r="T226" s="7" t="str">
        <x:v>EOV-V005-2026-1: https://www.jimtof.org/search/jp/ESdetails?e=K7DqahO2h08
該当箇所: main &gt; div.col-md-8.mb-5 の出展紹介、見出し「主な出展物」直後
EOV-W01: https://www.beckhoff.com/en-za/products/automation/twincat/texxxx-twincat-3-engineering/te3850.html
該当箇所: 製品説明冒頭、Product status
EDP-04: https://www.beckhoff.com/media/downloads/information-media/pc-control/pcc_0224_e.pdf
該当箇所: TE3850／訓練・テストデータ分割、モデル解析、ONNX出力</x:v>
      </x:c>
    </x:row>
    <x:row r="227" ht="155" customHeight="1">
      <x:c r="A227" s="7" t="str">
        <x:v>共通基盤</x:v>
      </x:c>
      <x:c r="B227" s="7" t="str">
        <x:v>AIモデル作成・機器接続の基盤</x:v>
      </x:c>
      <x:c r="C227" s="20" t="str">
        <x:v>たけびし</x:v>
      </x:c>
      <x:c r="D227" s="7" t="str">
        <x:v>OPC UA情報モデルとエージェント連携</x:v>
      </x:c>
      <x:c r="E227" s="7" t="str">
        <x:v>S3015</x:v>
      </x:c>
      <x:c r="F227" s="7" t="str">
        <x:v>設備データをAIが扱える形で渡す</x:v>
      </x:c>
      <x:c r="G227" s="7" t="str">
        <x:v>OPC UA情報モデルで機器情報をエージェントへ連携する構想。</x:v>
      </x:c>
      <x:c r="H227" s="7" t="str">
        <x:v>旧設備・異機種の情報取得とデータ形式・意味の不一致</x:v>
      </x:c>
      <x:c r="I227" s="7" t="str">
        <x:v>OPC UA情報モデル・多ベンダー接続を説明</x:v>
      </x:c>
      <x:c r="J227" s="7" t="str">
        <x:v>AIエージェントへの連携シナリオを明記</x:v>
      </x:c>
      <x:c r="K227" s="7" t="str">
        <x:v>2024は多ベンダー接続。2026はAI連携シナリオを追加。</x:v>
      </x:c>
      <x:c r="L227" s="7" t="str">
        <x:v>個別比較あり</x:v>
      </x:c>
      <x:c r="M227" s="7" t="str">
        <x:v>詳細比較済み</x:v>
      </x:c>
      <x:c r="N227" s="7" t="str"/>
      <x:c r="O227" s="7" t="str">
        <x:v>公開するデータ・メソッド、書込権限、承認と復帰は未確認。</x:v>
      </x:c>
      <x:c r="P227" s="7" t="str">
        <x:v>JIMTOF2026公式カタログ掲載・現地未確認
OPC製品は既存。MCP Adapterは2026年6月のメーカー寄稿で提供計画。現在の提供版は要確認</x:v>
      </x:c>
      <x:c r="Q227" s="7" t="str">
        <x:v>FC024</x:v>
      </x:c>
      <x:c t="str" r="R227" s="21">
        <x:f>HYPERLINK("https://www.jimtof.org/search/jp/ESdetails?e=Qh27DAtEkbw","JIMTOF2026 出展ページ")</x:f>
        <x:v>JIMTOF2026 出展ページ</x:v>
      </x:c>
      <x:c t="str" r="S227" s="21">
        <x:f>HYPERLINK("https://www.jimtof.org/2024/search/jp/ESdetails?e=SiZMI-OH8_k","JIMTOF2024 出展ページ")</x:f>
        <x:v>JIMTOF2024 出展ページ</x:v>
      </x:c>
      <x:c r="T227" s="7" t="str">
        <x:v>EOV-V011-2024-1: https://www.jimtof.org/2024/search/jp/ESdetails?e=SiZMI-OH8_k
該当箇所: main &gt; div.col-md-8.mb-5 の出展紹介、見出し「主な出展物」直後
EOV-V011-2026-1: https://www.jimtof.org/search/jp/ESdetails?e=Qh27DAtEkbw
該当箇所: main &gt; div.col-md-8.mb-5 の出展紹介、見出し「主な出展物」直後
EDP-06: https://opcconnect.opcfoundation.org/2026/06/toward-realizing-ai-utilization-in-manufacturing-exploring-the-potential-of-integrating-the-opc-ua-information-model-with-ai-agents/
該当箇所: A New Approach to Connecting AI Agents／MCP Adapterはplanning to provide</x:v>
      </x:c>
    </x:row>
    <x:row r="228" ht="155" customHeight="1">
      <x:c r="A228" s="7" t="str">
        <x:v>共通基盤</x:v>
      </x:c>
      <x:c r="B228" s="7" t="str">
        <x:v>AIモデル作成・機器接続の基盤</x:v>
      </x:c>
      <x:c r="C228" s="20" t="str">
        <x:v>シーイーシー</x:v>
      </x:c>
      <x:c r="D228" s="7" t="str">
        <x:v>Facteye／Resolana</x:v>
      </x:c>
      <x:c r="E228" s="7" t="str">
        <x:v>E2006</x:v>
      </x:c>
      <x:c r="F228" s="7" t="str">
        <x:v>既設設備の情報を集め品質と結ぶ</x:v>
      </x:c>
      <x:c r="G228" s="7" t="str">
        <x:v>既設設備のデータ収集・可視化を品質やAI利用へ接続。</x:v>
      </x:c>
      <x:c r="H228" s="7" t="str">
        <x:v>旧設備・異機種の情報取得とデータ形式・意味の不一致</x:v>
      </x:c>
      <x:c r="I228" s="7" t="str">
        <x:v>データ収集・対話AI・基盤連携を説明</x:v>
      </x:c>
      <x:c r="J228" s="7" t="str">
        <x:v>旧設備・品質との連携課題を具体化</x:v>
      </x:c>
      <x:c r="K228" s="7" t="str">
        <x:v>収集・対話AIは2024にも説明。2026は連携課題を具体化。</x:v>
      </x:c>
      <x:c r="L228" s="7" t="str">
        <x:v>個別比較あり</x:v>
      </x:c>
      <x:c r="M228" s="7" t="str">
        <x:v>詳細比較済み</x:v>
      </x:c>
      <x:c r="N228" s="7" t="str"/>
      <x:c r="O228" s="7" t="str">
        <x:v>自動制御や工場全体最適化の実装は未確認。</x:v>
      </x:c>
      <x:c r="P228" s="7" t="str">
        <x:v>JIMTOF2026公式カタログ掲載・現地未確認
2026展示予定・提供段階未確認</x:v>
      </x:c>
      <x:c r="Q228" s="7" t="str">
        <x:v>FC025</x:v>
      </x:c>
      <x:c t="str" r="R228" s="21">
        <x:f>HYPERLINK("https://www.jimtof.org/search/jp/ESdetails?e=tW-C9oF94EQ","JIMTOF2026 出展ページ")</x:f>
        <x:v>JIMTOF2026 出展ページ</x:v>
      </x:c>
      <x:c t="str" r="S228" s="21">
        <x:f>HYPERLINK("https://www.jimtof.org/2024/search/jp/ESdetails?e=WS9ql5D41fQ","JIMTOF2024 出展ページ")</x:f>
        <x:v>JIMTOF2024 出展ページ</x:v>
      </x:c>
      <x:c r="T228" s="7" t="str">
        <x:v>EOV-V012-2024-1: https://www.jimtof.org/2024/search/jp/ESdetails?e=WS9ql5D41fQ
該当箇所: main &gt; div.col-md-8.mb-5 の出展紹介、見出し「主な出展物」直後
EOV-V012-2026-1: https://www.jimtof.org/search/jp/ESdetails?e=tW-C9oF94EQ
該当箇所: main &gt; div.col-md-8.mb-5 の出展紹介、見出し「主な出展物」直後</x:v>
      </x:c>
    </x:row>
    <x:row r="229" ht="155" customHeight="1">
      <x:c r="A229" s="7" t="str">
        <x:v>共通基盤</x:v>
      </x:c>
      <x:c r="B229" s="7" t="str">
        <x:v>AIモデル作成・機器接続の基盤</x:v>
      </x:c>
      <x:c r="C229" s="20" t="str">
        <x:v>ソフィックス</x:v>
      </x:c>
      <x:c r="D229" s="7" t="str">
        <x:v>SOFIXCAN Ω Eye</x:v>
      </x:c>
      <x:c r="E229" s="7" t="str">
        <x:v>E1067</x:v>
      </x:c>
      <x:c r="F229" s="7" t="str">
        <x:v>異機種・旧設備の接続</x:v>
      </x:c>
      <x:c r="G229" s="7" t="str">
        <x:v>画像から数値・状態を読みModbus等でPLCへ書込み</x:v>
      </x:c>
      <x:c r="H229" s="7" t="str">
        <x:v>旧設備・異機種の情報取得とデータ形式・意味の不一致</x:v>
      </x:c>
      <x:c r="I229" s="7" t="str">
        <x:v>メーター読取自動連係を掲載</x:v>
      </x:c>
      <x:c r="J229" s="7" t="str">
        <x:v>Ω Eyeと読取対象・連携方法を具体化</x:v>
      </x:c>
      <x:c r="K229" s="7" t="str">
        <x:v>出展説明・公式資料の記載比較。初発明年・実演成功・性能向上を証明するものではない。</x:v>
      </x:c>
      <x:c r="L229" s="7" t="str">
        <x:v>比較記録あり</x:v>
      </x:c>
      <x:c r="M229" s="7" t="str">
        <x:v>個別タスク整理</x:v>
      </x:c>
      <x:c r="N229" s="7" t="str"/>
      <x:c r="O229" s="7" t="str">
        <x:v>読取誤り・画像品質・PLC書込み先の確認が必要</x:v>
      </x:c>
      <x:c r="P229" s="7" t="str">
        <x:v>JIMTOF2026公式カタログ掲載・現地未確認
2026展示予定・提供段階未確認</x:v>
      </x:c>
      <x:c r="Q229" s="7" t="str">
        <x:v>FC029</x:v>
      </x:c>
      <x:c t="str" r="R229" s="21">
        <x:f>HYPERLINK("https://www.jimtof.org/search/jp/ESdetails?e=rYRhOM0muPQ","JIMTOF2026 出展ページ")</x:f>
        <x:v>JIMTOF2026 出展ページ</x:v>
      </x:c>
      <x:c t="str" r="S229" s="21">
        <x:f>HYPERLINK("https://www.jimtof.org/2024/search/jp/ESdetails?e=WNiUW-E-atY","JIMTOF2024 出展ページ")</x:f>
        <x:v>JIMTOF2024 出展ページ</x:v>
      </x:c>
      <x:c r="T229" s="7" t="str">
        <x:v>EOV-V015-2024-1: https://www.jimtof.org/2024/search/jp/ESdetails?e=WNiUW-E-atY
該当箇所: main &gt; div.col-md-8.mb-5 の出展紹介、見出し「主な出展物」直後
EOV-V015-2026-1: https://www.jimtof.org/search/jp/ESdetails?e=rYRhOM0muPQ
該当箇所: main &gt; div.col-md-8.mb-5 の出展紹介、見出し「主な出展物」直後</x:v>
      </x:c>
    </x:row>
    <x:row r="230" ht="155" customHeight="1">
      <x:c r="A230" s="7" t="str">
        <x:v>共通基盤</x:v>
      </x:c>
      <x:c r="B230" s="7" t="str">
        <x:v>AIモデル作成・機器接続の基盤</x:v>
      </x:c>
      <x:c r="C230" s="20" t="str">
        <x:v>ミロクリエ</x:v>
      </x:c>
      <x:c r="D230" s="7" t="str">
        <x:v>ミロクルAIメーター読み取り</x:v>
      </x:c>
      <x:c r="E230" s="7" t="str">
        <x:v>E2016</x:v>
      </x:c>
      <x:c r="F230" s="7" t="str">
        <x:v>異機種・旧設備の接続</x:v>
      </x:c>
      <x:c r="G230" s="7" t="str">
        <x:v>画像から値を読み点検欄へ反映</x:v>
      </x:c>
      <x:c r="H230" s="7" t="str">
        <x:v>旧設備・異機種の情報取得とデータ形式・意味の不一致</x:v>
      </x:c>
      <x:c r="I230" s="7" t="str">
        <x:v>2024詳細なし</x:v>
      </x:c>
      <x:c r="J230" s="7" t="str">
        <x:v>2026はα版と明記</x:v>
      </x:c>
      <x:c r="K230" s="7" t="str">
        <x:v>出展説明・公式資料の記載比較。初発明年・実演成功・性能向上を証明するものではない。</x:v>
      </x:c>
      <x:c r="L230" s="7" t="str">
        <x:v>年度資料不足・比較不能</x:v>
      </x:c>
      <x:c r="M230" s="7" t="str">
        <x:v>個別タスク整理</x:v>
      </x:c>
      <x:c r="N230" s="7" t="str"/>
      <x:c r="O230" s="7" t="str">
        <x:v>読取確認・対応計器・オフライン条件は未確認</x:v>
      </x:c>
      <x:c r="P230" s="7" t="str">
        <x:v>JIMTOF2026公式カタログ掲載・現地未確認
α版・AIオプション</x:v>
      </x:c>
      <x:c r="Q230" s="7" t="str">
        <x:v>FC059</x:v>
      </x:c>
      <x:c t="str" r="R230" s="21">
        <x:f>HYPERLINK("https://www.jimtof.org/search/jp/ESdetails?e=IQhLnLagU5I","JIMTOF2026 出展ページ")</x:f>
        <x:v>JIMTOF2026 出展ページ</x:v>
      </x:c>
      <x:c r="S230" s="21" t="str"/>
      <x:c r="T230" s="7" t="str">
        <x:v>EOV-V038-2026-1: https://www.jimtof.org/search/jp/ESdetails?e=IQhLnLagU5I
該当箇所: main &gt; div.col-md-8.mb-5 の出展紹介、見出し「主な出展物」直後</x:v>
      </x:c>
    </x:row>
    <x:row r="231" ht="155" customHeight="1">
      <x:c r="A231" s="7" t="str">
        <x:v>共通基盤</x:v>
      </x:c>
      <x:c r="B231" s="7" t="str">
        <x:v>AIモデル作成・機器接続の基盤</x:v>
      </x:c>
      <x:c r="C231" s="20" t="str">
        <x:v>ケーメックス・オートメーション</x:v>
      </x:c>
      <x:c r="D231" s="7" t="str">
        <x:v>産業用IPC／VARIO-X・分散I/O</x:v>
      </x:c>
      <x:c r="E231" s="7" t="str">
        <x:v>S3024</x:v>
      </x:c>
      <x:c r="F231" s="7" t="str">
        <x:v>IPC・分散I/O基盤</x:v>
      </x:c>
      <x:c r="G231" s="7" t="str">
        <x:v>省配線・省スペース化とデータ収集・処理環境を構成</x:v>
      </x:c>
      <x:c r="H231" s="7" t="str">
        <x:v>配線・制御盤の工数や空間、現場データ処理環境の実装負担</x:v>
      </x:c>
      <x:c r="I231" s="7" t="str">
        <x:v>Vario-X・IIoT省配線・安全I/Oと協働ロボットのケーブル保護展示</x:v>
      </x:c>
      <x:c r="J231" s="7" t="str">
        <x:v>2026はIPCとVARIO-XをAI活用基盤として説明</x:v>
      </x:c>
      <x:c r="K231" s="7" t="str">
        <x:v>出展説明・公式資料の記載比較。初発明年・実演成功・性能向上を証明するものではない。</x:v>
      </x:c>
      <x:c r="L231" s="7" t="str">
        <x:v>比較記録あり</x:v>
      </x:c>
      <x:c r="M231" s="7" t="str">
        <x:v>個別タスク整理</x:v>
      </x:c>
      <x:c r="N231" s="7" t="str"/>
      <x:c r="O231" s="7" t="str">
        <x:v>AIモデル・タスク・実機判断は今回記載なし</x:v>
      </x:c>
      <x:c r="P231" s="7" t="str">
        <x:v>JIMTOF2026公式カタログ掲載・現地未確認
実装基盤の展示予定・AI応用そのものは未特定</x:v>
      </x:c>
      <x:c r="Q231" s="7" t="str">
        <x:v>FC068</x:v>
      </x:c>
      <x:c t="str" r="R231" s="21">
        <x:f>HYPERLINK("https://www.jimtof.org/search/jp/ESdetails?e=bz4bGc4T6ag","JIMTOF2026 出展ページ")</x:f>
        <x:v>JIMTOF2026 出展ページ</x:v>
      </x:c>
      <x:c t="str" r="S231" s="21">
        <x:f>HYPERLINK("https://www.jimtof.org/2024/search/jp/ESdetails?e=tvCG3p0xThA","JIMTOF2024 出展ページ")</x:f>
        <x:v>JIMTOF2024 出展ページ</x:v>
      </x:c>
      <x:c r="T231" s="7" t="str">
        <x:v>EAT-V045-2024-1: https://www.jimtof.org/2024/search/jp/ESdetails?e=tvCG3p0xThA
該当箇所: 出展紹介・主な出展物（カードの製品名・機能語で検索）
EAT-V045-2026-1: https://www.jimtof.org/search/jp/ESdetails?e=bz4bGc4T6ag
該当箇所: 出展紹介・主な出展物（カードの製品名・機能語で検索）</x:v>
      </x:c>
    </x:row>
    <x:row r="232" ht="155" customHeight="1">
      <x:c r="A232" s="7" t="str">
        <x:v>共通基盤</x:v>
      </x:c>
      <x:c r="B232" s="7" t="str">
        <x:v>AIモデル作成・機器接続の基盤</x:v>
      </x:c>
      <x:c r="C232" s="20" t="str">
        <x:v>アナログ・デバイセズ株式会社</x:v>
      </x:c>
      <x:c r="D232" s="7" t="str">
        <x:v>長距離、省配線を実現する産業用イーサーネット</x:v>
      </x:c>
      <x:c r="E232" s="7" t="str">
        <x:v>S3003</x:v>
      </x:c>
      <x:c r="F232" s="7" t="str">
        <x:v>AIモデル作成・機器接続の基盤 ／ 安全監視・自動化を支える機器</x:v>
      </x:c>
      <x:c r="G232" s="7" t="str">
        <x:v>原典抜粋：- AIを、確実な制御へ - / AIを現場価値へ変えるために必要な全てを、ADIの技術でつなぐ</x:v>
      </x:c>
      <x:c r="H232" s="7" t="str">
        <x:v>データの意味づけと、作ったAIを現場へつなぐ負担。 ／ 無人運転やロボット導入には、安全確保と機器・配線・力の伝達が必要。</x:v>
      </x:c>
      <x:c r="I232" s="7" t="str">
        <x:v>同一正規化名称の2024詳細なし。新規出展・技術不存在とは判断しない。</x:v>
      </x:c>
      <x:c r="J232" s="7" t="str">
        <x:v>2026原典抜粋：- AIを、確実な制御へ - / AIを現場価値へ変えるために必要な全てを、ADIの技術でつなぐ</x:v>
      </x:c>
      <x:c r="K232" s="7" t="str">
        <x:v>原典記述の対照。個別機能の追加・性能差・初登場年は未判定。</x:v>
      </x:c>
      <x:c r="L232" s="7" t="str">
        <x:v>年度資料不足・比較不能</x:v>
      </x:c>
      <x:c r="M232" s="7" t="str">
        <x:v>出展説明の一次分類</x:v>
      </x:c>
      <x:c r="N232" s="7" t="str"/>
      <x:c r="O232" s="7" t="str">
        <x:v>承認・例外対応・停止・復帰の境界は未確認</x:v>
      </x:c>
      <x:c r="P232" s="7" t="str">
        <x:v>2026公式カタログ掲載・現地未確認
2026展示予定。既存製品・参考出展・構想等は原典で個別確認</x:v>
      </x:c>
      <x:c r="Q232" s="7" t="str">
        <x:v>AC008</x:v>
      </x:c>
      <x:c t="str" r="R232" s="21">
        <x:f>HYPERLINK("https://www.jimtof.org/search/jp/ESdetails?e=KmFutdwRdo0","JIMTOF2026 出展ページ")</x:f>
        <x:v>JIMTOF2026 出展ページ</x:v>
      </x:c>
      <x:c r="S232" s="21" t="str"/>
      <x:c r="T232" s="7" t="str">
        <x:v>EEX-EXH-2026-5fe4f7b65e7b1d1b: https://www.jimtof.org/search/jp/ESdetails?e=KmFutdwRdo0
該当箇所: 出展紹介・主な出展物。追加カードの原典抜粋で検索</x:v>
      </x:c>
    </x:row>
    <x:row r="233" ht="155" customHeight="1">
      <x:c r="A233" s="7" t="str">
        <x:v>共通基盤</x:v>
      </x:c>
      <x:c r="B233" s="7" t="str">
        <x:v>AIモデル作成・機器接続の基盤</x:v>
      </x:c>
      <x:c r="C233" s="20" t="str">
        <x:v>有限会社デュブリン・ジャパン・リミテッド</x:v>
      </x:c>
      <x:c r="D233" s="7" t="str">
        <x:v>工作機械向けロータリーユニオンおよび産業用スリップリングの最新技術を展示します。</x:v>
      </x:c>
      <x:c r="E233" s="7" t="str">
        <x:v>WA024</x:v>
      </x:c>
      <x:c r="F233" s="7" t="str">
        <x:v>AIモデル作成・機器接続の基盤 ／ 安全監視・自動化を支える機器</x:v>
      </x:c>
      <x:c r="G233" s="7" t="str">
        <x:v>原典抜粋：使用する流体を自動的に感知し、最適なシール状態へ切り替える独自技術です。 / 工作機械、自動化設備、ロボット、回転テーブルなど幅広い用途に対応します。 / スリップリングでは、電力・信号・産業用ネットワーク・高速データ通信に対応した各種製品を展示し、自動化設備や回転機器における安定したデータ伝送ソリューションをご提案します。</x:v>
      </x:c>
      <x:c r="H233" s="7" t="str">
        <x:v>データの意味づけと、作ったAIを現場へつなぐ負担。 ／ 無人運転やロボット導入には、安全確保と機器・配線・力の伝達が必要。</x:v>
      </x:c>
      <x:c r="I233" s="7" t="str">
        <x:v>2024原典抜粋：・AutoSense®： メカニカルシールは、流体を自動的に感知し最適のシールを適用します。 潤滑性流体に対してはシール面が接触しシール性を発揮する一方、非潤滑性流体や流体なしの場合はシール面に微小のスキマを持たせた非接触状態を維持し、シール面を保護します。 ・SpindleShield®： メカニカルシールは時間の経過とともに摩耗し、保守担当者が観察するのが困難になる可能性があります。 Deublinのテクノロジーは、スピンドルの向きに依存しない方法で回転ユニオンに統合されており、機械の他の部分への漏れを防ぐため</x:v>
      </x:c>
      <x:c r="J233" s="7" t="str">
        <x:v>2026原典抜粋：使用する流体を自動的に感知し、最適なシール状態へ切り替える独自技術です。 / 工作機械、自動化設備、ロボット、回転テーブルなど幅広い用途に対応します。 / スリップリングでは、電力・信号・産業用ネットワーク・高速データ通信に対応した各種製品を展示し、自動化設備や回転機器における安定したデータ伝送ソリューションをご提案します。</x:v>
      </x:c>
      <x:c r="K233" s="7" t="str">
        <x:v>原典記述の対照。個別機能の追加・性能差・初登場年は未判定。</x:v>
      </x:c>
      <x:c r="L233" s="7" t="str">
        <x:v>両年説明あり・機能差未判定</x:v>
      </x:c>
      <x:c r="M233" s="7" t="str">
        <x:v>出展説明の一次分類</x:v>
      </x:c>
      <x:c r="N233" s="7" t="str"/>
      <x:c r="O233" s="7" t="str">
        <x:v>承認・例外対応・停止・復帰の境界は未確認</x:v>
      </x:c>
      <x:c r="P233" s="7" t="str">
        <x:v>2026公式カタログ掲載・現地未確認
2026展示予定。既存製品・参考出展・構想等は原典で個別確認</x:v>
      </x:c>
      <x:c r="Q233" s="7" t="str">
        <x:v>AC145</x:v>
      </x:c>
      <x:c t="str" r="R233" s="21">
        <x:f>HYPERLINK("https://www.jimtof.org/search/jp/ESdetails?e=PjO1_W-zmqI","JIMTOF2026 出展ページ")</x:f>
        <x:v>JIMTOF2026 出展ページ</x:v>
      </x:c>
      <x:c t="str" r="S233" s="21">
        <x:f>HYPERLINK("https://www.jimtof.org/2024/search/jp/ESdetails?e=8ealehgmk8o","JIMTOF2024 出展ページ")</x:f>
        <x:v>JIMTOF2024 出展ページ</x:v>
      </x:c>
      <x:c r="T233" s="7" t="str">
        <x:v>EEX-EXH-2026-c9f3df91b8488aae: https://www.jimtof.org/search/jp/ESdetails?e=PjO1_W-zmqI
該当箇所: 出展紹介・主な出展物。追加カードの原典抜粋で検索
EEX-EXH-2024-c7e56519e3bd21bf: https://www.jimtof.org/2024/search/jp/ESdetails?e=8ealehgmk8o
該当箇所: 出展紹介・主な出展物。追加カードの原典抜粋で検索</x:v>
      </x:c>
    </x:row>
    <x:row r="234" ht="155" customHeight="1">
      <x:c r="A234" s="7" t="str">
        <x:v>共通基盤</x:v>
      </x:c>
      <x:c r="B234" s="7" t="str">
        <x:v>AIモデル作成・機器接続の基盤</x:v>
      </x:c>
      <x:c r="C234" s="20" t="str">
        <x:v>HAWEジャパン株式会社</x:v>
      </x:c>
      <x:c r="D234" s="7" t="str">
        <x:v>当社は、油圧技術と電子制御技術を融合した省エネルギー・高機能ソリューションを提案します。切削用工作機械向けでは、インバータ技術により従来型油圧システム</x:v>
      </x:c>
      <x:c r="E234" s="7" t="str">
        <x:v>E3005</x:v>
      </x:c>
      <x:c r="F234" s="7" t="str">
        <x:v>AIモデル作成・機器接続の基盤 ／ クーラント・潤滑・清掃の省人化</x:v>
      </x:c>
      <x:c r="G234" s="7" t="str">
        <x:v>原典抜粋：生産に関わる工程を、「切削用工作機械」「治具クランプ」「マテリアルハンドリング」「新製品」の4分野に分け、それぞれの分野において、省エネおよびIoT対応を実現するシステム・製品をご提案いたします。 / 切削用工作機械向けでは、インバータ技術により従来型油圧システム比で約70～80％の消費電力削減を実現する省エネ油圧システムや、IoTを活用した予防保全・メンテナンス効率向上ソリューションを紹介します。 / 治具クランプ向けには、FA化に対</x:v>
      </x:c>
      <x:c r="H234" s="7" t="str">
        <x:v>データの意味づけと、作ったAIを現場へつなぐ負担。 ／ 補充・濃度管理・切粉処理などの保守作業で運転が途切れる。</x:v>
      </x:c>
      <x:c r="I234" s="7" t="str">
        <x:v>2024原典抜粋：生産に関わる工程を、切削用工作機械、治具クランプ、マテリアルハンドリング、およびプレスブレーキシステム4つの分野に分けてそれぞれへ省エネ、IoT対応の提案に関するシステム、製品をご提案いたします。 1.切削用工作機械に従来型油圧システム対比で約70%の消費電力を削減する油圧システム、IoTで予防保全、メンテナンス効率向上にデモ機を展示します。 2.FA化の推進に、治具クランプ力の自動変更およびインバータ技術による省エネ化の実現をご提案します。 3.マテリアルハンドリングには、リフターやAGVへの高精度同調油圧昇降シ</x:v>
      </x:c>
      <x:c r="J234" s="7" t="str">
        <x:v>2026原典抜粋：生産に関わる工程を、「切削用工作機械」「治具クランプ」「マテリアルハンドリング」「新製品」の4分野に分け、それぞれの分野において、省エネおよびIoT対応を実現するシステム・製品をご提案いたします。 / 切削用工作機械向けでは、インバータ技術により従来型油圧システム比で約70～80％の消費電力削減を実現する省エネ油圧システムや、IoTを活用した予防保全・メンテナンス効率向上ソリューションを紹介します。 / 治具クランプ向けには、FA化に対</x:v>
      </x:c>
      <x:c r="K234" s="7" t="str">
        <x:v>原典記述の対照。個別機能の追加・性能差・初登場年は未判定。</x:v>
      </x:c>
      <x:c r="L234" s="7" t="str">
        <x:v>両年説明あり・機能差未判定</x:v>
      </x:c>
      <x:c r="M234" s="7" t="str">
        <x:v>出展説明の一次分類</x:v>
      </x:c>
      <x:c r="N234" s="7" t="str"/>
      <x:c r="O234" s="7" t="str">
        <x:v>承認・例外対応・停止・復帰の境界は未確認</x:v>
      </x:c>
      <x:c r="P234" s="7" t="str">
        <x:v>2026公式カタログ掲載・現地未確認
2026展示予定。既存製品・参考出展・構想等は原典で個別確認</x:v>
      </x:c>
      <x:c r="Q234" s="7" t="str">
        <x:v>AC185</x:v>
      </x:c>
      <x:c t="str" r="R234" s="21">
        <x:f>HYPERLINK("https://www.jimtof.org/search/jp/ESdetails?e=uvRSrTznX5g","JIMTOF2026 出展ページ")</x:f>
        <x:v>JIMTOF2026 出展ページ</x:v>
      </x:c>
      <x:c t="str" r="S234" s="21">
        <x:f>HYPERLINK("https://www.jimtof.org/2024/search/jp/ESdetails?e=3QIyVEg479A","JIMTOF2024 出展ページ")</x:f>
        <x:v>JIMTOF2024 出展ページ</x:v>
      </x:c>
      <x:c r="T234" s="7" t="str">
        <x:v>EEX-EXH-2026-9f03016f633961ce: https://www.jimtof.org/search/jp/ESdetails?e=uvRSrTznX5g
該当箇所: 出展紹介・主な出展物。追加カードの原典抜粋で検索
EEX-EXH-2024-d67a87c8bad0b9c4: https://www.jimtof.org/2024/search/jp/ESdetails?e=3QIyVEg479A
該当箇所: 出展紹介・主な出展物。追加カードの原典抜粋で検索</x:v>
      </x:c>
    </x:row>
    <x:row r="235" ht="155" customHeight="1">
      <x:c r="A235" s="7" t="str">
        <x:v>共通基盤</x:v>
      </x:c>
      <x:c r="B235" s="7" t="str">
        <x:v>AIモデル作成・機器接続の基盤</x:v>
      </x:c>
      <x:c r="C235" s="20" t="str">
        <x:v>リタール株式会社</x:v>
      </x:c>
      <x:c r="D235" s="7" t="str">
        <x:v>制御盤用筐体 VX</x:v>
      </x:c>
      <x:c r="E235" s="7" t="str">
        <x:v>S1067</x:v>
      </x:c>
      <x:c r="F235" s="7" t="str">
        <x:v>電気・制御盤設計と盤製作の連携</x:v>
      </x:c>
      <x:c r="G235" s="7" t="str">
        <x:v>電気設計から制御盤製作への工程連携を紹介。筐体・盤内配線・エッジ用機器も展示。</x:v>
      </x:c>
      <x:c r="H235" s="7" t="str">
        <x:v>要求から制御コード・画面・設計情報へ落とす手間。 ／ データの意味づけと、作ったAIを現場へつなぐ負担。 ／ 無人運転やロボット導入には、安全確保と機器・配線・力の伝達が必要。</x:v>
      </x:c>
      <x:c r="I235" s="7" t="str">
        <x:v>2024原典抜粋：「制御盤製造のデータ連携と実装」 電気設計から製造まで一貫したデジタルワークフローで、盤の設計・製造の効率化を実現できるソリューションをご紹介します。 Eplanの電気回路図設計「electric P8」、3Dレイアウト設計「Pro Panel」とリタールの盤筐体専用加工機「Perforex MT ミリングターミナル」、全自動電線加工機「WT C ワイヤターミナル」をデータでつなげることで、盤製造のバリューチェーンの最適化が生まれます。なお、今年９月に開設した制御盤製造DXを体験・検証できるショールーム「リタール </x:v>
      </x:c>
      <x:c r="J235" s="7" t="str">
        <x:v>2026原典抜粋：国際規格を多数取得、高い保護等級を有するリタールの盤用筐体や小型ボックス各種、工作機械の操作盤に最適の高さ調節式サポートアームシステム、オープンプラットフォームのバスバーシステム、そして、製造業のIoT化を推進するクーラー付ITラック・エッジコンピューティング用ラックも展示します。</x:v>
      </x:c>
      <x:c r="K235" s="7" t="str">
        <x:v>原典記述の対照。個別機能の追加・性能差・初登場年は未判定。</x:v>
      </x:c>
      <x:c r="L235" s="7" t="str">
        <x:v>両年説明あり・機能差未判定</x:v>
      </x:c>
      <x:c r="M235" s="7" t="str">
        <x:v>出展説明の一次分類</x:v>
      </x:c>
      <x:c r="N235" s="7" t="str"/>
      <x:c r="O235" s="7" t="str">
        <x:v>承認・例外対応・停止・復帰の境界は未確認</x:v>
      </x:c>
      <x:c r="P235" s="7" t="str">
        <x:v>2026公式カタログ掲載・現地未確認
2026展示予定。既存製品・参考出展・構想等は原典で個別確認</x:v>
      </x:c>
      <x:c r="Q235" s="7" t="str">
        <x:v>AC240</x:v>
      </x:c>
      <x:c t="str" r="R235" s="21">
        <x:f>HYPERLINK("https://www.jimtof.org/search/jp/ESdetails?e=20GFOkXi--c","JIMTOF2026 出展ページ")</x:f>
        <x:v>JIMTOF2026 出展ページ</x:v>
      </x:c>
      <x:c t="str" r="S235" s="21">
        <x:f>HYPERLINK("https://www.jimtof.org/2024/search/jp/ESdetails?e=0znDfGLD-WE","JIMTOF2024 出展ページ")</x:f>
        <x:v>JIMTOF2024 出展ページ</x:v>
      </x:c>
      <x:c r="T235" s="7" t="str">
        <x:v>EEX-EXH-2026-ede0d52617ac3762: https://www.jimtof.org/search/jp/ESdetails?e=20GFOkXi--c
該当箇所: 出展紹介・主な出展物。追加カードの原典抜粋で検索
EEX-EXH-2024-424d4201234fb682: https://www.jimtof.org/2024/search/jp/ESdetails?e=0znDfGLD-WE
該当箇所: 出展紹介・主な出展物。追加カードの原典抜粋で検索</x:v>
      </x:c>
    </x:row>
    <x:row r="236" ht="155" customHeight="1">
      <x:c r="A236" s="7" t="str">
        <x:v>共通基盤</x:v>
      </x:c>
      <x:c r="B236" s="7" t="str">
        <x:v>デジタルツイン・物理学習用データ</x:v>
      </x:c>
      <x:c r="C236" s="20" t="str">
        <x:v>ファナック</x:v>
      </x:c>
      <x:c r="D236" s="7" t="str">
        <x:v>FANUC Smart Digital Twin</x:v>
      </x:c>
      <x:c r="E236" s="7" t="str">
        <x:v>S2001</x:v>
      </x:c>
      <x:c r="F236" s="7" t="str">
        <x:v>加工前に機械の動きを確かめる</x:v>
      </x:c>
      <x:c r="G236" s="7" t="str">
        <x:v>Smart Digital Twinで加工前の挙動確認を支援。</x:v>
      </x:c>
      <x:c r="H236" s="7" t="str">
        <x:v>実機試行で発覚する干渉・削り過ぎ・設定違いの防止</x:v>
      </x:c>
      <x:c r="I236" s="7" t="str">
        <x:v>Smart Digital Twinを掲載</x:v>
      </x:c>
      <x:c r="J236" s="7" t="str">
        <x:v>同名製品を継続掲載</x:v>
      </x:c>
      <x:c r="K236" s="7" t="str">
        <x:v>同名ツインは2024から継続。</x:v>
      </x:c>
      <x:c r="L236" s="7" t="str">
        <x:v>個別比較あり</x:v>
      </x:c>
      <x:c r="M236" s="7" t="str">
        <x:v>詳細比較済み</x:v>
      </x:c>
      <x:c r="N236" s="7" t="str"/>
      <x:c r="O236" s="7" t="str">
        <x:v>モデルと実機の一致や、検証対象外事象の扱いは未確認。</x:v>
      </x:c>
      <x:c r="P236" s="7" t="str">
        <x:v>JIMTOF2026公式カタログ掲載・現地未確認
2026展示予定・提供段階未確認</x:v>
      </x:c>
      <x:c r="Q236" s="7" t="str">
        <x:v>FC007</x:v>
      </x:c>
      <x:c t="str" r="R236" s="21">
        <x:f>HYPERLINK("https://www.jimtof.org/search/jp/ESdetails?e=q0OrZBKM3uQ","JIMTOF2026 出展ページ")</x:f>
        <x:v>JIMTOF2026 出展ページ</x:v>
      </x:c>
      <x:c t="str" r="S236" s="21">
        <x:f>HYPERLINK("https://www.jimtof.org/2024/search/jp/ESdetails?e=N0RgOmmcwZw","JIMTOF2024 出展ページ")</x:f>
        <x:v>JIMTOF2024 出展ページ</x:v>
      </x:c>
      <x:c r="T236" s="7" t="str">
        <x:v>EOV-V002-2024-1: https://www.jimtof.org/2024/search/jp/ESdetails?e=N0RgOmmcwZw
該当箇所: main &gt; div.col-md-8.mb-5 の出展紹介、見出し「主な出展物」直後
EOV-V002-2026-1: https://www.jimtof.org/search/jp/ESdetails?e=q0OrZBKM3uQ
該当箇所: main &gt; div.col-md-8.mb-5 の出展紹介、見出し「主な出展物」直後</x:v>
      </x:c>
    </x:row>
    <x:row r="237" ht="155" customHeight="1">
      <x:c r="A237" s="7" t="str">
        <x:v>共通基盤</x:v>
      </x:c>
      <x:c r="B237" s="7" t="str">
        <x:v>デジタルツイン・物理学習用データ</x:v>
      </x:c>
      <x:c r="C237" s="20" t="str">
        <x:v>伊藤忠マシンテクノス株式会社</x:v>
      </x:c>
      <x:c r="D237" s="7" t="str">
        <x:v>ELHA社(ドイツ)大型特注工作機械　https://www.elha.de/ja/</x:v>
      </x:c>
      <x:c r="E237" s="7" t="str">
        <x:v>E1002</x:v>
      </x:c>
      <x:c r="F237" s="7" t="str">
        <x:v>ワーク・パレット・切粉の搬送 ／ デジタルツイン・物理学習用データ ／ 展示段階と自律化の境界</x:v>
      </x:c>
      <x:c r="G237" s="7" t="str">
        <x:v>原典抜粋：本展示では、加工機単体の提案に留まらず、超重量AGV等を用いた「自動搬送システム」や、最先端AIテクノロジーを活用した「Physical AI・Iot,DXへのAI活用」など次世代のスマートファクトリー実現に向けた最新商材を幅広くラインナップしています。 / 加工・自動化・AI・DXの最新トレンドを体感できるブースへ、ぜひお越しください。 / ・ロボットリアルタイムティーチングソフト / ・Physical AI　二次開発&amp;統合システム</x:v>
      </x:c>
      <x:c r="H237" s="7" t="str">
        <x:v>品種・量の変化に合わせて人の供給往復を減らす。 ／ 仮想上での確認・学習と実機の結果をつなぐための準備。 ／ 人型やAIという名称だけでは任せられる仕事を判断できない。</x:v>
      </x:c>
      <x:c r="I237" s="7" t="str">
        <x:v>2024原典抜粋：今回出展するのは独自のアイデアを持った欧州メーカーを中心に出展します。 ELHA/ドイツ テーブルトラバーストランスファーマシン ・多数個取り同時加工 ・自由度の高いプロダクションモジュールを搭載、ATC可能 パラレルタイプマシニングセンタ ・大型ワークに最適（ギガキャスト、バッテリートレイ、シャーシ等） ・ATC可能 ターニング ・SSDリニアテーブル(割出精度1sec) ・C軸同期で5面加工機と同機能実現 FAMAR/イタリア 縦型逆さ複合旋盤 ・ワーク搬送時間短縮、省スペース ・旋削、穴あけ、ミーリング、ハー</x:v>
      </x:c>
      <x:c r="J237" s="7" t="str">
        <x:v>2026原典抜粋：本展示では、加工機単体の提案に留まらず、超重量AGV等を用いた「自動搬送システム」や、最先端AIテクノロジーを活用した「Physical AI・Iot,DXへのAI活用」など次世代のスマートファクトリー実現に向けた最新商材を幅広くラインナップしています。 / 加工・自動化・AI・DXの最新トレンドを体感できるブースへ、ぜひお越しください。 / ・ロボットリアルタイムティーチングソフト / ・Physical AI　二次開発&amp;統合システム</x:v>
      </x:c>
      <x:c r="K237" s="7" t="str">
        <x:v>原典記述の対照。個別機能の追加・性能差・初登場年は未判定。</x:v>
      </x:c>
      <x:c r="L237" s="7" t="str">
        <x:v>両年説明あり・機能差未判定</x:v>
      </x:c>
      <x:c r="M237" s="7" t="str">
        <x:v>出展説明の一次分類</x:v>
      </x:c>
      <x:c r="N237" s="7" t="str"/>
      <x:c r="O237" s="7" t="str">
        <x:v>承認・例外対応・停止・復帰の境界は未確認</x:v>
      </x:c>
      <x:c r="P237" s="7" t="str">
        <x:v>2026公式カタログ掲載・現地未確認
2026展示予定。既存製品・参考出展・構想等は原典で個別確認</x:v>
      </x:c>
      <x:c r="Q237" s="7" t="str">
        <x:v>AC019</x:v>
      </x:c>
      <x:c t="str" r="R237" s="21">
        <x:f>HYPERLINK("https://www.jimtof.org/search/jp/ESdetails?e=7ypX6WR51KU","JIMTOF2026 出展ページ")</x:f>
        <x:v>JIMTOF2026 出展ページ</x:v>
      </x:c>
      <x:c t="str" r="S237" s="21">
        <x:f>HYPERLINK("https://www.jimtof.org/2024/search/jp/ESdetails?e=oAJf-RFYInA","JIMTOF2024 出展ページ")</x:f>
        <x:v>JIMTOF2024 出展ページ</x:v>
      </x:c>
      <x:c r="T237" s="7" t="str">
        <x:v>EEX-EXH-2026-41dc1e5513fe9737: https://www.jimtof.org/search/jp/ESdetails?e=7ypX6WR51KU
該当箇所: 出展紹介・主な出展物。追加カードの原典抜粋で検索
EEX-EXH-2024-67725eabe6ec70b8: https://www.jimtof.org/2024/search/jp/ESdetails?e=oAJf-RFYInA
該当箇所: 出展紹介・主な出展物。追加カードの原典抜粋で検索</x:v>
      </x:c>
    </x:row>
    <x:row r="238" ht="155" customHeight="1">
      <x:c r="A238" s="7" t="str">
        <x:v>共通基盤</x:v>
      </x:c>
      <x:c r="B238" s="7" t="str">
        <x:v>デジタルツイン・物理学習用データ</x:v>
      </x:c>
      <x:c r="C238" s="20" t="str">
        <x:v>Third Wave Systems Japan合同会社</x:v>
      </x:c>
      <x:c r="D238" s="7" t="str">
        <x:v>材料特性に基づく切削加工CAE・最適化ソリューション</x:v>
      </x:c>
      <x:c r="E238" s="7" t="str">
        <x:v>E1064</x:v>
      </x:c>
      <x:c r="F238" s="7" t="str">
        <x:v>NC送り最適化・加工中の適応制御 ／ デジタルツイン・物理学習用データ ／ CAD・金型設計・NC検証</x:v>
      </x:c>
      <x:c r="G238" s="7" t="str">
        <x:v>原典抜粋：『Production Module』は、NX・Mastercam・CATIAなどのCAD/CAM環境と連携し、パーツ形状全体にわたるマクロな切削現象を解析。 / これらのソリューションは、航空宇宙・自動車・医療機器・工具・工作機械・重工業分野の世界トップメーカーで広く採用され、「加工のデジタルツイン」によって日本のものづくり競争力強化を支援いたします。</x:v>
      </x:c>
      <x:c r="H238" s="7" t="str">
        <x:v>負荷変動による過負荷と、余裕のある区間の加工時間。 ／ 仮想上での確認・学習と実機の結果をつなぐための準備。 ／ 形状の設計変更や加工前の確認に手間がかかる。</x:v>
      </x:c>
      <x:c r="I238" s="7" t="str">
        <x:v>同一正規化名称の2024詳細なし。新規出展・技術不存在とは判断しない。</x:v>
      </x:c>
      <x:c r="J238" s="7" t="str">
        <x:v>2026原典抜粋：『Production Module』は、NX・Mastercam・CATIAなどのCAD/CAM環境と連携し、パーツ形状全体にわたるマクロな切削現象を解析。 / これらのソリューションは、航空宇宙・自動車・医療機器・工具・工作機械・重工業分野の世界トップメーカーで広く採用され、「加工のデジタルツイン」によって日本のものづくり競争力強化を支援いたします。</x:v>
      </x:c>
      <x:c r="K238" s="7" t="str">
        <x:v>原典記述の対照。個別機能の追加・性能差・初登場年は未判定。</x:v>
      </x:c>
      <x:c r="L238" s="7" t="str">
        <x:v>年度資料不足・比較不能</x:v>
      </x:c>
      <x:c r="M238" s="7" t="str">
        <x:v>出展説明の一次分類</x:v>
      </x:c>
      <x:c r="N238" s="7" t="str"/>
      <x:c r="O238" s="7" t="str">
        <x:v>承認・例外対応・停止・復帰の境界は未確認</x:v>
      </x:c>
      <x:c r="P238" s="7" t="str">
        <x:v>2026公式カタログ掲載・現地未確認
2026展示予定。既存製品・参考出展・構想等は原典で個別確認</x:v>
      </x:c>
      <x:c r="Q238" s="7" t="str">
        <x:v>AC082</x:v>
      </x:c>
      <x:c t="str" r="R238" s="21">
        <x:f>HYPERLINK("https://www.jimtof.org/search/jp/ESdetails?e=L43LSAjxuyc","JIMTOF2026 出展ページ")</x:f>
        <x:v>JIMTOF2026 出展ページ</x:v>
      </x:c>
      <x:c r="S238" s="21" t="str"/>
      <x:c r="T238" s="7" t="str">
        <x:v>EEX-EXH-2026-3f24aaee60d77db1: https://www.jimtof.org/search/jp/ESdetails?e=L43LSAjxuyc
該当箇所: 出展紹介・主な出展物。追加カードの原典抜粋で検索</x:v>
      </x:c>
    </x:row>
    <x:row r="239" ht="155" customHeight="1">
      <x:c r="A239" s="7" t="str">
        <x:v>共通基盤</x:v>
      </x:c>
      <x:c r="B239" s="7" t="str">
        <x:v>デジタルツイン・物理学習用データ</x:v>
      </x:c>
      <x:c r="C239" s="20" t="str">
        <x:v>シーメンス株式会社</x:v>
      </x:c>
      <x:c r="D239" s="7" t="str">
        <x:v>Digital Thread：工作機械ツイン・工程内品質保証</x:v>
      </x:c>
      <x:c r="E239" s="7" t="str">
        <x:v>E3006</x:v>
      </x:c>
      <x:c r="F239" s="7" t="str">
        <x:v>加工の仮想検証・計測連携を確認する</x:v>
      </x:c>
      <x:c r="G239" s="7" t="str">
        <x:v>Tokn工作機械ツイン、Equator品質保証、ヒューマノイドを別展示。</x:v>
      </x:c>
      <x:c r="H239" s="7" t="str">
        <x:v>工具・機械・段取り制約を織り込む工程作成の技能依存。 ／ 仮想上での確認・学習と実機の結果をつなぐための準備。 ／ 形状の設計変更や加工前の確認に手間がかかる。 ／ 作業を記録・分析し、改善点や技能を共有する負担がある。</x:v>
      </x:c>
      <x:c r="I239" s="7" t="str">
        <x:v>2024カタログにNX・CNC・Mcenter等。Siemens公式事例にはToknと仮想SINUMERIK ONEによる訓練をCompletion 2024と明記。</x:v>
      </x:c>
      <x:c r="J239" s="7" t="str">
        <x:v>2026はHeller Toknツイン、Renishaw Equator品質保証、ヒューマノイド特別展示を具体記載。</x:v>
      </x:c>
      <x:c r="K239" s="7" t="str">
        <x:v>Toknの仮想訓練は2024完了の公式事例あり。</x:v>
      </x:c>
      <x:c r="L239" s="7" t="str">
        <x:v>個別比較あり</x:v>
      </x:c>
      <x:c r="M239" s="7" t="str">
        <x:v>詳細比較済み</x:v>
      </x:c>
      <x:c r="N239" s="7" t="str"/>
      <x:c r="O239" s="7" t="str">
        <x:v>海外HMND実証とJIMTOFの機体・タスクの同一性は未確認。</x:v>
      </x:c>
      <x:c r="P239" s="7" t="str">
        <x:v>2026公式カタログ掲載・現地未確認
2026展示予定。既存製品・参考出展・構想等は原典で個別確認</x:v>
      </x:c>
      <x:c r="Q239" s="7" t="str">
        <x:v>AC098</x:v>
      </x:c>
      <x:c t="str" r="R239" s="21">
        <x:f>HYPERLINK("https://www.jimtof.org/search/jp/ESdetails?e=EBIotJu7lrg","JIMTOF2026 出展ページ")</x:f>
        <x:v>JIMTOF2026 出展ページ</x:v>
      </x:c>
      <x:c t="str" r="S239" s="21">
        <x:f>HYPERLINK("https://www.jimtof.org/2024/search/jp/ESdetails?e=nYvFR1vpbuE","JIMTOF2024 出展ページ")</x:f>
        <x:v>JIMTOF2024 出展ページ</x:v>
      </x:c>
      <x:c r="T239" s="7" t="str">
        <x:v>EEX-EXH-2026-9b991dd8132f51dc: https://www.jimtof.org/search/jp/ESdetails?e=EBIotJu7lrg
該当箇所: 出展紹介・主な出展物。追加カードの原典抜粋で検索
EEX-EXH-2024-558faea07a73f5d8: https://www.jimtof.org/2024/search/jp/ESdetails?e=nYvFR1vpbuE
該当箇所: 出展紹介・主な出展物。追加カードの原典抜粋で検索
EDP-16: https://references.siemens.com/en/reference/heller-tokn-digital-twin?id=41137
該当箇所: Completion: 2024／仮想SINUMERIK ONEと3D機械モデルによる訓練
EDP-17: https://press.siemens.com/jp/ja/pressrelease/pr-20260416
該当箇所: HMND 01 Alphaのトート把持・搬送・配置／Jetson Thor・Isaac Sim/Lab</x:v>
      </x:c>
    </x:row>
    <x:row r="240" ht="155" customHeight="1">
      <x:c r="A240" s="7" t="str">
        <x:v>共通基盤</x:v>
      </x:c>
      <x:c r="B240" s="7" t="str">
        <x:v>デジタルツイン・物理学習用データ</x:v>
      </x:c>
      <x:c r="C240" s="20" t="str">
        <x:v>ニデックマシンツール株式会社</x:v>
      </x:c>
      <x:c r="D240" s="7" t="str">
        <x:v>①門形五面加工機　MVR-Hx</x:v>
      </x:c>
      <x:c r="E240" s="7" t="str">
        <x:v>E3011</x:v>
      </x:c>
      <x:c r="F240" s="7" t="str">
        <x:v>デジタルツイン・物理学習用データ</x:v>
      </x:c>
      <x:c r="G240" s="7" t="str">
        <x:v>原典抜粋：「NIDECギヤ加工ソリューション」として、荒加工～仕上げ加工、量産～少量多品種・工程集約まで、ロボットや自動車に対応した最新の歯車加工ソリューションをご提案します。 / デジタルツインの活用により、加工前のシミュレーションから検証までを仮想空間で行い、効率化・省人化を実現する『未来の生産のあり方』をご提案します。 / 新開発「NC2軸アタッチメント」によるデモと、デジタルツインプラットフォーム「Nidec NC Twin」も紹介。</x:v>
      </x:c>
      <x:c r="H240" s="7" t="str">
        <x:v>仮想上での確認・学習と実機の結果をつなぐための準備。</x:v>
      </x:c>
      <x:c r="I240" s="7" t="str">
        <x:v>2024原典抜粋：NIDECグループとしてニデックオーケーケー・TAKISAWAとともに出展。 【歯車加工分野】 「NIDECギヤ加工ソリューション」として、荒加工～仕上げ加工、量産～少量多品種・工程集約まで、EVシフトに対応した最新の歯車加工ソリューションをご提案。 【大物加工分野】 豊富な門形機ラインナップからMVR-Hx を実機展示。デジタルツインにより、多くの工程を仮想空間で完結。効率化・省人化された『未来の生産のあり方』をご提案。 ・門形五面加工機MVR-Hx ・複合加工機【新製品】 ・歯車研削盤ZFAシリーズ【新製品】 </x:v>
      </x:c>
      <x:c r="J240" s="7" t="str">
        <x:v>2026原典抜粋：「NIDECギヤ加工ソリューション」として、荒加工～仕上げ加工、量産～少量多品種・工程集約まで、ロボットや自動車に対応した最新の歯車加工ソリューションをご提案します。 / デジタルツインの活用により、加工前のシミュレーションから検証までを仮想空間で行い、効率化・省人化を実現する『未来の生産のあり方』をご提案します。 / 新開発「NC2軸アタッチメント」によるデモと、デジタルツインプラットフォーム「Nidec NC Twin」も紹介。</x:v>
      </x:c>
      <x:c r="K240" s="7" t="str">
        <x:v>原典記述の対照。個別機能の追加・性能差・初登場年は未判定。</x:v>
      </x:c>
      <x:c r="L240" s="7" t="str">
        <x:v>両年説明あり・機能差未判定</x:v>
      </x:c>
      <x:c r="M240" s="7" t="str">
        <x:v>出展説明の一次分類</x:v>
      </x:c>
      <x:c r="N240" s="7" t="str"/>
      <x:c r="O240" s="7" t="str">
        <x:v>承認・例外対応・停止・復帰の境界は未確認</x:v>
      </x:c>
      <x:c r="P240" s="7" t="str">
        <x:v>2026公式カタログ掲載・現地未確認
2026展示予定。既存製品・参考出展・構想等は原典で個別確認</x:v>
      </x:c>
      <x:c r="Q240" s="7" t="str">
        <x:v>AC172</x:v>
      </x:c>
      <x:c t="str" r="R240" s="21">
        <x:f>HYPERLINK("https://www.jimtof.org/search/jp/ESdetails?e=oS1WYTzqdvg","JIMTOF2026 出展ページ")</x:f>
        <x:v>JIMTOF2026 出展ページ</x:v>
      </x:c>
      <x:c t="str" r="S240" s="21">
        <x:f>HYPERLINK("https://www.jimtof.org/2024/search/jp/ESdetails?e=F6J7FmEp-qk","JIMTOF2024 出展ページ")</x:f>
        <x:v>JIMTOF2024 出展ページ</x:v>
      </x:c>
      <x:c r="T240" s="7" t="str">
        <x:v>EEX-EXH-2026-d31a435d31c2b6eb: https://www.jimtof.org/search/jp/ESdetails?e=oS1WYTzqdvg
該当箇所: 出展紹介・主な出展物。追加カードの原典抜粋で検索
EEX-EXH-2024-0059d4657b27c088: https://www.jimtof.org/2024/search/jp/ESdetails?e=F6J7FmEp-qk
該当箇所: 出展紹介・主な出展物。追加カードの原典抜粋で検索
EEX-EXH-2024-3301c67db4bb9dd4: https://www.jimtof.org/2024/search/jp/ESdetails?e=QF9JlOzN9Gk
該当箇所: 出展紹介・主な出展物。追加カードの原典抜粋で検索</x:v>
      </x:c>
    </x:row>
    <x:row r="241" ht="155" customHeight="1">
      <x:c r="A241" s="7" t="str">
        <x:v>共通基盤</x:v>
      </x:c>
      <x:c r="B241" s="7" t="str">
        <x:v>デジタルツイン・物理学習用データ</x:v>
      </x:c>
      <x:c r="C241" s="20" t="str">
        <x:v>NdotLight Co., Ltd.</x:v>
      </x:c>
      <x:c r="D241" s="7" t="str">
        <x:v>TRINIX：CADから物理シミュレーション用データ生成</x:v>
      </x:c>
      <x:c r="E241" s="7" t="str">
        <x:v>S4004</x:v>
      </x:c>
      <x:c r="F241" s="7" t="str">
        <x:v>物理シミュレーション用の3Dデータを作る</x:v>
      </x:c>
      <x:c r="G241" s="7" t="str">
        <x:v>TRINIXはCADから形状・物理属性等を生成し検証・自己修正を説明。</x:v>
      </x:c>
      <x:c r="H241" s="7" t="str">
        <x:v>仮想上での確認・学習と実機の結果をつなぐための準備。</x:v>
      </x:c>
      <x:c r="I241" s="7" t="str">
        <x:v>同一名称の2024詳細なし。</x:v>
      </x:c>
      <x:c r="J241" s="7" t="str">
        <x:v>テキスト・画像・CADからNURBS形状、物理属性・関節・衝突メッシュを生成し、シミュレーション検証・自己修正を説明。</x:v>
      </x:c>
      <x:c r="K241" s="7" t="str">
        <x:v>2024同名比較不能。DexBenchは共同開発告知で完成済み標準とはしない。</x:v>
      </x:c>
      <x:c r="L241" s="7" t="str">
        <x:v>個別比較あり</x:v>
      </x:c>
      <x:c r="M241" s="7" t="str">
        <x:v>詳細比較済み</x:v>
      </x:c>
      <x:c r="N241" s="7" t="str"/>
      <x:c r="O241" s="7" t="str">
        <x:v>実測値と推定値の区別、人の承認、収束しない時の対応は未公開。</x:v>
      </x:c>
      <x:c r="P241" s="7" t="str">
        <x:v>2026のライブデモ・ロボット学習用データ展示を予告。実機ロボットの作業実演とは未確認
2026展示予定。既存製品・参考出展・構想等は原典で個別確認</x:v>
      </x:c>
      <x:c r="Q241" s="7" t="str">
        <x:v>AC273</x:v>
      </x:c>
      <x:c t="str" r="R241" s="21">
        <x:f>HYPERLINK("https://www.jimtof.org/search/jp/ESdetails?e=6Ds1v9hxvrY","JIMTOF2026 出展ページ")</x:f>
        <x:v>JIMTOF2026 出展ページ</x:v>
      </x:c>
      <x:c r="S241" s="21" t="str"/>
      <x:c r="T241" s="7" t="str">
        <x:v>EEX-EXH-2026-016097f87d1914b2: https://www.jimtof.org/search/jp/ESdetails?e=6Ds1v9hxvrY
該当箇所: 出展紹介・主な出展物。追加カードの原典抜粋で検索
EEX-WNDOT: https://ndotlight.com/newsroom/ndotlight-proposes-a-new-3d-data-standard-for-the-physical-ai-era-with-trinix
該当箇所: 展示会概要・出展製品／2026年5月13日の製品説明
ERF-06: https://ndotlight.com/
該当箇所: Physics Injection／Self-corrective Closed Loop／FAQ
ERF-07: https://docs.omniverse.nvidia.com/simready/latest/simready-faq.html
該当箇所: What Is the Difference…Foundation；How Do I Validate My Composed Scene…（L526–538）
ERF-08: https://docs.omniverse.nvidia.com/simready/latest/simready-asset-creation/physics-best-practices.html
該当箇所: Typical USDPhysics Components／Collider、Mass、materialの摩擦・密度・反発
ERF-09: https://ndotlight.com/newsroom/ndotlight-to-co-develop-dexbench-a-global-standard-for-humanoid-evaluation-with-nvidia-and-rlwrld
該当箇所: 2026/8/7／SimReady環境・操作評価・sim-to-real gap低減の共同開発</x:v>
      </x:c>
    </x:row>
    <x:row r="242" ht="155" customHeight="1">
      <x:c r="A242" s="7" t="str">
        <x:v>共通基盤</x:v>
      </x:c>
      <x:c r="B242" s="7" t="str">
        <x:v>デジタルツイン・物理学習用データ</x:v>
      </x:c>
      <x:c r="C242" s="20" t="str">
        <x:v>Spatial Corp.</x:v>
      </x:c>
      <x:c r="D242" s="7" t="str">
        <x:v>CAD/CAMソフトウェアの開発を加速する、強力な3Dツールキット。 / 工作機械のデジタルツインや高精度な加工シミュレーション、CADデータ連携の開</x:v>
      </x:c>
      <x:c r="E242" s="7" t="str">
        <x:v>E1063</x:v>
      </x:c>
      <x:c r="F242" s="7" t="str">
        <x:v>デジタルツイン・物理学習用データ ／ CAD・金型設計・NC検証 ／ 図面・設計データの管理と連携</x:v>
      </x:c>
      <x:c r="G242" s="7" t="str">
        <x:v>原典抜粋：CAD/CAMソフトウェアの開発を加速する、強力な3Dツールキット。 / 工作機械のデジタルツインや高精度な加工シミュレーション、CADデータ連携の開発にお悩みではありませんか？ / ダッソー・システムズ傘下のスペイシャルは、世界中の製造業で採用される3Dモデリング・CAD変換・メッシュ生成・可視化SDKを提供しています。</x:v>
      </x:c>
      <x:c r="H242" s="7" t="str">
        <x:v>仮想上での確認・学習と実機の結果をつなぐための準備。 ／ 形状の設計変更や加工前の確認に手間がかかる。 ／ 図面・工具・品質・工程情報が別々に保存され、再利用しにくい。</x:v>
      </x:c>
      <x:c r="I242" s="7" t="str">
        <x:v>同一正規化名称の2024詳細なし。新規出展・技術不存在とは判断しない。</x:v>
      </x:c>
      <x:c r="J242" s="7" t="str">
        <x:v>2026原典抜粋：CAD/CAMソフトウェアの開発を加速する、強力な3Dツールキット。 / 工作機械のデジタルツインや高精度な加工シミュレーション、CADデータ連携の開発にお悩みではありませんか？ / ダッソー・システムズ傘下のスペイシャルは、世界中の製造業で採用される3Dモデリング・CAD変換・メッシュ生成・可視化SDKを提供しています。</x:v>
      </x:c>
      <x:c r="K242" s="7" t="str">
        <x:v>原典記述の対照。個別機能の追加・性能差・初登場年は未判定。</x:v>
      </x:c>
      <x:c r="L242" s="7" t="str">
        <x:v>年度資料不足・比較不能</x:v>
      </x:c>
      <x:c r="M242" s="7" t="str">
        <x:v>出展説明の一次分類</x:v>
      </x:c>
      <x:c r="N242" s="7" t="str"/>
      <x:c r="O242" s="7" t="str">
        <x:v>承認・例外対応・停止・復帰の境界は未確認</x:v>
      </x:c>
      <x:c r="P242" s="7" t="str">
        <x:v>2026公式カタログ掲載・現地未確認
2026展示予定。既存製品・参考出展・構想等は原典で個別確認</x:v>
      </x:c>
      <x:c r="Q242" s="7" t="str">
        <x:v>AC286</x:v>
      </x:c>
      <x:c t="str" r="R242" s="21">
        <x:f>HYPERLINK("https://www.jimtof.org/search/jp/ESdetails?e=bsgsYcvbud4","JIMTOF2026 出展ページ")</x:f>
        <x:v>JIMTOF2026 出展ページ</x:v>
      </x:c>
      <x:c r="S242" s="21" t="str"/>
      <x:c r="T242" s="7" t="str">
        <x:v>EEX-EXH-2026-b723f9bd97c08837: https://www.jimtof.org/search/jp/ESdetails?e=bsgsYcvbud4
該当箇所: 出展紹介・主な出展物。追加カードの原典抜粋で検索</x:v>
      </x:c>
    </x:row>
    <x:row r="243" ht="155" customHeight="1">
      <x:c r="A243" s="7" t="str">
        <x:v>段取り・物理作業</x:v>
      </x:c>
      <x:c r="B243" s="7" t="str">
        <x:v>展示段階と自律化の境界</x:v>
      </x:c>
      <x:c r="C243" s="20" t="str">
        <x:v>ファナック</x:v>
      </x:c>
      <x:c r="D243" s="7" t="str">
        <x:v>生成AIによるロボット駆動</x:v>
      </x:c>
      <x:c r="E243" s="7" t="str">
        <x:v>S2001</x:v>
      </x:c>
      <x:c r="F243" s="7" t="str">
        <x:v>指示からロボットを動かす（具体作業未公表）</x:v>
      </x:c>
      <x:c r="G243" s="7" t="str">
        <x:v>ファナックは生成AIによるロボット駆動事例を展示予定。</x:v>
      </x:c>
      <x:c r="H243" s="7" t="str">
        <x:v>具体的な担当タスクと対応する顧客課題は、今回確認した資料では未特定</x:v>
      </x:c>
      <x:c r="I243" s="7" t="str">
        <x:v>AI高速バラ積み、協働ロボット、ROBOGUIDEを掲載</x:v>
      </x:c>
      <x:c r="J243" s="7" t="str">
        <x:v>生成AI駆動・フィジカルAI・オープンプラットフォームを明記</x:v>
      </x:c>
      <x:c r="K243" s="7" t="str">
        <x:v>2024はAIバラ積み等。2026は生成AI駆動を追加記載。</x:v>
      </x:c>
      <x:c r="L243" s="7" t="str">
        <x:v>個別比較あり</x:v>
      </x:c>
      <x:c r="M243" s="7" t="str">
        <x:v>詳細比較済み</x:v>
      </x:c>
      <x:c r="N243" s="7" t="str"/>
      <x:c r="O243" s="7" t="str">
        <x:v>機体・対象タスク・教示・停止・承認の具体範囲は未確認。</x:v>
      </x:c>
      <x:c r="P243" s="7" t="str">
        <x:v>JIMTOF2026公式カタログ掲載・現地未確認
2026展示予定・提供段階未確認</x:v>
      </x:c>
      <x:c r="Q243" s="7" t="str">
        <x:v>FC005</x:v>
      </x:c>
      <x:c t="str" r="R243" s="21">
        <x:f>HYPERLINK("https://www.jimtof.org/search/jp/ESdetails?e=q0OrZBKM3uQ","JIMTOF2026 出展ページ")</x:f>
        <x:v>JIMTOF2026 出展ページ</x:v>
      </x:c>
      <x:c t="str" r="S243" s="21">
        <x:f>HYPERLINK("https://www.jimtof.org/2024/search/jp/ESdetails?e=N0RgOmmcwZw","JIMTOF2024 出展ページ")</x:f>
        <x:v>JIMTOF2024 出展ページ</x:v>
      </x:c>
      <x:c r="T243" s="7" t="str">
        <x:v>EOV-V002-2024-1: https://www.jimtof.org/2024/search/jp/ESdetails?e=N0RgOmmcwZw
該当箇所: main &gt; div.col-md-8.mb-5 の出展紹介、見出し「主な出展物」直後
EOV-V002-2026-1: https://www.jimtof.org/search/jp/ESdetails?e=q0OrZBKM3uQ
該当箇所: main &gt; div.col-md-8.mb-5 の出展紹介、見出し「主な出展物」直後</x:v>
      </x:c>
    </x:row>
    <x:row r="244" ht="155" customHeight="1">
      <x:c r="A244" s="7" t="str">
        <x:v>段取り・物理作業</x:v>
      </x:c>
      <x:c r="B244" s="7" t="str">
        <x:v>展示段階と自律化の境界</x:v>
      </x:c>
      <x:c r="C244" s="20" t="str">
        <x:v>ファナック</x:v>
      </x:c>
      <x:c r="D244" s="7" t="str">
        <x:v>フィジカルAI CNC</x:v>
      </x:c>
      <x:c r="E244" s="7" t="str">
        <x:v>S2001</x:v>
      </x:c>
      <x:c r="F244" s="7" t="str">
        <x:v>担当タスク未特定</x:v>
      </x:c>
      <x:c r="G244" s="7" t="str">
        <x:v>知的作業を安全に自動化するとのメーカー説明</x:v>
      </x:c>
      <x:c r="H244" s="7" t="str">
        <x:v>具体的な担当タスクと対応する顧客課題は、今回確認した資料では未特定</x:v>
      </x:c>
      <x:c r="I244" s="7" t="str">
        <x:v>Series 500i-A、段取り支援、Smart Digital Twinを掲載</x:v>
      </x:c>
      <x:c r="J244" s="7" t="str">
        <x:v>フィジカルAI CNCを明記</x:v>
      </x:c>
      <x:c r="K244" s="7" t="str">
        <x:v>出展説明・公式資料の記載比較。初発明年・実演成功・性能向上を証明するものではない。</x:v>
      </x:c>
      <x:c r="L244" s="7" t="str">
        <x:v>比較記録あり</x:v>
      </x:c>
      <x:c r="M244" s="7" t="str">
        <x:v>個別タスク整理</x:v>
      </x:c>
      <x:c r="N244" s="7" t="str"/>
      <x:c r="O244" s="7" t="str">
        <x:v>自動変更できるパラメータ・承認・安全確認は未確認</x:v>
      </x:c>
      <x:c r="P244" s="7" t="str">
        <x:v>JIMTOF2026公式カタログ掲載・現地未確認
2026展示予定・提供段階未確認</x:v>
      </x:c>
      <x:c r="Q244" s="7" t="str">
        <x:v>FC006</x:v>
      </x:c>
      <x:c t="str" r="R244" s="21">
        <x:f>HYPERLINK("https://www.jimtof.org/search/jp/ESdetails?e=q0OrZBKM3uQ","JIMTOF2026 出展ページ")</x:f>
        <x:v>JIMTOF2026 出展ページ</x:v>
      </x:c>
      <x:c t="str" r="S244" s="21">
        <x:f>HYPERLINK("https://www.jimtof.org/2024/search/jp/ESdetails?e=N0RgOmmcwZw","JIMTOF2024 出展ページ")</x:f>
        <x:v>JIMTOF2024 出展ページ</x:v>
      </x:c>
      <x:c r="T244" s="7" t="str">
        <x:v>EOV-V002-2024-1: https://www.jimtof.org/2024/search/jp/ESdetails?e=N0RgOmmcwZw
該当箇所: main &gt; div.col-md-8.mb-5 の出展紹介、見出し「主な出展物」直後
EOV-V002-2026-1: https://www.jimtof.org/search/jp/ESdetails?e=q0OrZBKM3uQ
該当箇所: main &gt; div.col-md-8.mb-5 の出展紹介、見出し「主な出展物」直後</x:v>
      </x:c>
    </x:row>
    <x:row r="245" ht="155" customHeight="1">
      <x:c r="A245" s="7" t="str">
        <x:v>段取り・物理作業</x:v>
      </x:c>
      <x:c r="B245" s="7" t="str">
        <x:v>展示段階と自律化の境界</x:v>
      </x:c>
      <x:c r="C245" s="20" t="str">
        <x:v>伊藤忠マシンテクノス株式会社</x:v>
      </x:c>
      <x:c r="D245" s="7" t="str">
        <x:v>ELHA社(ドイツ)大型特注工作機械　https://www.elha.de/ja/</x:v>
      </x:c>
      <x:c r="E245" s="7" t="str">
        <x:v>E1002</x:v>
      </x:c>
      <x:c r="F245" s="7" t="str">
        <x:v>ワーク・パレット・切粉の搬送 ／ デジタルツイン・物理学習用データ ／ 展示段階と自律化の境界</x:v>
      </x:c>
      <x:c r="G245" s="7" t="str">
        <x:v>原典抜粋：本展示では、加工機単体の提案に留まらず、超重量AGV等を用いた「自動搬送システム」や、最先端AIテクノロジーを活用した「Physical AI・Iot,DXへのAI活用」など次世代のスマートファクトリー実現に向けた最新商材を幅広くラインナップしています。 / 加工・自動化・AI・DXの最新トレンドを体感できるブースへ、ぜひお越しください。 / ・ロボットリアルタイムティーチングソフト / ・Physical AI　二次開発&amp;統合システム</x:v>
      </x:c>
      <x:c r="H245" s="7" t="str">
        <x:v>品種・量の変化に合わせて人の供給往復を減らす。 ／ 仮想上での確認・学習と実機の結果をつなぐための準備。 ／ 人型やAIという名称だけでは任せられる仕事を判断できない。</x:v>
      </x:c>
      <x:c r="I245" s="7" t="str">
        <x:v>2024原典抜粋：今回出展するのは独自のアイデアを持った欧州メーカーを中心に出展します。 ELHA/ドイツ テーブルトラバーストランスファーマシン ・多数個取り同時加工 ・自由度の高いプロダクションモジュールを搭載、ATC可能 パラレルタイプマシニングセンタ ・大型ワークに最適（ギガキャスト、バッテリートレイ、シャーシ等） ・ATC可能 ターニング ・SSDリニアテーブル(割出精度1sec) ・C軸同期で5面加工機と同機能実現 FAMAR/イタリア 縦型逆さ複合旋盤 ・ワーク搬送時間短縮、省スペース ・旋削、穴あけ、ミーリング、ハー</x:v>
      </x:c>
      <x:c r="J245" s="7" t="str">
        <x:v>2026原典抜粋：本展示では、加工機単体の提案に留まらず、超重量AGV等を用いた「自動搬送システム」や、最先端AIテクノロジーを活用した「Physical AI・Iot,DXへのAI活用」など次世代のスマートファクトリー実現に向けた最新商材を幅広くラインナップしています。 / 加工・自動化・AI・DXの最新トレンドを体感できるブースへ、ぜひお越しください。 / ・ロボットリアルタイムティーチングソフト / ・Physical AI　二次開発&amp;統合システム</x:v>
      </x:c>
      <x:c r="K245" s="7" t="str">
        <x:v>原典記述の対照。個別機能の追加・性能差・初登場年は未判定。</x:v>
      </x:c>
      <x:c r="L245" s="7" t="str">
        <x:v>両年説明あり・機能差未判定</x:v>
      </x:c>
      <x:c r="M245" s="7" t="str">
        <x:v>出展説明の一次分類</x:v>
      </x:c>
      <x:c r="N245" s="7" t="str"/>
      <x:c r="O245" s="7" t="str">
        <x:v>承認・例外対応・停止・復帰の境界は未確認</x:v>
      </x:c>
      <x:c r="P245" s="7" t="str">
        <x:v>2026公式カタログ掲載・現地未確認
2026展示予定。既存製品・参考出展・構想等は原典で個別確認</x:v>
      </x:c>
      <x:c r="Q245" s="7" t="str">
        <x:v>AC019</x:v>
      </x:c>
      <x:c t="str" r="R245" s="21">
        <x:f>HYPERLINK("https://www.jimtof.org/search/jp/ESdetails?e=7ypX6WR51KU","JIMTOF2026 出展ページ")</x:f>
        <x:v>JIMTOF2026 出展ページ</x:v>
      </x:c>
      <x:c t="str" r="S245" s="21">
        <x:f>HYPERLINK("https://www.jimtof.org/2024/search/jp/ESdetails?e=oAJf-RFYInA","JIMTOF2024 出展ページ")</x:f>
        <x:v>JIMTOF2024 出展ページ</x:v>
      </x:c>
      <x:c r="T245" s="7" t="str">
        <x:v>EEX-EXH-2026-41dc1e5513fe9737: https://www.jimtof.org/search/jp/ESdetails?e=7ypX6WR51KU
該当箇所: 出展紹介・主な出展物。追加カードの原典抜粋で検索
EEX-EXH-2024-67725eabe6ec70b8: https://www.jimtof.org/2024/search/jp/ESdetails?e=oAJf-RFYInA
該当箇所: 出展紹介・主な出展物。追加カードの原典抜粋で検索</x:v>
      </x:c>
    </x:row>
    <x:row r="246" ht="155" customHeight="1">
      <x:c r="A246" s="7" t="str">
        <x:v>段取り・物理作業</x:v>
      </x:c>
      <x:c r="B246" s="7" t="str">
        <x:v>展示段階と自律化の境界</x:v>
      </x:c>
      <x:c r="C246" s="20" t="str">
        <x:v>THK株式会社</x:v>
      </x:c>
      <x:c r="D246" s="7" t="str">
        <x:v>【高精度化・高速化・省人化】機械要素部品</x:v>
      </x:c>
      <x:c r="E246" s="7" t="str">
        <x:v>W2018</x:v>
      </x:c>
      <x:c r="F246" s="7" t="str">
        <x:v>展示段階と自律化の境界 ／ 安全監視・自動化を支える機器</x:v>
      </x:c>
      <x:c r="G246" s="7" t="str">
        <x:v>原典抜粋：・人と一緒に働くヒト型ロボット「NEXTAGE」</x:v>
      </x:c>
      <x:c r="H246" s="7" t="str">
        <x:v>人型やAIという名称だけでは任せられる仕事を判断できない。 ／ 無人運転やロボット導入には、安全確保と機器・配線・力の伝達が必要。</x:v>
      </x:c>
      <x:c r="I246" s="7" t="str">
        <x:v>2024原典抜粋：私たちTHKは、直線運動案内（Linear Motion Guide-LMガイド）を世界で初めて製品化し、要素部品からモジュール製品、FAソリューションまでご提案するものづくり企業です。「ものづくりサービス業」をビジョンに掲げ、独創的な発想と蓄積したノウハウ、独自技術により開発した製品サービスで、お客様のものづくりに関する課題解決と生産性向上に貢献します。 今回は「最先端の自働化～あらゆる動きを技術とサービスでサポート～」をブーステーマに、工作機械の高性能化を実現する要素部品をはじめ、調達・設計・組立工程の負荷軽減</x:v>
      </x:c>
      <x:c r="J246" s="7" t="str">
        <x:v>2026原典抜粋：・人と一緒に働くヒト型ロボット「NEXTAGE」</x:v>
      </x:c>
      <x:c r="K246" s="7" t="str">
        <x:v>原典記述の対照。個別機能の追加・性能差・初登場年は未判定。</x:v>
      </x:c>
      <x:c r="L246" s="7" t="str">
        <x:v>両年説明あり・機能差未判定</x:v>
      </x:c>
      <x:c r="M246" s="7" t="str">
        <x:v>出展説明の一次分類</x:v>
      </x:c>
      <x:c r="N246" s="7" t="str"/>
      <x:c r="O246" s="7" t="str">
        <x:v>承認・例外対応・停止・復帰の境界は未確認</x:v>
      </x:c>
      <x:c r="P246" s="7" t="str">
        <x:v>2026公式カタログ掲載・現地未確認
2026展示予定。既存製品・参考出展・構想等は原典で個別確認</x:v>
      </x:c>
      <x:c r="Q246" s="7" t="str">
        <x:v>AC143</x:v>
      </x:c>
      <x:c t="str" r="R246" s="21">
        <x:f>HYPERLINK("https://www.jimtof.org/search/jp/ESdetails?e=z-lVfqtvgVM","JIMTOF2026 出展ページ")</x:f>
        <x:v>JIMTOF2026 出展ページ</x:v>
      </x:c>
      <x:c t="str" r="S246" s="21">
        <x:f>HYPERLINK("https://www.jimtof.org/2024/search/jp/ESdetails?e=25HOX5M84N0","JIMTOF2024 出展ページ")</x:f>
        <x:v>JIMTOF2024 出展ページ</x:v>
      </x:c>
      <x:c r="T246" s="7" t="str">
        <x:v>EEX-EXH-2026-45c22ca4a91150f4: https://www.jimtof.org/search/jp/ESdetails?e=z-lVfqtvgVM
該当箇所: 出展紹介・主な出展物。追加カードの原典抜粋で検索
EEX-EXH-2024-bb78fa3798d657cd: https://www.jimtof.org/2024/search/jp/ESdetails?e=25HOX5M84N0
該当箇所: 出展紹介・主な出展物。追加カードの原典抜粋で検索</x:v>
      </x:c>
    </x:row>
    <x:row r="247" ht="155" customHeight="1">
      <x:c r="A247" s="7" t="str">
        <x:v>段取り・物理作業</x:v>
      </x:c>
      <x:c r="B247" s="7" t="str">
        <x:v>展示段階と自律化の境界</x:v>
      </x:c>
      <x:c r="C247" s="20" t="str">
        <x:v>株式会社ナベル</x:v>
      </x:c>
      <x:c r="D247" s="7" t="str">
        <x:v>TM Robot S-Type：ビジョン・AI内蔵協働ロボット</x:v>
      </x:c>
      <x:c r="E247" s="7" t="str">
        <x:v>W2041</x:v>
      </x:c>
      <x:c r="F247" s="7" t="str">
        <x:v>展示段階と自律化の境界</x:v>
      </x:c>
      <x:c r="G247" s="7" t="str">
        <x:v>2026はS-Typeの内蔵カメラ・AIソフトを明記。EPSON LS8の供給・仕分け用途も掲載。</x:v>
      </x:c>
      <x:c r="H247" s="7" t="str">
        <x:v>人型やAIという名称だけでは任せられる仕事を判断できない。</x:v>
      </x:c>
      <x:c r="I247" s="7" t="str">
        <x:v>2024もTMロボットを掲載。主説明はカバー・クーラント等。</x:v>
      </x:c>
      <x:c r="J247" s="7" t="str">
        <x:v>2026はS-Typeの内蔵カメラ・AIソフトを明記。EPSON LS8の供給・仕分け用途も掲載。</x:v>
      </x:c>
      <x:c r="K247" s="7" t="str">
        <x:v>ロボット出展は継続。AIの具体タスク・機能差は未確定。</x:v>
      </x:c>
      <x:c r="L247" s="7" t="str">
        <x:v>両年説明あり・機能差未判定</x:v>
      </x:c>
      <x:c r="M247" s="7" t="str">
        <x:v>出展説明の一次分類</x:v>
      </x:c>
      <x:c r="N247" s="7" t="str"/>
      <x:c r="O247" s="7" t="str">
        <x:v>承認・例外対応・停止・復帰の境界は未確認</x:v>
      </x:c>
      <x:c r="P247" s="7" t="str">
        <x:v>2026公式カタログ掲載・現地未確認
2026展示予定。既存製品・参考出展・構想等は原典で個別確認</x:v>
      </x:c>
      <x:c r="Q247" s="7" t="str">
        <x:v>AC159</x:v>
      </x:c>
      <x:c t="str" r="R247" s="21">
        <x:f>HYPERLINK("https://www.jimtof.org/search/jp/ESdetails?e=6wciaKIuYB8","JIMTOF2026 出展ページ")</x:f>
        <x:v>JIMTOF2026 出展ページ</x:v>
      </x:c>
      <x:c t="str" r="S247" s="21">
        <x:f>HYPERLINK("https://www.jimtof.org/2024/search/jp/ESdetails?e=fYVjWl92q60","JIMTOF2024 出展ページ")</x:f>
        <x:v>JIMTOF2024 出展ページ</x:v>
      </x:c>
      <x:c r="T247" s="7" t="str">
        <x:v>EEX-EXH-2026-87b7a21b4cef9d01: https://www.jimtof.org/search/jp/ESdetails?e=6wciaKIuYB8
該当箇所: 出展紹介・主な出展物。追加カードの原典抜粋で検索
EEX-EXH-2024-b38efca212cfc193: https://www.jimtof.org/2024/search/jp/ESdetails?e=fYVjWl92q60
該当箇所: 出展紹介・主な出展物。追加カードの原典抜粋で検索</x:v>
      </x:c>
    </x:row>
    <x:row r="248" ht="155" customHeight="1">
      <x:c r="A248" s="7" t="str">
        <x:v>段取り・物理作業</x:v>
      </x:c>
      <x:c r="B248" s="7" t="str">
        <x:v>展示段階と自律化の境界</x:v>
      </x:c>
      <x:c r="C248" s="20" t="str">
        <x:v>東京貿易テクノシステム</x:v>
      </x:c>
      <x:c r="D248" s="7" t="str">
        <x:v>RBY Series 双腕移動ヒューマノイド</x:v>
      </x:c>
      <x:c r="E248" s="7" t="str">
        <x:v>E7038</x:v>
      </x:c>
      <x:c r="F248" s="7" t="str">
        <x:v>双腕人型ロボットを遠隔操作・教示する</x:v>
      </x:c>
      <x:c r="G248" s="7" t="str">
        <x:v>RBY双腕移動ヒューマノイドはテレオペと作業教示の参考出展。</x:v>
      </x:c>
      <x:c r="H248" s="7" t="str">
        <x:v>人型やAIという名称だけでは任せられる仕事を判断できない。</x:v>
      </x:c>
      <x:c r="I248" s="7" t="str">
        <x:v>2024同名展示との個別差は未照合。</x:v>
      </x:c>
      <x:c r="J248" s="7" t="str">
        <x:v>近年、3D測定技術の進化により、多くの製造現場で高精度な測定データの取得が可能になっております。しかし、その貴重なデータが主に製品・金型・治具の品質合否判定やリバースエンジニアリングのために利用され、加工改善や生産性向上に十分活用されていないケースも少なくありません。
弊社はJIMTOFにおいて、「測るから、活かすへ。3Dデータを活かした加工支援と品質管理」を出展テーマに掲げ、測定データを更に活かす新たなものづくりをご提案いたします。
3Dデータを単なる検査結果として終わらせるのではなく、加工現場へフィードバックすることで、工程改善や品質向上を支援します。測定によって見える化された情報を基に、加工誤差の要因分析や品質の安定化、生産効率の向上を実現し、お客様のものづくりをより高いレベルへ導きます。
皆様のご来場を心よりお待ちしております。
【出展物】
「加工支援」をテーマとした出展
❶測定結果をそのまま加工へ システム名：Leica Absolute Tracker ATS600
❷モバイル自動計測 システム名：Absolute Arm+Cobot
❸ケガキ作業が楽になる システム名：AT960+T-Probe
「品質管理」をテーマとした出展
❶場所を選ばず写真で測る システム名：DPA
❷品質保証DX システム名：Leica Absolute Tracker、Absolute Arm、門型三次元測定機他
「その他」出展
❶切削条件の最適化 システム名：MatchID
❷※参考出展　テレオペレーションによるティーチング(省人化) システム名：RBY Series Dual-Arm Mobile Humanoid</x:v>
      </x:c>
      <x:c r="K248" s="7" t="str">
        <x:v>2024の個別差は未照合。</x:v>
      </x:c>
      <x:c r="L248" s="7" t="str">
        <x:v>個別比較あり</x:v>
      </x:c>
      <x:c r="M248" s="7" t="str">
        <x:v>詳細比較済み</x:v>
      </x:c>
      <x:c r="N248" s="7" t="str"/>
      <x:c r="O248" s="7" t="str">
        <x:v>人が遠隔操作・教示。自律作業の範囲は未確認。</x:v>
      </x:c>
      <x:c r="P248" s="7" t="str">
        <x:v>2026展示予定
公式カタログ記載</x:v>
      </x:c>
      <x:c r="Q248" s="7" t="str">
        <x:v>RPT005</x:v>
      </x:c>
      <x:c t="str" r="R248" s="21">
        <x:f>HYPERLINK("https://www.jimtof.org/search/jp/ESdetails?e=q65eJorv2LU","JIMTOF2026 出展ページ")</x:f>
        <x:v>JIMTOF2026 出展ページ</x:v>
      </x:c>
      <x:c t="str" r="S248" s="21">
        <x:f>HYPERLINK("https://www.jimtof.org/2024/search/jp/ESdetails?e=RD73EqDannI","JIMTOF2024 出展ページ")</x:f>
        <x:v>JIMTOF2024 出展ページ</x:v>
      </x:c>
      <x:c r="T248" s="7" t="str">
        <x:v>RPT-EXH-2026-d7b599b5d3045611: https://www.jimtof.org/search/jp/ESdetails?e=q65eJorv2LU
該当箇所: main &gt; div.container &gt; div.row &gt; div.col-md-8.mb-5; 見出し「主な出展物」と直後のp
RPT-EXH-2024-5cbad6b0326d2bee: https://www.jimtof.org/2024/search/jp/ESdetails?e=RD73EqDannI
該当箇所: main &gt; div.container &gt; div.row &gt; div.col-md-8.mb-5; 見出し「主な出展物」と直後のp</x:v>
      </x:c>
    </x:row>
    <x:row r="249" ht="155" customHeight="1">
      <x:c r="A249" s="7" t="str">
        <x:v>段取り・物理作業</x:v>
      </x:c>
      <x:c r="B249" s="7" t="str">
        <x:v>展示段階と自律化の境界</x:v>
      </x:c>
      <x:c r="C249" s="20" t="str">
        <x:v>神崎高級工機</x:v>
      </x:c>
      <x:c r="D249" s="7" t="str">
        <x:v>FD100 ギヤチェッカー</x:v>
      </x:c>
      <x:c r="E249" s="7" t="str">
        <x:v>E1071</x:v>
      </x:c>
      <x:c r="F249" s="7" t="str">
        <x:v>歯車の加工前状態を測り段取りを助ける</x:v>
      </x:c>
      <x:c r="G249" s="7" t="str">
        <x:v>FD100に歯合わせ・前加工計測。計測による条件最適化は開発中。</x:v>
      </x:c>
      <x:c r="H249" s="7" t="str">
        <x:v>人型やAIという名称だけでは任せられる仕事を判断できない。</x:v>
      </x:c>
      <x:c r="I249" s="7" t="str">
        <x:v>2024はFX260/GX150とミネラルキャストによる熱安定・振動減衰を説明。</x:v>
      </x:c>
      <x:c r="J249" s="7" t="str">
        <x:v>EV向けをはじめとする小径歯車加工へのニーズに対応するため、従来機のFD300をベースに、
最大ワーク径φ100に最適化したギヤホーニングマシーン「FD100」を開発しました。
自動歯合わせ機能と、加工前のワーク状態を確認するギヤチェッカーを搭載し、
段取り作業時間の短縮と安定した加工を支援します。
カバーデザインも一新し、作業効率の良い扱いやすい設備としました。
さらに、砥石軸の同期性能向上を目指したダイレクトドライブ式砥石ヘッドや、
ギヤチェッカーからのワーク情報を活用して加工条件の最適化を支援する機能についても開発中です。
小径・高精度歯車加工に向けた当社の最新技術をJIMTOF2026で展示致します。
ギヤホーニングマシーン
EV向け小径歯車加工の需要拡大に対応するため、当社は従来機「FD300」をベースに
最大ワーク径φ100に最適化したギヤホーニングマシーン「FD100」を開発しました。
ギヤホーニングは歯面の微細仕上げにより噛み合い精度を高め、EVで求められる静粛性の向上や振動低減、さらに歯面状態の安定化を通じて長寿命・安定した駆動性能に寄与します。
FD100は自動歯合わせ機能と加工前のワーク状態を確認するギヤチェッカーを搭載し、段取り時間の短縮と安定した加工を支援します。</x:v>
      </x:c>
      <x:c r="K249" s="7" t="str">
        <x:v>2024の構造改善等に対し段取りを具体化。開発中を実用済みとしない。</x:v>
      </x:c>
      <x:c r="L249" s="7" t="str">
        <x:v>個別比較あり</x:v>
      </x:c>
      <x:c r="M249" s="7" t="str">
        <x:v>詳細比較済み</x:v>
      </x:c>
      <x:c r="N249" s="7" t="str"/>
      <x:c r="O249" s="7" t="str">
        <x:v>最適化方式と人の承認、自動反映範囲は未公表。</x:v>
      </x:c>
      <x:c r="P249" s="7" t="str">
        <x:v>2026展示予定
公式カタログ記載</x:v>
      </x:c>
      <x:c r="Q249" s="7" t="str">
        <x:v>RPT004</x:v>
      </x:c>
      <x:c t="str" r="R249" s="21">
        <x:f>HYPERLINK("https://www.jimtof.org/search/jp/ESdetails?e=bpuT_4Xpv_c","JIMTOF2026 出展ページ")</x:f>
        <x:v>JIMTOF2026 出展ページ</x:v>
      </x:c>
      <x:c t="str" r="S249" s="21">
        <x:f>HYPERLINK("https://www.jimtof.org/2024/search/jp/ESdetails?e=C7Uh8Jc1Y2s","JIMTOF2024 出展ページ")</x:f>
        <x:v>JIMTOF2024 出展ページ</x:v>
      </x:c>
      <x:c r="T249" s="7" t="str">
        <x:v>RPT-EXH-2026-91aa8dd094a4a7b2: https://www.jimtof.org/search/jp/ESdetails?e=bpuT_4Xpv_c
該当箇所: main &gt; div.container &gt; div.row &gt; div.col-md-8.mb-5; 見出し「主な出展物」と直後のp
RPT-EXH-2024-50a402f6bcce2ab8: https://www.jimtof.org/2024/search/jp/ESdetails?e=C7Uh8Jc1Y2s
該当箇所: main &gt; div.container &gt; div.row &gt; div.col-md-8.mb-5; 見出し「主な出展物」と直後のp</x:v>
      </x:c>
    </x:row>
    <x:row r="250" ht="155" customHeight="1">
      <x:c r="A250" s="7" t="str">
        <x:v>生産準備</x:v>
      </x:c>
      <x:c r="B250" s="7" t="str">
        <x:v>CAD・金型設計・NC検証</x:v>
      </x:c>
      <x:c r="C250" s="20" t="str">
        <x:v>ファナック</x:v>
      </x:c>
      <x:c r="D250" s="7" t="str">
        <x:v>FANUC Smart Digital Twin</x:v>
      </x:c>
      <x:c r="E250" s="7" t="str">
        <x:v>S2001</x:v>
      </x:c>
      <x:c r="F250" s="7" t="str">
        <x:v>加工前に機械の動きを確かめる</x:v>
      </x:c>
      <x:c r="G250" s="7" t="str">
        <x:v>Smart Digital Twinで加工前の挙動確認を支援。</x:v>
      </x:c>
      <x:c r="H250" s="7" t="str">
        <x:v>実機試行で発覚する干渉・削り過ぎ・設定違いの防止</x:v>
      </x:c>
      <x:c r="I250" s="7" t="str">
        <x:v>Smart Digital Twinを掲載</x:v>
      </x:c>
      <x:c r="J250" s="7" t="str">
        <x:v>同名製品を継続掲載</x:v>
      </x:c>
      <x:c r="K250" s="7" t="str">
        <x:v>同名ツインは2024から継続。</x:v>
      </x:c>
      <x:c r="L250" s="7" t="str">
        <x:v>個別比較あり</x:v>
      </x:c>
      <x:c r="M250" s="7" t="str">
        <x:v>詳細比較済み</x:v>
      </x:c>
      <x:c r="N250" s="7" t="str"/>
      <x:c r="O250" s="7" t="str">
        <x:v>モデルと実機の一致や、検証対象外事象の扱いは未確認。</x:v>
      </x:c>
      <x:c r="P250" s="7" t="str">
        <x:v>JIMTOF2026公式カタログ掲載・現地未確認
2026展示予定・提供段階未確認</x:v>
      </x:c>
      <x:c r="Q250" s="7" t="str">
        <x:v>FC007</x:v>
      </x:c>
      <x:c t="str" r="R250" s="21">
        <x:f>HYPERLINK("https://www.jimtof.org/search/jp/ESdetails?e=q0OrZBKM3uQ","JIMTOF2026 出展ページ")</x:f>
        <x:v>JIMTOF2026 出展ページ</x:v>
      </x:c>
      <x:c t="str" r="S250" s="21">
        <x:f>HYPERLINK("https://www.jimtof.org/2024/search/jp/ESdetails?e=N0RgOmmcwZw","JIMTOF2024 出展ページ")</x:f>
        <x:v>JIMTOF2024 出展ページ</x:v>
      </x:c>
      <x:c r="T250" s="7" t="str">
        <x:v>EOV-V002-2024-1: https://www.jimtof.org/2024/search/jp/ESdetails?e=N0RgOmmcwZw
該当箇所: main &gt; div.col-md-8.mb-5 の出展紹介、見出し「主な出展物」直後
EOV-V002-2026-1: https://www.jimtof.org/search/jp/ESdetails?e=q0OrZBKM3uQ
該当箇所: main &gt; div.col-md-8.mb-5 の出展紹介、見出し「主な出展物」直後</x:v>
      </x:c>
    </x:row>
    <x:row r="251" ht="155" customHeight="1">
      <x:c r="A251" s="7" t="str">
        <x:v>生産準備</x:v>
      </x:c>
      <x:c r="B251" s="7" t="str">
        <x:v>CAD・金型設計・NC検証</x:v>
      </x:c>
      <x:c r="C251" s="20" t="str">
        <x:v>EPLAN</x:v>
      </x:c>
      <x:c r="D251" s="7" t="str">
        <x:v>Eplan P8／Pro Panel</x:v>
      </x:c>
      <x:c r="E251" s="7" t="str">
        <x:v>S1067</x:v>
      </x:c>
      <x:c r="F251" s="7" t="str">
        <x:v>設計製造データ連携</x:v>
      </x:c>
      <x:c r="G251" s="7" t="str">
        <x:v>設計資産の標準化・再利用と製造データの一貫化</x:v>
      </x:c>
      <x:c r="H251" s="7" t="str">
        <x:v>設計・加工準備・製造間のデータ分断と設計資産の再利用</x:v>
      </x:c>
      <x:c r="I251" s="7" t="str">
        <x:v>電気設計から盤製造までのデータ接続を掲載</x:v>
      </x:c>
      <x:c r="J251" s="7" t="str">
        <x:v>同じデータ中心の設計製造連携を掲載</x:v>
      </x:c>
      <x:c r="K251" s="7" t="str">
        <x:v>出展説明・公式資料の記載比較。初発明年・実演成功・性能向上を証明するものではない。</x:v>
      </x:c>
      <x:c r="L251" s="7" t="str">
        <x:v>比較記録あり</x:v>
      </x:c>
      <x:c r="M251" s="7" t="str">
        <x:v>個別タスク整理</x:v>
      </x:c>
      <x:c r="N251" s="7" t="str"/>
      <x:c r="O251" s="7" t="str">
        <x:v>設計判断・最終承認を自律化する説明ではない</x:v>
      </x:c>
      <x:c r="P251" s="7" t="str">
        <x:v>JIMTOF2026公式カタログ掲載・現地未確認
2026展示予定・提供段階未確認</x:v>
      </x:c>
      <x:c r="Q251" s="7" t="str">
        <x:v>FC016</x:v>
      </x:c>
      <x:c t="str" r="R251" s="21">
        <x:f>HYPERLINK("https://www.jimtof.org/search/jp/ESdetails?e=FHsQAvmFusY","JIMTOF2026 出展ページ")</x:f>
        <x:v>JIMTOF2026 出展ページ</x:v>
      </x:c>
      <x:c t="str" r="S251" s="21">
        <x:f>HYPERLINK("https://www.jimtof.org/2024/search/jp/ESdetails?e=50efK4rQsHs","JIMTOF2024 出展ページ")</x:f>
        <x:v>JIMTOF2024 出展ページ</x:v>
      </x:c>
      <x:c r="T251" s="7" t="str">
        <x:v>EOV-V006-2024-1: https://www.jimtof.org/2024/search/jp/ESdetails?e=50efK4rQsHs
該当箇所: main &gt; div.col-md-8.mb-5 の出展紹介、見出し「主な出展物」直後
EOV-V006-2026-1: https://www.jimtof.org/search/jp/ESdetails?e=FHsQAvmFusY
該当箇所: main &gt; div.col-md-8.mb-5 の出展紹介、見出し「主な出展物」直後</x:v>
      </x:c>
    </x:row>
    <x:row r="252" ht="155" customHeight="1">
      <x:c r="A252" s="7" t="str">
        <x:v>生産準備</x:v>
      </x:c>
      <x:c r="B252" s="7" t="str">
        <x:v>CAD・金型設計・NC検証</x:v>
      </x:c>
      <x:c r="C252" s="20" t="str">
        <x:v>CGTech</x:v>
      </x:c>
      <x:c r="D252" s="7" t="str">
        <x:v>Vericut：Gコード検証</x:v>
      </x:c>
      <x:c r="E252" s="7" t="str">
        <x:v>S3014</x:v>
      </x:c>
      <x:c r="F252" s="7" t="str">
        <x:v>NC・干渉検証</x:v>
      </x:c>
      <x:c r="G252" s="7" t="str">
        <x:v>仮想実行で干渉・衝突、削り過ぎ／残し等を検出。学習AIによる判定と記載なし</x:v>
      </x:c>
      <x:c r="H252" s="7" t="str">
        <x:v>実機試行で発覚する干渉・削り過ぎ・設定違いの防止</x:v>
      </x:c>
      <x:c r="I252" s="7" t="str">
        <x:v>同方式に加えCNCプリチェック・実機モニターまで説明</x:v>
      </x:c>
      <x:c r="J252" s="7" t="str">
        <x:v>検証・デジタルツインを継続掲載</x:v>
      </x:c>
      <x:c r="K252" s="7" t="str">
        <x:v>出展説明・公式資料の記載比較。初発明年・実演成功・性能向上を証明するものではない。</x:v>
      </x:c>
      <x:c r="L252" s="7" t="str">
        <x:v>比較記録あり</x:v>
      </x:c>
      <x:c r="M252" s="7" t="str">
        <x:v>個別タスク整理</x:v>
      </x:c>
      <x:c r="N252" s="7" t="str"/>
      <x:c r="O252" s="7" t="str">
        <x:v>事前準備：分析：実機と同じNC・工具・治具・機械モデルを用意する必要／承認：分析：指摘を修正し、実加工への採用を判断。自動承認の根拠なし／例外対応：未記載：モデル誤り・現物差・未検出エラーをどう運用で補うか</x:v>
      </x:c>
      <x:c r="P252" s="7" t="str">
        <x:v>JIMTOF2026公式カタログ掲載・現地未確認
2026展示予定・提供段階未確認</x:v>
      </x:c>
      <x:c r="Q252" s="7" t="str">
        <x:v>FC021</x:v>
      </x:c>
      <x:c t="str" r="R252" s="21">
        <x:f>HYPERLINK("https://www.jimtof.org/search/jp/ESdetails?e=41U8xW4UkcM","JIMTOF2026 出展ページ")</x:f>
        <x:v>JIMTOF2026 出展ページ</x:v>
      </x:c>
      <x:c t="str" r="S252" s="21">
        <x:f>HYPERLINK("https://www.jimtof.org/2024/search/jp/ESdetails?e=AxDUk3YbQDI","JIMTOF2024 出展ページ")</x:f>
        <x:v>JIMTOF2024 出展ページ</x:v>
      </x:c>
      <x:c r="T252" s="7" t="str">
        <x:v>EOV-V009-2024-1: https://www.jimtof.org/2024/search/jp/ESdetails?e=AxDUk3YbQDI
該当箇所: main &gt; div.col-md-8.mb-5 の出展紹介、見出し「主な出展物」直後
EOV-V009-2026-1: https://www.jimtof.org/search/jp/ESdetails?e=41U8xW4UkcM
該当箇所: main &gt; div.col-md-8.mb-5 の出展紹介、見出し「主な出展物」直後
EDP-20: https://vericut.com/ja-jp/products/cnc-machine-simulation
該当箇所: Gコード・機械制御ロジックの検証／モジュールの役割</x:v>
      </x:c>
    </x:row>
    <x:row r="253" ht="155" customHeight="1">
      <x:c r="A253" s="7" t="str">
        <x:v>生産準備</x:v>
      </x:c>
      <x:c r="B253" s="7" t="str">
        <x:v>CAD・金型設計・NC検証</x:v>
      </x:c>
      <x:c r="C253" s="20" t="str">
        <x:v>オートデスク</x:v>
      </x:c>
      <x:c r="D253" s="7" t="str">
        <x:v>Fusion／FeatureCAM／PLM連携</x:v>
      </x:c>
      <x:c r="E253" s="7" t="str">
        <x:v>S3019</x:v>
      </x:c>
      <x:c r="F253" s="7" t="str">
        <x:v>設計製造データ連携</x:v>
      </x:c>
      <x:c r="G253" s="7" t="str">
        <x:v>CAD/CAMとPLM・AI支援を組み合わせる提案</x:v>
      </x:c>
      <x:c r="H253" s="7" t="str">
        <x:v>設計・加工準備・製造間のデータ分断と設計資産の再利用</x:v>
      </x:c>
      <x:c r="I253" s="7" t="str">
        <x:v>クラウドFusionとFeatureCAM自動プログラミングを掲載</x:v>
      </x:c>
      <x:c r="J253" s="7" t="str">
        <x:v>AI・PLMを強調。個別AI方式の比較はできない</x:v>
      </x:c>
      <x:c r="K253" s="7" t="str">
        <x:v>出展説明・公式資料の記載比較。初発明年・実演成功・性能向上を証明するものではない。</x:v>
      </x:c>
      <x:c r="L253" s="7" t="str">
        <x:v>比較記録あり</x:v>
      </x:c>
      <x:c r="M253" s="7" t="str">
        <x:v>個別タスク整理</x:v>
      </x:c>
      <x:c r="N253" s="7" t="str"/>
      <x:c r="O253" s="7" t="str">
        <x:v>AIが担当する具体タスクと自動確定範囲は未確認</x:v>
      </x:c>
      <x:c r="P253" s="7" t="str">
        <x:v>JIMTOF2026公式カタログ掲載・現地未確認
2026展示予定・提供段階未確認</x:v>
      </x:c>
      <x:c r="Q253" s="7" t="str">
        <x:v>FC023</x:v>
      </x:c>
      <x:c t="str" r="R253" s="21">
        <x:f>HYPERLINK("https://www.jimtof.org/search/jp/ESdetails?e=Y_kC6hMTghk","JIMTOF2026 出展ページ")</x:f>
        <x:v>JIMTOF2026 出展ページ</x:v>
      </x:c>
      <x:c t="str" r="S253" s="21">
        <x:f>HYPERLINK("https://www.jimtof.org/2024/search/jp/ESdetails?e=5CWUqNS_dBw","JIMTOF2024 出展ページ")</x:f>
        <x:v>JIMTOF2024 出展ページ</x:v>
      </x:c>
      <x:c r="T253" s="7" t="str">
        <x:v>EOV-V010-2024-1: https://www.jimtof.org/2024/search/jp/ESdetails?e=5CWUqNS_dBw
該当箇所: main &gt; div.col-md-8.mb-5 の出展紹介、見出し「主な出展物」直後
EOV-V010-2026-1: https://www.jimtof.org/search/jp/ESdetails?e=Y_kC6hMTghk
該当箇所: main &gt; div.col-md-8.mb-5 の出展紹介、見出し「主な出展物」直後</x:v>
      </x:c>
    </x:row>
    <x:row r="254" ht="155" customHeight="1">
      <x:c r="A254" s="7" t="str">
        <x:v>生産準備</x:v>
      </x:c>
      <x:c r="B254" s="7" t="str">
        <x:v>CAD・金型設計・NC検証</x:v>
      </x:c>
      <x:c r="C254" s="20" t="str">
        <x:v>UEL</x:v>
      </x:c>
      <x:c r="D254" s="7" t="str">
        <x:v>BreylSimulator</x:v>
      </x:c>
      <x:c r="E254" s="7" t="str">
        <x:v>S1024</x:v>
      </x:c>
      <x:c r="F254" s="7" t="str">
        <x:v>治具設計</x:v>
      </x:c>
      <x:c r="G254" s="7" t="str">
        <x:v>ルールDBを用いて設計・構成案を提案</x:v>
      </x:c>
      <x:c r="H254" s="7" t="str">
        <x:v>ワーク形状と固定制約に合う治具構成を考える負担</x:v>
      </x:c>
      <x:c r="I254" s="7" t="str">
        <x:v>BreylSimulatorとルールDBを掲載</x:v>
      </x:c>
      <x:c r="J254" s="7" t="str">
        <x:v>同製品に加えAI・XR等を紹介</x:v>
      </x:c>
      <x:c r="K254" s="7" t="str">
        <x:v>出展説明・公式資料の記載比較。初発明年・実演成功・性能向上を証明するものではない。</x:v>
      </x:c>
      <x:c r="L254" s="7" t="str">
        <x:v>比較記録あり</x:v>
      </x:c>
      <x:c r="M254" s="7" t="str">
        <x:v>個別タスク整理</x:v>
      </x:c>
      <x:c r="N254" s="7" t="str"/>
      <x:c r="O254" s="7" t="str">
        <x:v>ルール外の形状や制約、設計採否は要確認。生成AI方式と扱わない</x:v>
      </x:c>
      <x:c r="P254" s="7" t="str">
        <x:v>JIMTOF2026公式カタログ掲載・現地未確認
2026展示予定・提供段階未確認</x:v>
      </x:c>
      <x:c r="Q254" s="7" t="str">
        <x:v>FC060</x:v>
      </x:c>
      <x:c t="str" r="R254" s="21">
        <x:f>HYPERLINK("https://www.jimtof.org/search/jp/ESdetails?e=dBv-8tktfaE","JIMTOF2026 出展ページ")</x:f>
        <x:v>JIMTOF2026 出展ページ</x:v>
      </x:c>
      <x:c t="str" r="S254" s="21">
        <x:f>HYPERLINK("https://www.jimtof.org/2024/search/jp/ESdetails?e=uIeoIsq5v7g","JIMTOF2024 出展ページ")</x:f>
        <x:v>JIMTOF2024 出展ページ</x:v>
      </x:c>
      <x:c r="T254" s="7" t="str">
        <x:v>EOV-V039-2024-1: https://www.jimtof.org/2024/search/jp/ESdetails?e=uIeoIsq5v7g
該当箇所: main &gt; div.col-md-8.mb-5 の出展紹介、見出し「主な出展物」直後
EOV-V039-2026-1: https://www.jimtof.org/search/jp/ESdetails?e=dBv-8tktfaE
該当箇所: main &gt; div.col-md-8.mb-5 の出展紹介、見出し「主な出展物」直後</x:v>
      </x:c>
    </x:row>
    <x:row r="255" ht="155" customHeight="1">
      <x:c r="A255" s="7" t="str">
        <x:v>生産準備</x:v>
      </x:c>
      <x:c r="B255" s="7" t="str">
        <x:v>CAD・金型設計・NC検証</x:v>
      </x:c>
      <x:c r="C255" s="20" t="str">
        <x:v>株式会社伊東商会</x:v>
      </x:c>
      <x:c r="D255" s="7" t="str">
        <x:v>油圧・電気回路設計シミュレーションソフトAutomation Studio™をご紹介します。 / ブースでは、油圧・電気回路設計シミュレーションソフト</x:v>
      </x:c>
      <x:c r="E255" s="7" t="str">
        <x:v>S4013</x:v>
      </x:c>
      <x:c r="F255" s="7" t="str">
        <x:v>油圧・電気回路の設計と動作確認</x:v>
      </x:c>
      <x:c r="G255" s="7" t="str">
        <x:v>Automation Studioで回路を設計・シミュレーション。生成AIによる設計とは未確認。</x:v>
      </x:c>
      <x:c r="H255" s="7" t="str">
        <x:v>要求から制御コード・画面・設計情報へ落とす手間。 ／ 形状の設計変更や加工前の確認に手間がかかる。</x:v>
      </x:c>
      <x:c r="I255" s="7" t="str">
        <x:v>同一正規化名称の2024詳細なし。新規出展・技術不存在とは判断しない。</x:v>
      </x:c>
      <x:c r="J255" s="7" t="str">
        <x:v>2026原典抜粋：油圧・電気回路設計シミュレーションソフトAutomation Studio™をご紹介します。 / ブースでは、油圧・電気回路設計シミュレーションソフトAutomation Studio™を使用した回路設計とシミュレーションのデモンストレーションを実施します。</x:v>
      </x:c>
      <x:c r="K255" s="7" t="str">
        <x:v>原典記述の対照。個別機能の追加・性能差・初登場年は未判定。</x:v>
      </x:c>
      <x:c r="L255" s="7" t="str">
        <x:v>年度資料不足・比較不能</x:v>
      </x:c>
      <x:c r="M255" s="7" t="str">
        <x:v>出展説明の一次分類</x:v>
      </x:c>
      <x:c r="N255" s="7" t="str"/>
      <x:c r="O255" s="7" t="str">
        <x:v>承認・例外対応・停止・復帰の境界は未確認</x:v>
      </x:c>
      <x:c r="P255" s="7" t="str">
        <x:v>2026公式カタログ掲載・現地未確認
2026展示予定。既存製品・参考出展・構想等は原典で個別確認</x:v>
      </x:c>
      <x:c r="Q255" s="7" t="str">
        <x:v>AC018</x:v>
      </x:c>
      <x:c t="str" r="R255" s="21">
        <x:f>HYPERLINK("https://www.jimtof.org/search/jp/ESdetails?e=zWtwHxsaw3Q","JIMTOF2026 出展ページ")</x:f>
        <x:v>JIMTOF2026 出展ページ</x:v>
      </x:c>
      <x:c r="S255" s="21" t="str"/>
      <x:c r="T255" s="7" t="str">
        <x:v>EEX-EXH-2026-7f41e63bd0f47a62: https://www.jimtof.org/search/jp/ESdetails?e=zWtwHxsaw3Q
該当箇所: 出展紹介・主な出展物。追加カードの原典抜粋で検索</x:v>
      </x:c>
    </x:row>
    <x:row r="256" ht="155" customHeight="1">
      <x:c r="A256" s="7" t="str">
        <x:v>生産準備</x:v>
      </x:c>
      <x:c r="B256" s="7" t="str">
        <x:v>CAD・金型設計・NC検証</x:v>
      </x:c>
      <x:c r="C256" s="20" t="str">
        <x:v>株式会社インテグラ技術研究所</x:v>
      </x:c>
      <x:c r="D256" s="7" t="str">
        <x:v>[CAMWorks]</x:v>
      </x:c>
      <x:c r="E256" s="7" t="str">
        <x:v>S3069</x:v>
      </x:c>
      <x:c r="F256" s="7" t="str">
        <x:v>CAMの自動プログラミングとNC検証</x:v>
      </x:c>
      <x:c r="G256" s="7" t="str">
        <x:v>CAMWorks・SOLIDWORKS CAMの自動プログラミング、EurekaのGコード検証を紹介。</x:v>
      </x:c>
      <x:c r="H256" s="7" t="str">
        <x:v>工具・機械・段取り制約を織り込む工程作成の技能依存。 ／ 形状の設計変更や加工前の確認に手間がかかる。</x:v>
      </x:c>
      <x:c r="I256" s="7" t="str">
        <x:v>2024原典抜粋：株式会社インテグラ技術研究所では、SOLIDSWORKSに完全統合したCADCAMシステム「CAMWorks」の最新技術をご紹介します。 CAMWorksのメリット ・作業者のスキルに依存しない属人性の低い仕組みを構築し、作業品質を底上げします ・自動化機能によりプログラム作成を能率化し、生産性を向上します ・バーチャルシミュレーション、作業指示書のデジタル化で業務全体を効率化します CAMWorksは、SOLIDWORKSに完全統合したCAMシステムです。 機能特徴の１つである自動フィーチャ認識（AFR）では、3</x:v>
      </x:c>
      <x:c r="J256" s="7" t="str">
        <x:v>2026原典抜粋：「CAD/CAM×3Dプリンター」で実現する３Dモノづくり / 自動プログラミング技術で熟練の加工ノウハウを標準化・デジタル化する「CAMWorks」「SOLIDWORKS CAM」、高精度なGコード検証とシミュレーションで段取り時間を削減する「Eureka」、金型設計の劇的な効率化を実現する「QuickPress」「IMOLD」を一挙にご紹介。 / CAD/CAMによる切削加工技術と3Dプリンターによる積層造形技術を組み合わせ、モノづ</x:v>
      </x:c>
      <x:c r="K256" s="7" t="str">
        <x:v>原典記述の対照。個別機能の追加・性能差・初登場年は未判定。</x:v>
      </x:c>
      <x:c r="L256" s="7" t="str">
        <x:v>両年説明あり・機能差未判定</x:v>
      </x:c>
      <x:c r="M256" s="7" t="str">
        <x:v>出展説明の一次分類</x:v>
      </x:c>
      <x:c r="N256" s="7" t="str"/>
      <x:c r="O256" s="7" t="str">
        <x:v>承認・例外対応・停止・復帰の境界は未確認</x:v>
      </x:c>
      <x:c r="P256" s="7" t="str">
        <x:v>2026公式カタログ掲載・現地未確認
2026展示予定。既存製品・参考出展・構想等は原典で個別確認</x:v>
      </x:c>
      <x:c r="Q256" s="7" t="str">
        <x:v>AC024</x:v>
      </x:c>
      <x:c t="str" r="R256" s="21">
        <x:f>HYPERLINK("https://www.jimtof.org/search/jp/ESdetails?e=xEdNPWdhbs8","JIMTOF2026 出展ページ")</x:f>
        <x:v>JIMTOF2026 出展ページ</x:v>
      </x:c>
      <x:c t="str" r="S256" s="21">
        <x:f>HYPERLINK("https://www.jimtof.org/2024/search/jp/ESdetails?e=pzWRJwR9ZcU","JIMTOF2024 出展ページ")</x:f>
        <x:v>JIMTOF2024 出展ページ</x:v>
      </x:c>
      <x:c r="T256" s="7" t="str">
        <x:v>EEX-EXH-2026-10a39d4f417e3976: https://www.jimtof.org/search/jp/ESdetails?e=xEdNPWdhbs8
該当箇所: 出展紹介・主な出展物。追加カードの原典抜粋で検索
EEX-EXH-2024-80af270591ef2606: https://www.jimtof.org/2024/search/jp/ESdetails?e=pzWRJwR9ZcU
該当箇所: 出展紹介・主な出展物。追加カードの原典抜粋で検索</x:v>
      </x:c>
    </x:row>
    <x:row r="257" ht="155" customHeight="1">
      <x:c r="A257" s="7" t="str">
        <x:v>生産準備</x:v>
      </x:c>
      <x:c r="B257" s="7" t="str">
        <x:v>CAD・金型設計・NC検証</x:v>
      </x:c>
      <x:c r="C257" s="20" t="str">
        <x:v>株式会社Aiソリューションズ</x:v>
      </x:c>
      <x:c r="D257" s="7" t="str">
        <x:v>CAD/CAMシステム</x:v>
      </x:c>
      <x:c r="E257" s="7" t="str">
        <x:v>S4011</x:v>
      </x:c>
      <x:c r="F257" s="7" t="str">
        <x:v>5軸等の加工プログラム作成と事前検証</x:v>
      </x:c>
      <x:c r="G257" s="7" t="str">
        <x:v>hyperMILL・Mastercam・OneCNC・Vericut。AUTOMATION CenterによるCAM自動化を紹介。</x:v>
      </x:c>
      <x:c r="H257" s="7" t="str">
        <x:v>工具・機械・段取り制約を織り込む工程作成の技能依存。 ／ 形状の設計変更や加工前の確認に手間がかかる。</x:v>
      </x:c>
      <x:c r="I257" s="7" t="str">
        <x:v>同一正規化名称の2024詳細なし。新規出展・技術不存在とは判断しない。</x:v>
      </x:c>
      <x:c r="J257" s="7" t="str">
        <x:v>2026原典抜粋：最新のCAD/CAM・NCシミュレーションソリューション「hyperMILL」「Mastercam」「OneCNC」「Vericut」を実演展示いたします。 / 5軸加工の高度化、自動プログラミングによる工数削減、複合加工機への対応、加工前検証による品質向上など、製造現場のさまざまな課題に対応する最新ソリューションをご紹介します。 / 特に高機能5軸CAD/CAMシステム「hyperMILL」では、NCコードベースシミュレーション「VI</x:v>
      </x:c>
      <x:c r="K257" s="7" t="str">
        <x:v>原典記述の対照。個別機能の追加・性能差・初登場年は未判定。</x:v>
      </x:c>
      <x:c r="L257" s="7" t="str">
        <x:v>年度資料不足・比較不能</x:v>
      </x:c>
      <x:c r="M257" s="7" t="str">
        <x:v>出展説明の一次分類</x:v>
      </x:c>
      <x:c r="N257" s="7" t="str"/>
      <x:c r="O257" s="7" t="str">
        <x:v>承認・例外対応・停止・復帰の境界は未確認</x:v>
      </x:c>
      <x:c r="P257" s="7" t="str">
        <x:v>2026公式カタログ掲載・現地未確認
2026展示予定。既存製品・参考出展・構想等は原典で個別確認</x:v>
      </x:c>
      <x:c r="Q257" s="7" t="str">
        <x:v>AC031</x:v>
      </x:c>
      <x:c t="str" r="R257" s="21">
        <x:f>HYPERLINK("https://www.jimtof.org/search/jp/ESdetails?e=DiSAGV9x7AM","JIMTOF2026 出展ページ")</x:f>
        <x:v>JIMTOF2026 出展ページ</x:v>
      </x:c>
      <x:c r="S257" s="21" t="str"/>
      <x:c r="T257" s="7" t="str">
        <x:v>EEX-EXH-2026-9109f51b0514db5c: https://www.jimtof.org/search/jp/ESdetails?e=DiSAGV9x7AM
該当箇所: 出展紹介・主な出展物。追加カードの原典抜粋で検索</x:v>
      </x:c>
    </x:row>
    <x:row r="258" ht="155" customHeight="1">
      <x:c r="A258" s="7" t="str">
        <x:v>生産準備</x:v>
      </x:c>
      <x:c r="B258" s="7" t="str">
        <x:v>CAD・金型設計・NC検証</x:v>
      </x:c>
      <x:c r="C258" s="20" t="str">
        <x:v>キステム株式会社</x:v>
      </x:c>
      <x:c r="D258" s="7" t="str">
        <x:v>Opt-1</x:v>
      </x:c>
      <x:c r="E258" s="7" t="str">
        <x:v>S4014</x:v>
      </x:c>
      <x:c r="F258" s="7" t="str">
        <x:v>CAD・金型設計・NC検証</x:v>
      </x:c>
      <x:c r="G258" s="7" t="str">
        <x:v>原典抜粋：補正加工や６軸加工にも対応しています。</x:v>
      </x:c>
      <x:c r="H258" s="7" t="str">
        <x:v>形状の設計変更や加工前の確認に手間がかかる。</x:v>
      </x:c>
      <x:c r="I258" s="7" t="str">
        <x:v>同一正規化名称の2024詳細なし。新規出展・技術不存在とは判断しない。</x:v>
      </x:c>
      <x:c r="J258" s="7" t="str">
        <x:v>2026原典抜粋：補正加工や６軸加工にも対応しています。</x:v>
      </x:c>
      <x:c r="K258" s="7" t="str">
        <x:v>原典記述の対照。個別機能の追加・性能差・初登場年は未判定。</x:v>
      </x:c>
      <x:c r="L258" s="7" t="str">
        <x:v>年度資料不足・比較不能</x:v>
      </x:c>
      <x:c r="M258" s="7" t="str">
        <x:v>出展説明の一次分類</x:v>
      </x:c>
      <x:c r="N258" s="7" t="str"/>
      <x:c r="O258" s="7" t="str">
        <x:v>承認・例外対応・停止・復帰の境界は未確認</x:v>
      </x:c>
      <x:c r="P258" s="7" t="str">
        <x:v>2026公式カタログ掲載・現地未確認
2026展示予定。既存製品・参考出展・構想等は原典で個別確認</x:v>
      </x:c>
      <x:c r="Q258" s="7" t="str">
        <x:v>AC055</x:v>
      </x:c>
      <x:c t="str" r="R258" s="21">
        <x:f>HYPERLINK("https://www.jimtof.org/search/jp/ESdetails?e=QjS8eNKRLhw","JIMTOF2026 出展ページ")</x:f>
        <x:v>JIMTOF2026 出展ページ</x:v>
      </x:c>
      <x:c r="S258" s="21" t="str"/>
      <x:c r="T258" s="7" t="str">
        <x:v>EEX-EXH-2026-2c1bff525e1eb40c: https://www.jimtof.org/search/jp/ESdetails?e=QjS8eNKRLhw
該当箇所: 出展紹介・主な出展物。追加カードの原典抜粋で検索</x:v>
      </x:c>
    </x:row>
    <x:row r="259" ht="155" customHeight="1">
      <x:c r="A259" s="7" t="str">
        <x:v>生産準備</x:v>
      </x:c>
      <x:c r="B259" s="7" t="str">
        <x:v>CAD・金型設計・NC検証</x:v>
      </x:c>
      <x:c r="C259" s="20" t="str">
        <x:v>キャムタス株式会社</x:v>
      </x:c>
      <x:c r="D259" s="7" t="str">
        <x:v>【Speedy mill Next】２D-3Dを統合したCAD環境。同時5軸/３軸加工、2軸加工、複合加工、ワイヤ/レーザー加工など豊富な加工機能。プ</x:v>
      </x:c>
      <x:c r="E259" s="7" t="str">
        <x:v>S3067</x:v>
      </x:c>
      <x:c r="F259" s="7" t="str">
        <x:v>部品・金型の加工プログラム作成</x:v>
      </x:c>
      <x:c r="G259" s="7" t="str">
        <x:v>Speedy mill Next・Cimatron等のCAD/CAM。AIによる工程判断の範囲は未確認。</x:v>
      </x:c>
      <x:c r="H259" s="7" t="str">
        <x:v>工具・機械・段取り制約を織り込む工程作成の技能依存。 ／ 形状の設計変更や加工前の確認に手間がかかる。</x:v>
      </x:c>
      <x:c r="I259" s="7" t="str">
        <x:v>2024原典抜粋：Speedy mill Nextは同時3軸、同時5軸の加工指示はもちろん、穴あけ、輪郭、ポケットの2軸加工、多面、多軸割り出し加工の機能も充実しています。近年注目されている複合機の旋削、ミーリング、複数スピンドルにも対応、タイムチャートを用いて工程のムダを省きます。加工工程3DPDFはNCデータの加工軌跡を動画にして見える化します。ビューアはAcrobatReaderを用いるため、トータルコストを抑えた運用が可能となります。今、製造現場でのDXに求められるものがここにあります。 【Speedy mill Next】</x:v>
      </x:c>
      <x:c r="J259" s="7" t="str">
        <x:v>2026原典抜粋：今、製造現場でのDXに求められるものがここにあります。 / 【Speedy mill Next】２D-3Dを統合したCAD環境。 / 【Cimatron】世界的に定評のあるCAD/CAM。 / 【Speedy mill/Win】2次元CAD/CAM。 / 部品加工に特化した2次元CAD/CAM。</x:v>
      </x:c>
      <x:c r="K259" s="7" t="str">
        <x:v>原典記述の対照。個別機能の追加・性能差・初登場年は未判定。</x:v>
      </x:c>
      <x:c r="L259" s="7" t="str">
        <x:v>両年説明あり・機能差未判定</x:v>
      </x:c>
      <x:c r="M259" s="7" t="str">
        <x:v>出展説明の一次分類</x:v>
      </x:c>
      <x:c r="N259" s="7" t="str"/>
      <x:c r="O259" s="7" t="str">
        <x:v>承認・例外対応・停止・復帰の境界は未確認</x:v>
      </x:c>
      <x:c r="P259" s="7" t="str">
        <x:v>2026公式カタログ掲載・現地未確認
2026展示予定。既存製品・参考出展・構想等は原典で個別確認</x:v>
      </x:c>
      <x:c r="Q259" s="7" t="str">
        <x:v>AC061</x:v>
      </x:c>
      <x:c t="str" r="R259" s="21">
        <x:f>HYPERLINK("https://www.jimtof.org/search/jp/ESdetails?e=7W94U2NDZqc","JIMTOF2026 出展ページ")</x:f>
        <x:v>JIMTOF2026 出展ページ</x:v>
      </x:c>
      <x:c t="str" r="S259" s="21">
        <x:f>HYPERLINK("https://www.jimtof.org/2024/search/jp/ESdetails?e=nKu4F7kQI2g","JIMTOF2024 出展ページ")</x:f>
        <x:v>JIMTOF2024 出展ページ</x:v>
      </x:c>
      <x:c r="T259" s="7" t="str">
        <x:v>EEX-EXH-2026-27ca2522afe8413a: https://www.jimtof.org/search/jp/ESdetails?e=7W94U2NDZqc
該当箇所: 出展紹介・主な出展物。追加カードの原典抜粋で検索
EEX-EXH-2024-a064c1c485c75ab5: https://www.jimtof.org/2024/search/jp/ESdetails?e=nKu4F7kQI2g
該当箇所: 出展紹介・主な出展物。追加カードの原典抜粋で検索</x:v>
      </x:c>
    </x:row>
    <x:row r="260" ht="155" customHeight="1">
      <x:c r="A260" s="7" t="str">
        <x:v>生産準備</x:v>
      </x:c>
      <x:c r="B260" s="7" t="str">
        <x:v>CAD・金型設計・NC検証</x:v>
      </x:c>
      <x:c r="C260" s="20" t="str">
        <x:v>株式会社ゴードーソリューション</x:v>
      </x:c>
      <x:c r="D260" s="7" t="str">
        <x:v>新製品「NAZCA5 GEMBACO」をはじめ、製造現場のデジタル化を支援する製品を展示します。</x:v>
      </x:c>
      <x:c r="E260" s="7" t="str">
        <x:v>S4009</x:v>
      </x:c>
      <x:c r="F260" s="7" t="str">
        <x:v>図面管理・CAM・稼働可視化</x:v>
      </x:c>
      <x:c r="G260" s="7" t="str">
        <x:v>NAZCA5 GEMBACO、CAD/CAM、LINKA3を紹介。図面管理へのAI使用は未確認。</x:v>
      </x:c>
      <x:c r="H260" s="7" t="str">
        <x:v>過去図面と原価を探し、案件ごとに見積を組み立てる負担。 ／ 工具・機械・段取り制約を織り込む工程作成の技能依存。 ／ 現物・工具マスター・進捗が分断し変更に追従しにくい。 ／ 形状の設計変更や加工前の確認に手間がかかる。 ／ 図面・工具・品質・工程情報が別々に保存され、再利用しにくい。</x:v>
      </x:c>
      <x:c r="I260" s="7" t="str">
        <x:v>2024原典抜粋：ゴードーソリューションは、CAD/CAMや加工シミュレーション・NCプログラム通信など、NC工作機械向けソフトウェアの開発から販売・サポートまでをすべて自社で行っているソフトウェアメーカーです。 ナスカの愛称で親しまれている当社製品は、これまで多くのお客様にご愛顧いただき、シリーズ累計21,000事業所に導入いただいています。（2023年3月時点） 今回は、生産設備向けIoTシステム「Nazca Neo Linka」をはじめ、CAD/CAM、図面管理システムのデモンストレーションを行います。 「Nazca Neo </x:v>
      </x:c>
      <x:c r="J260" s="7" t="str">
        <x:v>2026原典抜粋：ゴードーソリューションは、CAD/CAMや加工シミュレーション、NCプログラム通信など、NC工作機械向けソフトウェアの開発から販売・サポートまでを一貫して自社で行うソフトウェアメーカーです。 / 今回は、加工現場向け図面＆データ管理ソフト「NAZCA5 GEMBACO」をはじめ、CAD/CAM製品や、IoTによる工場の見える化システム「LINKA3」を展示します。 / また、会議棟では「加工現場のデータ活用DX」をテーマにした実践的なセ</x:v>
      </x:c>
      <x:c r="K260" s="7" t="str">
        <x:v>原典記述の対照。個別機能の追加・性能差・初登場年は未判定。</x:v>
      </x:c>
      <x:c r="L260" s="7" t="str">
        <x:v>両年説明あり・機能差未判定</x:v>
      </x:c>
      <x:c r="M260" s="7" t="str">
        <x:v>出展説明の一次分類</x:v>
      </x:c>
      <x:c r="N260" s="7" t="str">
        <x:v>関連（図面・文書管理）。AI見積の直接事例ではない。</x:v>
      </x:c>
      <x:c r="O260" s="7" t="str">
        <x:v>承認・例外対応・停止・復帰の境界は未確認</x:v>
      </x:c>
      <x:c r="P260" s="7" t="str">
        <x:v>2026公式カタログ掲載・現地未確認
2026展示予定。既存製品・参考出展・構想等は原典で個別確認</x:v>
      </x:c>
      <x:c r="Q260" s="7" t="str">
        <x:v>AC074</x:v>
      </x:c>
      <x:c t="str" r="R260" s="21">
        <x:f>HYPERLINK("https://www.jimtof.org/search/jp/ESdetails?e=oO-G_YDcimE","JIMTOF2026 出展ページ")</x:f>
        <x:v>JIMTOF2026 出展ページ</x:v>
      </x:c>
      <x:c t="str" r="S260" s="21">
        <x:f>HYPERLINK("https://www.jimtof.org/2024/search/jp/ESdetails?e=GozGZRxlviw","JIMTOF2024 出展ページ")</x:f>
        <x:v>JIMTOF2024 出展ページ</x:v>
      </x:c>
      <x:c r="T260" s="7" t="str">
        <x:v>EEX-EXH-2026-a64bab179251039a: https://www.jimtof.org/search/jp/ESdetails?e=oO-G_YDcimE
該当箇所: 出展紹介・主な出展物。追加カードの原典抜粋で検索
EEX-EXH-2024-a1ef24027ba76956: https://www.jimtof.org/2024/search/jp/ESdetails?e=GozGZRxlviw
該当箇所: 出展紹介・主な出展物。追加カードの原典抜粋で検索</x:v>
      </x:c>
    </x:row>
    <x:row r="261" ht="155" customHeight="1">
      <x:c r="A261" s="7" t="str">
        <x:v>生産準備</x:v>
      </x:c>
      <x:c r="B261" s="7" t="str">
        <x:v>CAD・金型設計・NC検証</x:v>
      </x:c>
      <x:c r="C261" s="20" t="str">
        <x:v>コダマコーポレーション株式会社</x:v>
      </x:c>
      <x:c r="D261" s="7" t="str">
        <x:v>3次元ソリッドCAD/CAMシステム TopSolid'Cam</x:v>
      </x:c>
      <x:c r="E261" s="7" t="str">
        <x:v>S3066</x:v>
      </x:c>
      <x:c r="F261" s="7" t="str">
        <x:v>設計からNCプログラム作成への連携</x:v>
      </x:c>
      <x:c r="G261" s="7" t="str">
        <x:v>TopSolidのCAD/CAM統合と、穴あけから5軸・複合加工までのプログラム作成支援。</x:v>
      </x:c>
      <x:c r="H261" s="7" t="str">
        <x:v>工具・機械・段取り制約を織り込む工程作成の技能依存。 ／ 形状の設計変更や加工前の確認に手間がかかる。</x:v>
      </x:c>
      <x:c r="I261" s="7" t="str">
        <x:v>2024原典抜粋：穴あけ、2軸、3軸から同時4・5軸、旋盤、複合加工まで1システムで対応 コダマコーポレーションは、今回のJIMTOFで、3D設計製造支援ソフトウェア「TopSolid'Cam 7」、 スイス式旋盤対応モジュール「Swiss Turn」、牧野フライス製作所のリアルタイム干渉防止機能への対応プラグイン「Collision Safeguard Plugin」など、多くの製品を展示いたします。これらの製品はお客様の生産現場の効率化を支援します。 会場では営業によるデモを実施しておりますので、ぜひご来場ください。 【製品】 </x:v>
      </x:c>
      <x:c r="J261" s="7" t="str">
        <x:v>2026原典抜粋：コダマコーポレーションは、設計から加工までの一気通貫のデジタル製造環境を実現する「TopSolid」シリーズを展示する。 / 主力製品である「TopSolid'Cam 7」は、穴あけ、2軸、3軸から同時4・5軸加工、旋盤加工、複合加工までを1システムで対応し、CAD/CAM統合による効率的なNCプログラム作成を支援する。 / さらに、スイス式自動旋盤向け専用モジュール「Swiss Turn」、牧野フライス製作所のリアルタイム干渉防止機能</x:v>
      </x:c>
      <x:c r="K261" s="7" t="str">
        <x:v>原典記述の対照。個別機能の追加・性能差・初登場年は未判定。</x:v>
      </x:c>
      <x:c r="L261" s="7" t="str">
        <x:v>両年説明あり・機能差未判定</x:v>
      </x:c>
      <x:c r="M261" s="7" t="str">
        <x:v>出展説明の一次分類</x:v>
      </x:c>
      <x:c r="N261" s="7" t="str"/>
      <x:c r="O261" s="7" t="str">
        <x:v>承認・例外対応・停止・復帰の境界は未確認</x:v>
      </x:c>
      <x:c r="P261" s="7" t="str">
        <x:v>2026公式カタログ掲載・現地未確認
2026展示予定。既存製品・参考出展・構想等は原典で個別確認</x:v>
      </x:c>
      <x:c r="Q261" s="7" t="str">
        <x:v>AC076</x:v>
      </x:c>
      <x:c t="str" r="R261" s="21">
        <x:f>HYPERLINK("https://www.jimtof.org/search/jp/ESdetails?e=w3OCd-Yb-pM","JIMTOF2026 出展ページ")</x:f>
        <x:v>JIMTOF2026 出展ページ</x:v>
      </x:c>
      <x:c t="str" r="S261" s="21">
        <x:f>HYPERLINK("https://www.jimtof.org/2024/search/jp/ESdetails?e=RMONVo8JDTE","JIMTOF2024 出展ページ")</x:f>
        <x:v>JIMTOF2024 出展ページ</x:v>
      </x:c>
      <x:c r="T261" s="7" t="str">
        <x:v>EEX-EXH-2026-d7ec640627a22b17: https://www.jimtof.org/search/jp/ESdetails?e=w3OCd-Yb-pM
該当箇所: 出展紹介・主な出展物。追加カードの原典抜粋で検索
EEX-EXH-2024-2f995cf4c0035bad: https://www.jimtof.org/2024/search/jp/ESdetails?e=RMONVo8JDTE
該当箇所: 出展紹介・主な出展物。追加カードの原典抜粋で検索</x:v>
      </x:c>
    </x:row>
    <x:row r="262" ht="155" customHeight="1">
      <x:c r="A262" s="7" t="str">
        <x:v>生産準備</x:v>
      </x:c>
      <x:c r="B262" s="7" t="str">
        <x:v>CAD・金型設計・NC検証</x:v>
      </x:c>
      <x:c r="C262" s="20" t="str">
        <x:v>Third Wave Systems Japan合同会社</x:v>
      </x:c>
      <x:c r="D262" s="7" t="str">
        <x:v>材料特性に基づく切削加工CAE・最適化ソリューション</x:v>
      </x:c>
      <x:c r="E262" s="7" t="str">
        <x:v>E1064</x:v>
      </x:c>
      <x:c r="F262" s="7" t="str">
        <x:v>NC送り最適化・加工中の適応制御 ／ デジタルツイン・物理学習用データ ／ CAD・金型設計・NC検証</x:v>
      </x:c>
      <x:c r="G262" s="7" t="str">
        <x:v>原典抜粋：『Production Module』は、NX・Mastercam・CATIAなどのCAD/CAM環境と連携し、パーツ形状全体にわたるマクロな切削現象を解析。 / これらのソリューションは、航空宇宙・自動車・医療機器・工具・工作機械・重工業分野の世界トップメーカーで広く採用され、「加工のデジタルツイン」によって日本のものづくり競争力強化を支援いたします。</x:v>
      </x:c>
      <x:c r="H262" s="7" t="str">
        <x:v>負荷変動による過負荷と、余裕のある区間の加工時間。 ／ 仮想上での確認・学習と実機の結果をつなぐための準備。 ／ 形状の設計変更や加工前の確認に手間がかかる。</x:v>
      </x:c>
      <x:c r="I262" s="7" t="str">
        <x:v>同一正規化名称の2024詳細なし。新規出展・技術不存在とは判断しない。</x:v>
      </x:c>
      <x:c r="J262" s="7" t="str">
        <x:v>2026原典抜粋：『Production Module』は、NX・Mastercam・CATIAなどのCAD/CAM環境と連携し、パーツ形状全体にわたるマクロな切削現象を解析。 / これらのソリューションは、航空宇宙・自動車・医療機器・工具・工作機械・重工業分野の世界トップメーカーで広く採用され、「加工のデジタルツイン」によって日本のものづくり競争力強化を支援いたします。</x:v>
      </x:c>
      <x:c r="K262" s="7" t="str">
        <x:v>原典記述の対照。個別機能の追加・性能差・初登場年は未判定。</x:v>
      </x:c>
      <x:c r="L262" s="7" t="str">
        <x:v>年度資料不足・比較不能</x:v>
      </x:c>
      <x:c r="M262" s="7" t="str">
        <x:v>出展説明の一次分類</x:v>
      </x:c>
      <x:c r="N262" s="7" t="str"/>
      <x:c r="O262" s="7" t="str">
        <x:v>承認・例外対応・停止・復帰の境界は未確認</x:v>
      </x:c>
      <x:c r="P262" s="7" t="str">
        <x:v>2026公式カタログ掲載・現地未確認
2026展示予定。既存製品・参考出展・構想等は原典で個別確認</x:v>
      </x:c>
      <x:c r="Q262" s="7" t="str">
        <x:v>AC082</x:v>
      </x:c>
      <x:c t="str" r="R262" s="21">
        <x:f>HYPERLINK("https://www.jimtof.org/search/jp/ESdetails?e=L43LSAjxuyc","JIMTOF2026 出展ページ")</x:f>
        <x:v>JIMTOF2026 出展ページ</x:v>
      </x:c>
      <x:c r="S262" s="21" t="str"/>
      <x:c r="T262" s="7" t="str">
        <x:v>EEX-EXH-2026-3f24aaee60d77db1: https://www.jimtof.org/search/jp/ESdetails?e=L43LSAjxuyc
該当箇所: 出展紹介・主な出展物。追加カードの原典抜粋で検索</x:v>
      </x:c>
    </x:row>
    <x:row r="263" ht="155" customHeight="1">
      <x:c r="A263" s="7" t="str">
        <x:v>生産準備</x:v>
      </x:c>
      <x:c r="B263" s="7" t="str">
        <x:v>CAD・金型設計・NC検証</x:v>
      </x:c>
      <x:c r="C263" s="20" t="str">
        <x:v>株式会社C＆Gシステムズ</x:v>
      </x:c>
      <x:c r="D263" s="7" t="str">
        <x:v>《　主な出展内容　》</x:v>
      </x:c>
      <x:c r="E263" s="7" t="str">
        <x:v>E2008</x:v>
      </x:c>
      <x:c r="F263" s="7" t="str">
        <x:v>部品・金型のCAD/CAMと生産管理</x:v>
      </x:c>
      <x:c r="G263" s="7" t="str">
        <x:v>CAM-TOOL・EXCESS-HYBRIDⅡ・PartsCAM等。AI・DXの紹介内容と機能の対応は未精査。</x:v>
      </x:c>
      <x:c r="H263" s="7" t="str">
        <x:v>工具・機械・段取り制約を織り込む工程作成の技能依存。 ／ 現物・工具マスター・進捗が分断し変更に追従しにくい。 ／ 形状の設計変更や加工前の確認に手間がかかる。</x:v>
      </x:c>
      <x:c r="I263" s="7" t="str">
        <x:v>2024原典抜粋：CGSが提案する「省力化・多様化・周辺との親和性」をテーマに、昨今のキーワード（AI・ギガキャスト・DX）から弊社の最新技術を様々な事例（加工サンプルなど）を通じてご紹介させていたく他、次期バージョン情報をいち早くお届けします。また、日工会主催のイベントに協賛いたします。あわせてご参加ください。 ●「金属Addtive Manufacturing セミナー（11/6）」 DED 方式金属AM 用CAD/CAM「CAM-TOOL AM」の概要と導入事例 ●「工作機械関連のソフトウエア・ワークショップ（11/7）」 最</x:v>
      </x:c>
      <x:c r="J263" s="7" t="str">
        <x:v>2026原典抜粋：「自動化・省力化・多様化・周辺機器との親和性」をテーマに、昨今のキーワード（AI・DX）から弊社の最新技術を様々な事例（加工サンプルなど）を通じてご紹介させていたく他、次期バージョン情報をいち早くお届けします。 / ● CAD/CAM システム、生産管理システムの展示 / ● CAD/CAM 関連 / CAM-TOOL／EXCESS-HYBRIDⅡ／PartsCAM／CG Series for SOLIDWORKS（アドオン） / CA</x:v>
      </x:c>
      <x:c r="K263" s="7" t="str">
        <x:v>原典記述の対照。個別機能の追加・性能差・初登場年は未判定。</x:v>
      </x:c>
      <x:c r="L263" s="7" t="str">
        <x:v>両年説明あり・機能差未判定</x:v>
      </x:c>
      <x:c r="M263" s="7" t="str">
        <x:v>出展説明の一次分類</x:v>
      </x:c>
      <x:c r="N263" s="7" t="str"/>
      <x:c r="O263" s="7" t="str">
        <x:v>承認・例外対応・停止・復帰の境界は未確認</x:v>
      </x:c>
      <x:c r="P263" s="7" t="str">
        <x:v>2026公式カタログ掲載・現地未確認
2026展示予定。既存製品・参考出展・構想等は原典で個別確認</x:v>
      </x:c>
      <x:c r="Q263" s="7" t="str">
        <x:v>AC095</x:v>
      </x:c>
      <x:c t="str" r="R263" s="21">
        <x:f>HYPERLINK("https://www.jimtof.org/search/jp/ESdetails?e=U_kHbhLD6rU","JIMTOF2026 出展ページ")</x:f>
        <x:v>JIMTOF2026 出展ページ</x:v>
      </x:c>
      <x:c t="str" r="S263" s="21">
        <x:f>HYPERLINK("https://www.jimtof.org/2024/search/jp/ESdetails?e=RVv4M6_8NyQ","JIMTOF2024 出展ページ")</x:f>
        <x:v>JIMTOF2024 出展ページ</x:v>
      </x:c>
      <x:c r="T263" s="7" t="str">
        <x:v>EEX-EXH-2026-8d7ad5c62f3412a9: https://www.jimtof.org/search/jp/ESdetails?e=U_kHbhLD6rU
該当箇所: 出展紹介・主な出展物。追加カードの原典抜粋で検索
EEX-EXH-2024-bf5a20df5ebf4ff9: https://www.jimtof.org/2024/search/jp/ESdetails?e=RVv4M6_8NyQ
該当箇所: 出展紹介・主な出展物。追加カードの原典抜粋で検索</x:v>
      </x:c>
    </x:row>
    <x:row r="264" ht="155" customHeight="1">
      <x:c r="A264" s="7" t="str">
        <x:v>生産準備</x:v>
      </x:c>
      <x:c r="B264" s="7" t="str">
        <x:v>CAD・金型設計・NC検証</x:v>
      </x:c>
      <x:c r="C264" s="20" t="str">
        <x:v>シーメンス株式会社</x:v>
      </x:c>
      <x:c r="D264" s="7" t="str">
        <x:v>Digital Thread：工作機械ツイン・工程内品質保証</x:v>
      </x:c>
      <x:c r="E264" s="7" t="str">
        <x:v>E3006</x:v>
      </x:c>
      <x:c r="F264" s="7" t="str">
        <x:v>加工の仮想検証・計測連携を確認する</x:v>
      </x:c>
      <x:c r="G264" s="7" t="str">
        <x:v>Tokn工作機械ツイン、Equator品質保証、ヒューマノイドを別展示。</x:v>
      </x:c>
      <x:c r="H264" s="7" t="str">
        <x:v>工具・機械・段取り制約を織り込む工程作成の技能依存。 ／ 仮想上での確認・学習と実機の結果をつなぐための準備。 ／ 形状の設計変更や加工前の確認に手間がかかる。 ／ 作業を記録・分析し、改善点や技能を共有する負担がある。</x:v>
      </x:c>
      <x:c r="I264" s="7" t="str">
        <x:v>2024カタログにNX・CNC・Mcenter等。Siemens公式事例にはToknと仮想SINUMERIK ONEによる訓練をCompletion 2024と明記。</x:v>
      </x:c>
      <x:c r="J264" s="7" t="str">
        <x:v>2026はHeller Toknツイン、Renishaw Equator品質保証、ヒューマノイド特別展示を具体記載。</x:v>
      </x:c>
      <x:c r="K264" s="7" t="str">
        <x:v>Toknの仮想訓練は2024完了の公式事例あり。</x:v>
      </x:c>
      <x:c r="L264" s="7" t="str">
        <x:v>個別比較あり</x:v>
      </x:c>
      <x:c r="M264" s="7" t="str">
        <x:v>詳細比較済み</x:v>
      </x:c>
      <x:c r="N264" s="7" t="str"/>
      <x:c r="O264" s="7" t="str">
        <x:v>海外HMND実証とJIMTOFの機体・タスクの同一性は未確認。</x:v>
      </x:c>
      <x:c r="P264" s="7" t="str">
        <x:v>2026公式カタログ掲載・現地未確認
2026展示予定。既存製品・参考出展・構想等は原典で個別確認</x:v>
      </x:c>
      <x:c r="Q264" s="7" t="str">
        <x:v>AC098</x:v>
      </x:c>
      <x:c t="str" r="R264" s="21">
        <x:f>HYPERLINK("https://www.jimtof.org/search/jp/ESdetails?e=EBIotJu7lrg","JIMTOF2026 出展ページ")</x:f>
        <x:v>JIMTOF2026 出展ページ</x:v>
      </x:c>
      <x:c t="str" r="S264" s="21">
        <x:f>HYPERLINK("https://www.jimtof.org/2024/search/jp/ESdetails?e=nYvFR1vpbuE","JIMTOF2024 出展ページ")</x:f>
        <x:v>JIMTOF2024 出展ページ</x:v>
      </x:c>
      <x:c r="T264" s="7" t="str">
        <x:v>EEX-EXH-2026-9b991dd8132f51dc: https://www.jimtof.org/search/jp/ESdetails?e=EBIotJu7lrg
該当箇所: 出展紹介・主な出展物。追加カードの原典抜粋で検索
EEX-EXH-2024-558faea07a73f5d8: https://www.jimtof.org/2024/search/jp/ESdetails?e=nYvFR1vpbuE
該当箇所: 出展紹介・主な出展物。追加カードの原典抜粋で検索
EDP-16: https://references.siemens.com/en/reference/heller-tokn-digital-twin?id=41137
該当箇所: Completion: 2024／仮想SINUMERIK ONEと3D機械モデルによる訓練
EDP-17: https://press.siemens.com/jp/ja/pressrelease/pr-20260416
該当箇所: HMND 01 Alphaのトート把持・搬送・配置／Jetson Thor・Isaac Sim/Lab</x:v>
      </x:c>
    </x:row>
    <x:row r="265" ht="155" customHeight="1">
      <x:c r="A265" s="7" t="str">
        <x:v>生産準備</x:v>
      </x:c>
      <x:c r="B265" s="7" t="str">
        <x:v>CAD・金型設計・NC検証</x:v>
      </x:c>
      <x:c r="C265" s="20" t="str">
        <x:v>シンプルテック株式会社</x:v>
      </x:c>
      <x:c r="D265" s="7" t="str">
        <x:v>NCVIEW Neo</x:v>
      </x:c>
      <x:c r="E265" s="7" t="str">
        <x:v>E2022</x:v>
      </x:c>
      <x:c r="F265" s="7" t="str">
        <x:v>CAD・金型設計・NC検証</x:v>
      </x:c>
      <x:c r="G265" s="7" t="str">
        <x:v>原典抜粋：仮想刃先でノーズR補正対応 2軸旋削シミュレーションソフト</x:v>
      </x:c>
      <x:c r="H265" s="7" t="str">
        <x:v>形状の設計変更や加工前の確認に手間がかかる。</x:v>
      </x:c>
      <x:c r="I265" s="7" t="str">
        <x:v>2024原典抜粋：機械加工環境をPCで高速・精密に再現！ NCデータ検証用ソフトウェア『NCVIEW』シリーズ ★無料トライアルでNCVIEWを体験できます★ ・実機にかけるNCデータそのもので検証が可能 ・干渉チェック、マクロデバッグ等の豊富な機能 ・操作性、分かりやすさを重視した設計 ・100％国内自社開発ならではの迅速、的確なサポート ブースにて弊社のセールスエンジニアが実際の動きをデモンストレーションいたします。 ぜひ気軽にお立ち寄りください！ 『NCVIEW Neo』 同時5軸・複合・5面加工にまで対応する、NCVIEWシ</x:v>
      </x:c>
      <x:c r="J265" s="7" t="str">
        <x:v>2026原典抜粋：仮想刃先でノーズR補正対応 2軸旋削シミュレーションソフト</x:v>
      </x:c>
      <x:c r="K265" s="7" t="str">
        <x:v>原典記述の対照。個別機能の追加・性能差・初登場年は未判定。</x:v>
      </x:c>
      <x:c r="L265" s="7" t="str">
        <x:v>両年説明あり・機能差未判定</x:v>
      </x:c>
      <x:c r="M265" s="7" t="str">
        <x:v>出展説明の一次分類</x:v>
      </x:c>
      <x:c r="N265" s="7" t="str"/>
      <x:c r="O265" s="7" t="str">
        <x:v>承認・例外対応・停止・復帰の境界は未確認</x:v>
      </x:c>
      <x:c r="P265" s="7" t="str">
        <x:v>2026公式カタログ掲載・現地未確認
2026展示予定。既存製品・参考出展・構想等は原典で個別確認</x:v>
      </x:c>
      <x:c r="Q265" s="7" t="str">
        <x:v>AC111</x:v>
      </x:c>
      <x:c t="str" r="R265" s="21">
        <x:f>HYPERLINK("https://www.jimtof.org/search/jp/ESdetails?e=ERhED8Spe2Q","JIMTOF2026 出展ページ")</x:f>
        <x:v>JIMTOF2026 出展ページ</x:v>
      </x:c>
      <x:c t="str" r="S265" s="21">
        <x:f>HYPERLINK("https://www.jimtof.org/2024/search/jp/ESdetails?e=oB77bNfL7hc","JIMTOF2024 出展ページ")</x:f>
        <x:v>JIMTOF2024 出展ページ</x:v>
      </x:c>
      <x:c r="T265" s="7" t="str">
        <x:v>EEX-EXH-2026-7bf0d464b165a8be: https://www.jimtof.org/search/jp/ESdetails?e=ERhED8Spe2Q
該当箇所: 出展紹介・主な出展物。追加カードの原典抜粋で検索
EEX-EXH-2024-56d2f4bf605f29ed: https://www.jimtof.org/2024/search/jp/ESdetails?e=oB77bNfL7hc
該当箇所: 出展紹介・主な出展物。追加カードの原典抜粋で検索</x:v>
      </x:c>
    </x:row>
    <x:row r="266" ht="155" customHeight="1">
      <x:c r="A266" s="7" t="str">
        <x:v>生産準備</x:v>
      </x:c>
      <x:c r="B266" s="7" t="str">
        <x:v>CAD・金型設計・NC検証</x:v>
      </x:c>
      <x:c r="C266" s="20" t="str">
        <x:v>株式会社セイロジャパン</x:v>
      </x:c>
      <x:c r="D266" s="7" t="str">
        <x:v>部品加工用CAD/CAM「GO2cam」</x:v>
      </x:c>
      <x:c r="E266" s="7" t="str">
        <x:v>S3010</x:v>
      </x:c>
      <x:c r="F266" s="7" t="str">
        <x:v>部品・金型の設計と加工プログラム作成</x:v>
      </x:c>
      <x:c r="G266" s="7" t="str">
        <x:v>GO2camによる部品加工、Cimatronによる金型・電極設計からCAMまでを紹介。</x:v>
      </x:c>
      <x:c r="H266" s="7" t="str">
        <x:v>工具・機械・段取り制約を織り込む工程作成の技能依存。 ／ 形状の設計変更や加工前の確認に手間がかかる。</x:v>
      </x:c>
      <x:c r="I266" s="7" t="str">
        <x:v>2024原典抜粋：弊社はCAD/CAM/CAEシステムや測定機などを取り扱う技術系商社です。 40年以上のノウハウで、お客様の課題を解決します。 販売のみならず、一部の製品に関してはポスト作成、各種カスタマイズ、導入後の運用サポートまで一貫して行い、お客様の成功、DX化を支援しております。 ブースではお客様の課題や要望に合わせ、システムのデモを行っておりますのでぜひお立ち寄りください。 ■機械部品加工用CAD/CAM『GO2cam』 部品加工に特化し、シンプルで分かり易い操作性と、加工ノウハウを共有できるデータベース機能により、NC</x:v>
      </x:c>
      <x:c r="J266" s="7" t="str">
        <x:v>2026原典抜粋：当社ブースでは、「部品加工」と「金型設計・加工」領域に特化したCAD/CAMで最適な解決策をご提案します。 / 【部品加工の課題に（GO2cam）】 / ■部品加工用CAD/CAM「GO2cam」 / GO2camは、現場の加工のばらつきを減らし、 / ■金型設計・加工統合CAD/CAM「Cimatron」 / 金型設計から電極設計、CAMまで、金型製作をひとつに。</x:v>
      </x:c>
      <x:c r="K266" s="7" t="str">
        <x:v>原典記述の対照。個別機能の追加・性能差・初登場年は未判定。</x:v>
      </x:c>
      <x:c r="L266" s="7" t="str">
        <x:v>両年説明あり・機能差未判定</x:v>
      </x:c>
      <x:c r="M266" s="7" t="str">
        <x:v>出展説明の一次分類</x:v>
      </x:c>
      <x:c r="N266" s="7" t="str"/>
      <x:c r="O266" s="7" t="str">
        <x:v>承認・例外対応・停止・復帰の境界は未確認</x:v>
      </x:c>
      <x:c r="P266" s="7" t="str">
        <x:v>2026公式カタログ掲載・現地未確認
2026展示予定。既存製品・参考出展・構想等は原典で個別確認</x:v>
      </x:c>
      <x:c r="Q266" s="7" t="str">
        <x:v>AC117</x:v>
      </x:c>
      <x:c t="str" r="R266" s="21">
        <x:f>HYPERLINK("https://www.jimtof.org/search/jp/ESdetails?e=nz0oSJ7WlKg","JIMTOF2026 出展ページ")</x:f>
        <x:v>JIMTOF2026 出展ページ</x:v>
      </x:c>
      <x:c t="str" r="S266" s="21">
        <x:f>HYPERLINK("https://www.jimtof.org/2024/search/jp/ESdetails?e=iNU-fSpQwMM","JIMTOF2024 出展ページ")</x:f>
        <x:v>JIMTOF2024 出展ページ</x:v>
      </x:c>
      <x:c r="T266" s="7" t="str">
        <x:v>EEX-EXH-2026-7c65eb7290ab9d16: https://www.jimtof.org/search/jp/ESdetails?e=nz0oSJ7WlKg
該当箇所: 出展紹介・主な出展物。追加カードの原典抜粋で検索
EEX-EXH-2024-11da0f99657ff136: https://www.jimtof.org/2024/search/jp/ESdetails?e=iNU-fSpQwMM
該当箇所: 出展紹介・主な出展物。追加カードの原典抜粋で検索</x:v>
      </x:c>
    </x:row>
    <x:row r="267" ht="155" customHeight="1">
      <x:c r="A267" s="7" t="str">
        <x:v>生産準備</x:v>
      </x:c>
      <x:c r="B267" s="7" t="str">
        <x:v>CAD・金型設計・NC検証</x:v>
      </x:c>
      <x:c r="C267" s="20" t="str">
        <x:v>株式会社ゼネテック</x:v>
      </x:c>
      <x:c r="D267" s="7" t="str">
        <x:v>「Mastercam」は、世界No.1の導入実績を誇る3D-CAD/CAMシステムです。部品加工、試作、金型、木工など幅広い分野で活用され、2軸加工か</x:v>
      </x:c>
      <x:c r="E267" s="7" t="str">
        <x:v>E2022</x:v>
      </x:c>
      <x:c r="F267" s="7" t="str">
        <x:v>スキャンした形状から加工プログラムを作る</x:v>
      </x:c>
      <x:c r="G267" s="7" t="str">
        <x:v>Mastercamとロボドリルでの加工、FlexSim等のデジタル化支援を紹介。</x:v>
      </x:c>
      <x:c r="H267" s="7" t="str">
        <x:v>工具・機械・段取り制約を織り込む工程作成の技能依存。 ／ 形状の設計変更や加工前の確認に手間がかかる。</x:v>
      </x:c>
      <x:c r="I267" s="7" t="str">
        <x:v>2024原典抜粋：「ものづくり領域でDXを牽引するゼネテック」をテーマに、製造業のDX実現に貢献するさまざまなシステムを出展します。インストール実績世界No.1の「Mastercam」をメインに、機械メーカー・工具メーカーとの協業による加工サンプルのほか、現在ゼネテックで計画を進めているロボットの稼働監視システムも展示します。さらに、製造・物流現場のシミュレーションを簡単操作で実現する「FlexSim」を用いた最適化検証のデモ実演など、自動化・生産性向上を支援するDX商材を幅広くご紹介します。ぜひ、ゼネテックのブースにお立ち寄りくだ</x:v>
      </x:c>
      <x:c r="J267" s="7" t="str">
        <x:v>2026原典抜粋：ゼネテックは、Mastercamを中心に、加工・シミュレーション・リバースエンジニアリング・システム開発まで、製造現場のデジタル化をワンストップで支援します。 / ブースでは、3Dスキャンした金剛力士立像をCADデータ化し、Mastercamで加工プログラムを作成、ファナック製ロボドリル「D74CS」で64チタン製立像を加工する一連の流れを実演します。 / さらにFlexSimやロボット活用、設備稼働監視などのソリューションも紹介します</x:v>
      </x:c>
      <x:c r="K267" s="7" t="str">
        <x:v>原典記述の対照。個別機能の追加・性能差・初登場年は未判定。</x:v>
      </x:c>
      <x:c r="L267" s="7" t="str">
        <x:v>両年説明あり・機能差未判定</x:v>
      </x:c>
      <x:c r="M267" s="7" t="str">
        <x:v>出展説明の一次分類</x:v>
      </x:c>
      <x:c r="N267" s="7" t="str"/>
      <x:c r="O267" s="7" t="str">
        <x:v>承認・例外対応・停止・復帰の境界は未確認</x:v>
      </x:c>
      <x:c r="P267" s="7" t="str">
        <x:v>2026公式カタログ掲載・現地未確認
2026展示予定。既存製品・参考出展・構想等は原典で個別確認</x:v>
      </x:c>
      <x:c r="Q267" s="7" t="str">
        <x:v>AC119</x:v>
      </x:c>
      <x:c t="str" r="R267" s="21">
        <x:f>HYPERLINK("https://www.jimtof.org/search/jp/ESdetails?e=BLWqVcnax5s","JIMTOF2026 出展ページ")</x:f>
        <x:v>JIMTOF2026 出展ページ</x:v>
      </x:c>
      <x:c t="str" r="S267" s="21">
        <x:f>HYPERLINK("https://www.jimtof.org/2024/search/jp/ESdetails?e=hjSCtjFksB0","JIMTOF2024 出展ページ")</x:f>
        <x:v>JIMTOF2024 出展ページ</x:v>
      </x:c>
      <x:c r="T267" s="7" t="str">
        <x:v>EEX-EXH-2026-3578da576a0d1e12: https://www.jimtof.org/search/jp/ESdetails?e=BLWqVcnax5s
該当箇所: 出展紹介・主な出展物。追加カードの原典抜粋で検索
EEX-EXH-2024-93b1f9e2b121b3c4: https://www.jimtof.org/2024/search/jp/ESdetails?e=hjSCtjFksB0
該当箇所: 出展紹介・主な出展物。追加カードの原典抜粋で検索</x:v>
      </x:c>
    </x:row>
    <x:row r="268" ht="155" customHeight="1">
      <x:c r="A268" s="7" t="str">
        <x:v>生産準備</x:v>
      </x:c>
      <x:c r="B268" s="7" t="str">
        <x:v>CAD・金型設計・NC検証</x:v>
      </x:c>
      <x:c r="C268" s="20" t="str">
        <x:v>株式会社フアクト</x:v>
      </x:c>
      <x:c r="D268" s="7" t="str">
        <x:v>Autodesk Fusion</x:v>
      </x:c>
      <x:c r="E268" s="7" t="str">
        <x:v>S3013</x:v>
      </x:c>
      <x:c r="F268" s="7" t="str">
        <x:v>CAD/CAMとNCシミュレーション</x:v>
      </x:c>
      <x:c r="G268" s="7" t="str">
        <x:v>Fusion、FeatureCAMによるプログラム自動化、ENCYのNCシミュレーションを紹介。</x:v>
      </x:c>
      <x:c r="H268" s="7" t="str">
        <x:v>工具・機械・段取り制約を織り込む工程作成の技能依存。 ／ 形状の設計変更や加工前の確認に手間がかかる。</x:v>
      </x:c>
      <x:c r="I268" s="7" t="str">
        <x:v>2024原典抜粋：￥88,000で5軸、複合旋盤も使える３次元 CAD/CAM「Fusion」をはじめ、 簡単操作で自動でNCデータが出力可能な「FeatureCAM」等のCAD/CAMや 機械を選ばない、取り付け簡単な「稼働率モニタリングシステム」、NCデータシミュレーションソフト 各種補助金のご案内等、お役に立てる情報をご案内いたします。 Autodesk Fusion Fusion with FeatureCAM hyperMILL SOLIDWORKS FFCAM 稼働率モニタリングシステム Vericut NCVIEW</x:v>
      </x:c>
      <x:c r="J268" s="7" t="str">
        <x:v>2026原典抜粋：10万円程度の価格で5軸、複合旋盤も使えるAI搭載 3DCAD/CAM「Fusion」の / その他、加工プログラムの自動化が可能な「FeatureCAM」、NCシミュレーションまで / 可能な、永久ライセンスとサブスクリプションライセンスが選べる、3DCAD/CAM「ENCY]など / CAD/CAM販売35年以上の実績のあるフアクトがオススメするソフトウェアをご案内いたします。 / Fusion with FeatureCAM / </x:v>
      </x:c>
      <x:c r="K268" s="7" t="str">
        <x:v>原典記述の対照。個別機能の追加・性能差・初登場年は未判定。</x:v>
      </x:c>
      <x:c r="L268" s="7" t="str">
        <x:v>両年説明あり・機能差未判定</x:v>
      </x:c>
      <x:c r="M268" s="7" t="str">
        <x:v>出展説明の一次分類</x:v>
      </x:c>
      <x:c r="N268" s="7" t="str"/>
      <x:c r="O268" s="7" t="str">
        <x:v>承認・例外対応・停止・復帰の境界は未確認</x:v>
      </x:c>
      <x:c r="P268" s="7" t="str">
        <x:v>2026公式カタログ掲載・現地未確認
2026展示予定。既存製品・参考出展・構想等は原典で個別確認</x:v>
      </x:c>
      <x:c r="Q268" s="7" t="str">
        <x:v>AC194</x:v>
      </x:c>
      <x:c t="str" r="R268" s="21">
        <x:f>HYPERLINK("https://www.jimtof.org/search/jp/ESdetails?e=taaGM0brdn8","JIMTOF2026 出展ページ")</x:f>
        <x:v>JIMTOF2026 出展ページ</x:v>
      </x:c>
      <x:c t="str" r="S268" s="21">
        <x:f>HYPERLINK("https://www.jimtof.org/2024/search/jp/ESdetails?e=ouI_rRePhFc","JIMTOF2024 出展ページ")</x:f>
        <x:v>JIMTOF2024 出展ページ</x:v>
      </x:c>
      <x:c r="T268" s="7" t="str">
        <x:v>EEX-EXH-2026-ae1a6fcc911ca14b: https://www.jimtof.org/search/jp/ESdetails?e=taaGM0brdn8
該当箇所: 出展紹介・主な出展物。追加カードの原典抜粋で検索
EEX-EXH-2024-98da3fb80aa564f7: https://www.jimtof.org/2024/search/jp/ESdetails?e=ouI_rRePhFc
該当箇所: 出展紹介・主な出展物。追加カードの原典抜粋で検索</x:v>
      </x:c>
    </x:row>
    <x:row r="269" ht="155" customHeight="1">
      <x:c r="A269" s="7" t="str">
        <x:v>生産準備</x:v>
      </x:c>
      <x:c r="B269" s="7" t="str">
        <x:v>CAD・金型設計・NC検証</x:v>
      </x:c>
      <x:c r="C269" s="20" t="str">
        <x:v>丸紅情報システムズ株式会社</x:v>
      </x:c>
      <x:c r="D269" s="7" t="str">
        <x:v>ZEISS社　コンパクトクラス高機能3Dスキャナ / ATOS Q</x:v>
      </x:c>
      <x:c r="E269" s="7" t="str">
        <x:v>S3081</x:v>
      </x:c>
      <x:c r="F269" s="7" t="str">
        <x:v>3D計測と金型補修・加工の連携</x:v>
      </x:c>
      <x:c r="G269" s="7" t="str">
        <x:v>ZEISSの3D測定とCAMデータ活用、Tebis等のCAD/CAM・MESを紹介。</x:v>
      </x:c>
      <x:c r="H269" s="7" t="str">
        <x:v>工具・機械・段取り制約を織り込む工程作成の技能依存。 ／ 形状の設計変更や加工前の確認に手間がかかる。 ／ 測定の段取り・搬送・記録に人手が残り、結果が加工改善につながりにくい。</x:v>
      </x:c>
      <x:c r="I269" s="7" t="str">
        <x:v>2024原典抜粋：丸紅情報システムズは、製造業界におけるリードタイムの短縮、人材不足、コストダウンといった課題に計測・検査分野での自動化・標準化にデジタルデータの一層の活用を後押しする製品・サービスをご提案します。JIMTOF2024では、軽量・持ち運びやすさが特徴のドイツZEISS社の3DスキャナATOS QとT-SCAN hawk 2を出展します。置き型の測定機と異なり、開発部門、製造現場などに手軽に持ち込んで高精細な3D測定が可能です。その他に、ZEISS社の完全自動測定システムScanBox の映像展示やタブレット端末を使っ</x:v>
      </x:c>
      <x:c r="J269" s="7" t="str">
        <x:v>2026原典抜粋：「製造DX x 非接触3Dスキャナで計測工程を刷新」 / ZEISS社の3Dスキャナを軸に、製品の検査・品質管理から始まり、取得した3次元測定データと既存のCAMデータを活用し、金型加工（肉盛り補修など）の最適化を行うなど様々な事例をご紹介いたします。 / 3Dスキャナも据え置き式はもちろん、ロボットを利用した自動化システム、ハンディタイプなど様々ラインナップしております。 / その他生産管理システム（MES)や、現物にCADデータをA</x:v>
      </x:c>
      <x:c r="K269" s="7" t="str">
        <x:v>原典記述の対照。個別機能の追加・性能差・初登場年は未判定。</x:v>
      </x:c>
      <x:c r="L269" s="7" t="str">
        <x:v>両年説明あり・機能差未判定</x:v>
      </x:c>
      <x:c r="M269" s="7" t="str">
        <x:v>出展説明の一次分類</x:v>
      </x:c>
      <x:c r="N269" s="7" t="str"/>
      <x:c r="O269" s="7" t="str">
        <x:v>承認・例外対応・停止・復帰の境界は未確認</x:v>
      </x:c>
      <x:c r="P269" s="7" t="str">
        <x:v>2026公式カタログ掲載・現地未確認
2026展示予定。既存製品・参考出展・構想等は原典で個別確認</x:v>
      </x:c>
      <x:c r="Q269" s="7" t="str">
        <x:v>AC215</x:v>
      </x:c>
      <x:c t="str" r="R269" s="21">
        <x:f>HYPERLINK("https://www.jimtof.org/search/jp/ESdetails?e=CYlrKSmBqPU","JIMTOF2026 出展ページ")</x:f>
        <x:v>JIMTOF2026 出展ページ</x:v>
      </x:c>
      <x:c t="str" r="S269" s="21">
        <x:f>HYPERLINK("https://www.jimtof.org/2024/search/jp/ESdetails?e=su6bJFFHGAk","JIMTOF2024 出展ページ")</x:f>
        <x:v>JIMTOF2024 出展ページ</x:v>
      </x:c>
      <x:c r="T269" s="7" t="str">
        <x:v>EEX-EXH-2026-724ec4dafc442c95: https://www.jimtof.org/search/jp/ESdetails?e=CYlrKSmBqPU
該当箇所: 出展紹介・主な出展物。追加カードの原典抜粋で検索
EEX-EXH-2024-5b8ef7edef2e3a9f: https://www.jimtof.org/2024/search/jp/ESdetails?e=su6bJFFHGAk
該当箇所: 出展紹介・主な出展物。追加カードの原典抜粋で検索
EEX-EXH-2024-86ebabfaad40bf26: https://www.jimtof.org/2024/search/jp/ESdetails?e=LeucwRYk1Qg
該当箇所: 出展紹介・主な出展物。追加カードの原典抜粋で検索</x:v>
      </x:c>
    </x:row>
    <x:row r="270" ht="155" customHeight="1">
      <x:c r="A270" s="7" t="str">
        <x:v>生産準備</x:v>
      </x:c>
      <x:c r="B270" s="7" t="str">
        <x:v>CAD・金型設計・NC検証</x:v>
      </x:c>
      <x:c r="C270" s="20" t="str">
        <x:v>株式会社モアソンジャパン</x:v>
      </x:c>
      <x:c r="D270" s="7" t="str">
        <x:v>ポータブル3Dスキャナー HandySCAN 3D|EVOシリーズ</x:v>
      </x:c>
      <x:c r="E270" s="7" t="str">
        <x:v>E2022</x:v>
      </x:c>
      <x:c r="F270" s="7" t="str">
        <x:v>CAD・金型設計・NC検証 ／ 図面・設計データの管理と連携</x:v>
      </x:c>
      <x:c r="G270" s="7" t="str">
        <x:v>原典抜粋：製造現場の3D測定から設計・検査までを効率化する、次世代の3Dデジタルソリューションをご提案します。 / 取得したデータは、リバースエンジニアリングソフトウェア【Geomagic Design X】を用いて、履歴情報を持つ高精度なCADデータへと高速で変換。 / 各種CAD等へ履歴情報ごと直接移行でき、図面のない部品の設計・製品化を強力に支援します。 / レポート作成までを自動化して検査リードタイムを短縮し、人によるブレのない安定した品</x:v>
      </x:c>
      <x:c r="H270" s="7" t="str">
        <x:v>形状の設計変更や加工前の確認に手間がかかる。 ／ 図面・工具・品質・工程情報が別々に保存され、再利用しにくい。</x:v>
      </x:c>
      <x:c r="I270" s="7" t="str">
        <x:v>2024原典抜粋：大きな工作物を手間なく計測し、加工漏れなどを簡単に発見するソリューションを紹介します 10tクレーンで設置する様な大型の工作物の孔加工ミスをスマホ撮影で簡単に素早く発見出来るシステム「PiCveri（ピックベリー：picture-cad-verification）」を開発しました。スマホで対象物を撮影した写真画像から複数の孔を自動認識し、数回のクリックでCADデータと比較。孔の位置ズレや空け忘れ等を素早く発見できます。加工ミスを発見するシステムは多々ありますが、大型の主型などの孔を検査するニッチな市場において、iP</x:v>
      </x:c>
      <x:c r="J270" s="7" t="str">
        <x:v>2026原典抜粋：製造現場の3D測定から設計・検査までを効率化する、次世代の3Dデジタルソリューションをご提案します。 / 取得したデータは、リバースエンジニアリングソフトウェア【Geomagic Design X】を用いて、履歴情報を持つ高精度なCADデータへと高速で変換。 / 各種CAD等へ履歴情報ごと直接移行でき、図面のない部品の設計・製品化を強力に支援します。 / レポート作成までを自動化して検査リードタイムを短縮し、人によるブレのない安定した品</x:v>
      </x:c>
      <x:c r="K270" s="7" t="str">
        <x:v>原典記述の対照。個別機能の追加・性能差・初登場年は未判定。</x:v>
      </x:c>
      <x:c r="L270" s="7" t="str">
        <x:v>両年説明あり・機能差未判定</x:v>
      </x:c>
      <x:c r="M270" s="7" t="str">
        <x:v>出展説明の一次分類</x:v>
      </x:c>
      <x:c r="N270" s="7" t="str"/>
      <x:c r="O270" s="7" t="str">
        <x:v>承認・例外対応・停止・復帰の境界は未確認</x:v>
      </x:c>
      <x:c r="P270" s="7" t="str">
        <x:v>2026公式カタログ掲載・現地未確認
2026展示予定。既存製品・参考出展・構想等は原典で個別確認</x:v>
      </x:c>
      <x:c r="Q270" s="7" t="str">
        <x:v>AC228</x:v>
      </x:c>
      <x:c t="str" r="R270" s="21">
        <x:f>HYPERLINK("https://www.jimtof.org/search/jp/ESdetails?e=BA-QSlPL32I","JIMTOF2026 出展ページ")</x:f>
        <x:v>JIMTOF2026 出展ページ</x:v>
      </x:c>
      <x:c t="str" r="S270" s="21">
        <x:f>HYPERLINK("https://www.jimtof.org/2024/search/jp/ESdetails?e=mFWgprFAl9k","JIMTOF2024 出展ページ")</x:f>
        <x:v>JIMTOF2024 出展ページ</x:v>
      </x:c>
      <x:c r="T270" s="7" t="str">
        <x:v>EEX-EXH-2026-d241e6d6ecb5d3ae: https://www.jimtof.org/search/jp/ESdetails?e=BA-QSlPL32I
該当箇所: 出展紹介・主な出展物。追加カードの原典抜粋で検索
EEX-EXH-2024-14f5dfac2e2d51ae: https://www.jimtof.org/2024/search/jp/ESdetails?e=mFWgprFAl9k
該当箇所: 出展紹介・主な出展物。追加カードの原典抜粋で検索</x:v>
      </x:c>
    </x:row>
    <x:row r="271" ht="155" customHeight="1">
      <x:c r="A271" s="7" t="str">
        <x:v>生産準備</x:v>
      </x:c>
      <x:c r="B271" s="7" t="str">
        <x:v>CAD・金型設計・NC検証</x:v>
      </x:c>
      <x:c r="C271" s="20" t="str">
        <x:v>Dontyne Systems Limited</x:v>
      </x:c>
      <x:c r="D271" s="7" t="str">
        <x:v>Gear Production Suite, DOMMS</x:v>
      </x:c>
      <x:c r="E271" s="7" t="str">
        <x:v>E8008</x:v>
      </x:c>
      <x:c r="F271" s="7" t="str">
        <x:v>CAD・金型設計・NC検証</x:v>
      </x:c>
      <x:c r="G271" s="7" t="str">
        <x:v>原典抜粋：ドンタインはトランスミッション業界向けの製品開発やサービスを行っております。 / JIMTOF2026では、新エネルギー車のドライブトレインの開発・製造に関するソフトウェアをクローズアップし紹介します。 / 新たに開発したステップドピニオンを用いた遊星歯車設計ソフトや、その歯車の製造に使用するスカイビングやホーニングのシミュレーションソフトを展示いたします。 / Gear Production Suite, DOMMS</x:v>
      </x:c>
      <x:c r="H271" s="7" t="str">
        <x:v>形状の設計変更や加工前の確認に手間がかかる。</x:v>
      </x:c>
      <x:c r="I271" s="7" t="str">
        <x:v>2024原典抜粋：ドンタインはトランスミッション業界向けの製品開発やサービスを行っております。 今回のJIMTOF2024では、歯車製造支援ソフトウェアをご紹介します。様々なギヤの設計や製造における工具設計・シミュレーションを行えるソフトウェアになりますが、最近ニーズが高まっているスカイビングのシミュレーションや5軸のマシニングの製造シミュレーションソフトをクローズアップし紹介いたします。 また、Renishaw社製Equator™を動作させる、歯車計測システムDIGGSの開発しました。Equator™の性能を使用しラインサイドでの</x:v>
      </x:c>
      <x:c r="J271" s="7" t="str">
        <x:v>2026原典抜粋：ドンタインはトランスミッション業界向けの製品開発やサービスを行っております。 / JIMTOF2026では、新エネルギー車のドライブトレインの開発・製造に関するソフトウェアをクローズアップし紹介します。 / 新たに開発したステップドピニオンを用いた遊星歯車設計ソフトや、その歯車の製造に使用するスカイビングやホーニングのシミュレーションソフトを展示いたします。 / Gear Production Suite, DOMMS</x:v>
      </x:c>
      <x:c r="K271" s="7" t="str">
        <x:v>原典記述の対照。個別機能の追加・性能差・初登場年は未判定。</x:v>
      </x:c>
      <x:c r="L271" s="7" t="str">
        <x:v>両年説明あり・機能差未判定</x:v>
      </x:c>
      <x:c r="M271" s="7" t="str">
        <x:v>出展説明の一次分類</x:v>
      </x:c>
      <x:c r="N271" s="7" t="str"/>
      <x:c r="O271" s="7" t="str">
        <x:v>承認・例外対応・停止・復帰の境界は未確認</x:v>
      </x:c>
      <x:c r="P271" s="7" t="str">
        <x:v>2026公式カタログ掲載・現地未確認
2026展示予定。既存製品・参考出展・構想等は原典で個別確認</x:v>
      </x:c>
      <x:c r="Q271" s="7" t="str">
        <x:v>AC258</x:v>
      </x:c>
      <x:c t="str" r="R271" s="21">
        <x:f>HYPERLINK("https://www.jimtof.org/search/jp/ESdetails?e=Qdl6sEtQDEY","JIMTOF2026 出展ページ")</x:f>
        <x:v>JIMTOF2026 出展ページ</x:v>
      </x:c>
      <x:c t="str" r="S271" s="21">
        <x:f>HYPERLINK("https://www.jimtof.org/2024/search/jp/ESdetails?e=7Oab3lI0MZ4","JIMTOF2024 出展ページ")</x:f>
        <x:v>JIMTOF2024 出展ページ</x:v>
      </x:c>
      <x:c r="T271" s="7" t="str">
        <x:v>EEX-EXH-2026-bcc3a29be85a835b: https://www.jimtof.org/search/jp/ESdetails?e=Qdl6sEtQDEY
該当箇所: 出展紹介・主な出展物。追加カードの原典抜粋で検索
EEX-EXH-2024-ab70e84c265f804f: https://www.jimtof.org/2024/search/jp/ESdetails?e=7Oab3lI0MZ4
該当箇所: 出展紹介・主な出展物。追加カードの原典抜粋で検索</x:v>
      </x:c>
    </x:row>
    <x:row r="272" ht="155" customHeight="1">
      <x:c r="A272" s="7" t="str">
        <x:v>生産準備</x:v>
      </x:c>
      <x:c r="B272" s="7" t="str">
        <x:v>CAD・金型設計・NC検証</x:v>
      </x:c>
      <x:c r="C272" s="20" t="str">
        <x:v>Spatial Corp.</x:v>
      </x:c>
      <x:c r="D272" s="7" t="str">
        <x:v>CAD/CAMソフトウェアの開発を加速する、強力な3Dツールキット。 / 工作機械のデジタルツインや高精度な加工シミュレーション、CADデータ連携の開</x:v>
      </x:c>
      <x:c r="E272" s="7" t="str">
        <x:v>E1063</x:v>
      </x:c>
      <x:c r="F272" s="7" t="str">
        <x:v>デジタルツイン・物理学習用データ ／ CAD・金型設計・NC検証 ／ 図面・設計データの管理と連携</x:v>
      </x:c>
      <x:c r="G272" s="7" t="str">
        <x:v>原典抜粋：CAD/CAMソフトウェアの開発を加速する、強力な3Dツールキット。 / 工作機械のデジタルツインや高精度な加工シミュレーション、CADデータ連携の開発にお悩みではありませんか？ / ダッソー・システムズ傘下のスペイシャルは、世界中の製造業で採用される3Dモデリング・CAD変換・メッシュ生成・可視化SDKを提供しています。</x:v>
      </x:c>
      <x:c r="H272" s="7" t="str">
        <x:v>仮想上での確認・学習と実機の結果をつなぐための準備。 ／ 形状の設計変更や加工前の確認に手間がかかる。 ／ 図面・工具・品質・工程情報が別々に保存され、再利用しにくい。</x:v>
      </x:c>
      <x:c r="I272" s="7" t="str">
        <x:v>同一正規化名称の2024詳細なし。新規出展・技術不存在とは判断しない。</x:v>
      </x:c>
      <x:c r="J272" s="7" t="str">
        <x:v>2026原典抜粋：CAD/CAMソフトウェアの開発を加速する、強力な3Dツールキット。 / 工作機械のデジタルツインや高精度な加工シミュレーション、CADデータ連携の開発にお悩みではありませんか？ / ダッソー・システムズ傘下のスペイシャルは、世界中の製造業で採用される3Dモデリング・CAD変換・メッシュ生成・可視化SDKを提供しています。</x:v>
      </x:c>
      <x:c r="K272" s="7" t="str">
        <x:v>原典記述の対照。個別機能の追加・性能差・初登場年は未判定。</x:v>
      </x:c>
      <x:c r="L272" s="7" t="str">
        <x:v>年度資料不足・比較不能</x:v>
      </x:c>
      <x:c r="M272" s="7" t="str">
        <x:v>出展説明の一次分類</x:v>
      </x:c>
      <x:c r="N272" s="7" t="str"/>
      <x:c r="O272" s="7" t="str">
        <x:v>承認・例外対応・停止・復帰の境界は未確認</x:v>
      </x:c>
      <x:c r="P272" s="7" t="str">
        <x:v>2026公式カタログ掲載・現地未確認
2026展示予定。既存製品・参考出展・構想等は原典で個別確認</x:v>
      </x:c>
      <x:c r="Q272" s="7" t="str">
        <x:v>AC286</x:v>
      </x:c>
      <x:c t="str" r="R272" s="21">
        <x:f>HYPERLINK("https://www.jimtof.org/search/jp/ESdetails?e=bsgsYcvbud4","JIMTOF2026 出展ページ")</x:f>
        <x:v>JIMTOF2026 出展ページ</x:v>
      </x:c>
      <x:c r="S272" s="21" t="str"/>
      <x:c r="T272" s="7" t="str">
        <x:v>EEX-EXH-2026-b723f9bd97c08837: https://www.jimtof.org/search/jp/ESdetails?e=bsgsYcvbud4
該当箇所: 出展紹介・主な出展物。追加カードの原典抜粋で検索</x:v>
      </x:c>
    </x:row>
    <x:row r="273" ht="155" customHeight="1">
      <x:c r="A273" s="7" t="str">
        <x:v>検査・診断</x:v>
      </x:c>
      <x:c r="B273" s="7" t="str">
        <x:v>自動計測・測定計画・品質データ</x:v>
      </x:c>
      <x:c r="C273" s="20" t="str">
        <x:v>Hexagon Manufacturing Intelligence</x:v>
      </x:c>
      <x:c r="D273" s="7" t="str">
        <x:v>MAESTRO／PRESTO／品質ソフト群</x:v>
      </x:c>
      <x:c r="E273" s="7" t="str">
        <x:v>E7035</x:v>
      </x:c>
      <x:c r="F273" s="7" t="str">
        <x:v>寸法・形状計測</x:v>
      </x:c>
      <x:c r="G273" s="7" t="str">
        <x:v>測定機とPC-DMIS、VG、Q-Das等を紹介</x:v>
      </x:c>
      <x:c r="H273" s="7" t="str">
        <x:v>測定待ち、機外への運搬・載せ替え、測定プログラム準備の負担</x:v>
      </x:c>
      <x:c r="I273" s="7" t="str">
        <x:v>同名2024詳細なし</x:v>
      </x:c>
      <x:c r="J273" s="7" t="str">
        <x:v>2026品質ブースで測定・検査・解析から工程改善を訴求</x:v>
      </x:c>
      <x:c r="K273" s="7" t="str">
        <x:v>出展説明・公式資料の記載比較。初発明年・実演成功・性能向上を証明するものではない。</x:v>
      </x:c>
      <x:c r="L273" s="7" t="str">
        <x:v>年度資料不足・比較不能</x:v>
      </x:c>
      <x:c r="M273" s="7" t="str">
        <x:v>個別タスク整理</x:v>
      </x:c>
      <x:c r="N273" s="7" t="str"/>
      <x:c r="O273" s="7" t="str">
        <x:v>個々の測定から加工への自動補正接続は未確認</x:v>
      </x:c>
      <x:c r="P273" s="7" t="str">
        <x:v>JIMTOF2026公式カタログ掲載・現地未確認
2026展示予定・提供段階未確認</x:v>
      </x:c>
      <x:c r="Q273" s="7" t="str">
        <x:v>FC019</x:v>
      </x:c>
      <x:c t="str" r="R273" s="21">
        <x:f>HYPERLINK("https://www.jimtof.org/search/jp/ESdetails?e=oUyVPjxvy-U","JIMTOF2026 出展ページ")</x:f>
        <x:v>JIMTOF2026 出展ページ</x:v>
      </x:c>
      <x:c r="S273" s="21" t="str"/>
      <x:c r="T273" s="7" t="str">
        <x:v>EOV-V007-2026-1: https://www.jimtof.org/search/jp/ESdetails?e=oUyVPjxvy-U
該当箇所: main &gt; div.col-md-8.mb-5 の出展紹介、見出し「主な出展物」直後</x:v>
      </x:c>
    </x:row>
    <x:row r="274" ht="155" customHeight="1">
      <x:c r="A274" s="7" t="str">
        <x:v>検査・診断</x:v>
      </x:c>
      <x:c r="B274" s="7" t="str">
        <x:v>自動計測・測定計画・品質データ</x:v>
      </x:c>
      <x:c r="C274" s="20" t="str">
        <x:v>ミツトヨ</x:v>
      </x:c>
      <x:c r="D274" s="7" t="str">
        <x:v>自動測定／MiCAT Planner・MiBOT系</x:v>
      </x:c>
      <x:c r="E274" s="7" t="str">
        <x:v>E7085</x:v>
      </x:c>
      <x:c r="F274" s="7" t="str">
        <x:v>寸法・形状計測</x:v>
      </x:c>
      <x:c r="G274" s="7" t="str">
        <x:v>測定プログラム作成と測定作業を自動化</x:v>
      </x:c>
      <x:c r="H274" s="7" t="str">
        <x:v>測定待ち、機外への運搬・載せ替え、測定プログラム準備の負担</x:v>
      </x:c>
      <x:c r="I274" s="7" t="str">
        <x:v>MiBOT・MiCAT Planner等を掲載</x:v>
      </x:c>
      <x:c r="J274" s="7" t="str">
        <x:v>計測データ活用・プラットフォームを強調</x:v>
      </x:c>
      <x:c r="K274" s="7" t="str">
        <x:v>出展説明・公式資料の記載比較。初発明年・実演成功・性能向上を証明するものではない。</x:v>
      </x:c>
      <x:c r="L274" s="7" t="str">
        <x:v>比較記録あり</x:v>
      </x:c>
      <x:c r="M274" s="7" t="str">
        <x:v>個別タスク整理</x:v>
      </x:c>
      <x:c r="N274" s="7" t="str"/>
      <x:c r="O274" s="7" t="str">
        <x:v>計測から加工補正への全機種接続は未確認</x:v>
      </x:c>
      <x:c r="P274" s="7" t="str">
        <x:v>JIMTOF2026公式カタログ掲載・現地未確認
2026展示予定・提供段階未確認</x:v>
      </x:c>
      <x:c r="Q274" s="7" t="str">
        <x:v>FC032</x:v>
      </x:c>
      <x:c t="str" r="R274" s="21">
        <x:f>HYPERLINK("https://www.jimtof.org/search/jp/ESdetails?e=a7y3JtW8DXM","JIMTOF2026 出展ページ")</x:f>
        <x:v>JIMTOF2026 出展ページ</x:v>
      </x:c>
      <x:c t="str" r="S274" s="21">
        <x:f>HYPERLINK("https://www.jimtof.org/2024/search/jp/ESdetails?e=1CDoltPa9rk","JIMTOF2024 出展ページ")</x:f>
        <x:v>JIMTOF2024 出展ページ</x:v>
      </x:c>
      <x:c r="T274" s="7" t="str">
        <x:v>EOV-V017-2024-1: https://www.jimtof.org/2024/search/jp/ESdetails?e=1CDoltPa9rk
該当箇所: main &gt; div.col-md-8.mb-5 の出展紹介、見出し「主な出展物」直後
EOV-V017-2026-1: https://www.jimtof.org/search/jp/ESdetails?e=a7y3JtW8DXM
該当箇所: main &gt; div.col-md-8.mb-5 の出展紹介、見出し「主な出展物」直後</x:v>
      </x:c>
    </x:row>
    <x:row r="275" ht="155" customHeight="1">
      <x:c r="A275" s="7" t="str">
        <x:v>検査・診断</x:v>
      </x:c>
      <x:c r="B275" s="7" t="str">
        <x:v>自動計測・測定計画・品質データ</x:v>
      </x:c>
      <x:c r="C275" s="20" t="str">
        <x:v>ブルーム-ノボテスト</x:v>
      </x:c>
      <x:c r="D275" s="7" t="str">
        <x:v>FormControl X／DIGILOG</x:v>
      </x:c>
      <x:c r="E275" s="7" t="str">
        <x:v>E7084</x:v>
      </x:c>
      <x:c r="F275" s="7" t="str">
        <x:v>機上のワーク形状と工具を測る</x:v>
      </x:c>
      <x:c r="G275" s="7" t="str">
        <x:v>機上3D測定と工具計測・欠け検知・補正を組み合わせる。</x:v>
      </x:c>
      <x:c r="H275" s="7" t="str">
        <x:v>測定待ち、機外への運搬・載せ替え、測定プログラム準備の負担</x:v>
      </x:c>
      <x:c r="I275" s="7" t="str">
        <x:v>FormControl X、LC50 DIGILOGの機上計測・補正を掲載</x:v>
      </x:c>
      <x:c r="J275" s="7" t="str">
        <x:v>LC54、GrindingControlを追加掲載</x:v>
      </x:c>
      <x:c r="K275" s="7" t="str">
        <x:v>2024のFormControl X等を継続し、2026はLC54等を追加。</x:v>
      </x:c>
      <x:c r="L275" s="7" t="str">
        <x:v>個別比較あり</x:v>
      </x:c>
      <x:c r="M275" s="7" t="str">
        <x:v>詳細比較済み</x:v>
      </x:c>
      <x:c r="N275" s="7" t="str"/>
      <x:c r="O275" s="7" t="str">
        <x:v>校正・熱状態・機種適合の条件は未確認。</x:v>
      </x:c>
      <x:c r="P275" s="7" t="str">
        <x:v>JIMTOF2026公式カタログ掲載・現地未確認
2026展示予定・提供段階未確認</x:v>
      </x:c>
      <x:c r="Q275" s="7" t="str">
        <x:v>FC034</x:v>
      </x:c>
      <x:c t="str" r="R275" s="21">
        <x:f>HYPERLINK("https://www.jimtof.org/search/jp/ESdetails?e=_njqMb9vBpc","JIMTOF2026 出展ページ")</x:f>
        <x:v>JIMTOF2026 出展ページ</x:v>
      </x:c>
      <x:c t="str" r="S275" s="21">
        <x:f>HYPERLINK("https://www.jimtof.org/2024/search/jp/ESdetails?e=Zz8BlB0Ylio","JIMTOF2024 出展ページ")</x:f>
        <x:v>JIMTOF2024 出展ページ</x:v>
      </x:c>
      <x:c r="T275" s="7" t="str">
        <x:v>EOV-V019-2024-1: https://www.jimtof.org/2024/search/jp/ESdetails?e=Zz8BlB0Ylio
該当箇所: main &gt; div.col-md-8.mb-5 の出展紹介、見出し「主な出展物」直後
EOV-V019-2026-1: https://www.jimtof.org/search/jp/ESdetails?e=_njqMb9vBpc
該当箇所: main &gt; div.col-md-8.mb-5 の出展紹介、見出し「主な出展物」直後</x:v>
      </x:c>
    </x:row>
    <x:row r="276" ht="155" customHeight="1">
      <x:c r="A276" s="7" t="str">
        <x:v>検査・診断</x:v>
      </x:c>
      <x:c r="B276" s="7" t="str">
        <x:v>自動計測・測定計画・品質データ</x:v>
      </x:c>
      <x:c r="C276" s="20" t="str">
        <x:v>Innovalia Metrology</x:v>
      </x:c>
      <x:c r="D276" s="7" t="str">
        <x:v>M3MH：既設機での機上計測</x:v>
      </x:c>
      <x:c r="E276" s="7" t="str">
        <x:v>S4001</x:v>
      </x:c>
      <x:c r="F276" s="7" t="str">
        <x:v>寸法・形状計測</x:v>
      </x:c>
      <x:c r="G276" s="7" t="str">
        <x:v>オフライン測定計画と機上の形状評価・工程制御を紹介</x:v>
      </x:c>
      <x:c r="H276" s="7" t="str">
        <x:v>測定待ち、機外への運搬・載せ替え、測定プログラム準備の負担</x:v>
      </x:c>
      <x:c r="I276" s="7" t="str">
        <x:v>機上評価・CAD計画・リアルタイム工程制御を説明済み</x:v>
      </x:c>
      <x:c r="J276" s="7" t="str">
        <x:v>後付け・工数削減を再訴求</x:v>
      </x:c>
      <x:c r="K276" s="7" t="str">
        <x:v>出展説明・公式資料の記載比較。初発明年・実演成功・性能向上を証明するものではない。</x:v>
      </x:c>
      <x:c r="L276" s="7" t="str">
        <x:v>比較記録あり</x:v>
      </x:c>
      <x:c r="M276" s="7" t="str">
        <x:v>個別タスク整理</x:v>
      </x:c>
      <x:c r="N276" s="7" t="str"/>
      <x:c r="O276" s="7" t="str">
        <x:v>校正・機械精度・対応機種・補正先の詳細は未確認</x:v>
      </x:c>
      <x:c r="P276" s="7" t="str">
        <x:v>JIMTOF2026公式カタログ掲載・現地未確認
2026展示予定・提供段階未確認</x:v>
      </x:c>
      <x:c r="Q276" s="7" t="str">
        <x:v>FC056</x:v>
      </x:c>
      <x:c t="str" r="R276" s="21">
        <x:f>HYPERLINK("https://www.jimtof.org/search/jp/ESdetails?e=gvfw4D5z-qc","JIMTOF2026 出展ページ")</x:f>
        <x:v>JIMTOF2026 出展ページ</x:v>
      </x:c>
      <x:c t="str" r="S276" s="21">
        <x:f>HYPERLINK("https://www.jimtof.org/2024/search/jp/ESdetails?e=WPabQbHCkho","JIMTOF2024 出展ページ")</x:f>
        <x:v>JIMTOF2024 出展ページ</x:v>
      </x:c>
      <x:c r="T276" s="7" t="str">
        <x:v>EOV-V036-2024-1: https://www.jimtof.org/2024/search/jp/ESdetails?e=WPabQbHCkho
該当箇所: main &gt; div.col-md-8.mb-5 の出展紹介、見出し「主な出展物」直後
EOV-V036-2026-1: https://www.jimtof.org/search/jp/ESdetails?e=gvfw4D5z-qc
該当箇所: main &gt; div.col-md-8.mb-5 の出展紹介、見出し「主な出展物」直後</x:v>
      </x:c>
    </x:row>
    <x:row r="277" ht="155" customHeight="1">
      <x:c r="A277" s="7" t="str">
        <x:v>検査・診断</x:v>
      </x:c>
      <x:c r="B277" s="7" t="str">
        <x:v>自動計測・測定計画・品質データ</x:v>
      </x:c>
      <x:c r="C277" s="20" t="str">
        <x:v>ニコン</x:v>
      </x:c>
      <x:c r="D277" s="7" t="str">
        <x:v>NEXIV・CT・ロボットビジョン等</x:v>
      </x:c>
      <x:c r="E277" s="7" t="str">
        <x:v>E7001</x:v>
      </x:c>
      <x:c r="F277" s="7" t="str">
        <x:v>寸法・形状計測</x:v>
      </x:c>
      <x:c r="G277" s="7" t="str">
        <x:v>異なる計測手段で工程別の品質を評価</x:v>
      </x:c>
      <x:c r="H277" s="7" t="str">
        <x:v>測定待ち、機外への運搬・載せ替え、測定プログラム準備の負担</x:v>
      </x:c>
      <x:c r="I277" s="7" t="str">
        <x:v>ロボット測定・自動搬送・インライン検査を掲載</x:v>
      </x:c>
      <x:c r="J277" s="7" t="str">
        <x:v>計測・画像・CT・ビジョンの統合的訴求</x:v>
      </x:c>
      <x:c r="K277" s="7" t="str">
        <x:v>出展説明・公式資料の記載比較。初発明年・実演成功・性能向上を証明するものではない。</x:v>
      </x:c>
      <x:c r="L277" s="7" t="str">
        <x:v>比較記録あり</x:v>
      </x:c>
      <x:c r="M277" s="7" t="str">
        <x:v>個別タスク整理</x:v>
      </x:c>
      <x:c r="N277" s="7" t="str"/>
      <x:c r="O277" s="7" t="str">
        <x:v>一体化した自律補正やAIの性能向上は資料から不明</x:v>
      </x:c>
      <x:c r="P277" s="7" t="str">
        <x:v>JIMTOF2026公式カタログ掲載・現地未確認
2026展示予定・提供段階未確認</x:v>
      </x:c>
      <x:c r="Q277" s="7" t="str">
        <x:v>FC057</x:v>
      </x:c>
      <x:c t="str" r="R277" s="21">
        <x:f>HYPERLINK("https://www.jimtof.org/search/jp/ESdetails?e=lmqsWTyiVAY","JIMTOF2026 出展ページ")</x:f>
        <x:v>JIMTOF2026 出展ページ</x:v>
      </x:c>
      <x:c t="str" r="S277" s="21">
        <x:f>HYPERLINK("https://www.jimtof.org/2024/search/jp/ESdetails?e=anszOsTbjDI","JIMTOF2024 出展ページ")</x:f>
        <x:v>JIMTOF2024 出展ページ</x:v>
      </x:c>
      <x:c r="T277" s="7" t="str">
        <x:v>EOV-V037-2024-1: https://www.jimtof.org/2024/search/jp/ESdetails?e=anszOsTbjDI
該当箇所: main &gt; div.col-md-8.mb-5 の出展紹介、見出し「主な出展物」直後
EOV-V037-2026-1: https://www.jimtof.org/search/jp/ESdetails?e=lmqsWTyiVAY
該当箇所: main &gt; div.col-md-8.mb-5 の出展紹介、見出し「主な出展物」直後</x:v>
      </x:c>
    </x:row>
    <x:row r="278" ht="155" customHeight="1">
      <x:c r="A278" s="7" t="str">
        <x:v>検査・診断</x:v>
      </x:c>
      <x:c r="B278" s="7" t="str">
        <x:v>自動計測・測定計画・品質データ</x:v>
      </x:c>
      <x:c r="C278" s="20" t="str">
        <x:v>株式会社宇都宮製作所</x:v>
      </x:c>
      <x:c r="D278" s="7" t="str">
        <x:v>CNC工具研削盤　TGR-016α（インプロドレス機能搭載仕様）　TGR-032（自動搬送仕様）</x:v>
      </x:c>
      <x:c r="E278" s="7" t="str">
        <x:v>W1001</x:v>
      </x:c>
      <x:c r="F278" s="7" t="str">
        <x:v>自動計測・測定計画・品質データ</x:v>
      </x:c>
      <x:c r="G278" s="7" t="str">
        <x:v>原典抜粋：TGR-032は、自動ワーク交換装置・自動砥石交換装置を搭載し、機内計測により高精度な長時間運転を実現。 / パソコン対話型プログラムのバージョンアップ、自動搬送装置の小型化により省スペース化のみならずサイクルタイムも短縮。 / CNC工具研削盤　TGR-016α（インプロドレス機能搭載仕様）　TGR-032（自動搬送仕様）</x:v>
      </x:c>
      <x:c r="H278" s="7" t="str">
        <x:v>測定の段取り・搬送・記録に人手が残り、結果が加工改善につながりにくい。</x:v>
      </x:c>
      <x:c r="I278" s="7" t="str">
        <x:v>2024原典抜粋：新型機のTGR-032を初披露。コンパクトで高精度な最新マシンをご覧ください。 ベストセラー機であるTGR-250αをベースマシンとした全自動インサート研削盤もご紹介致します。ドリル、エンドミル加工にとどまらない宇都宮製作所の技術力を体感ください。 1.CNC工具研削盤 TGR-032：コンパクトで高精度な最新マシン 2.全自動CNC工具研削盤 TGR-250α（インサート研仕様）：異なるクランプ方式を両立させたインサート溝入れ研削盤。</x:v>
      </x:c>
      <x:c r="J278" s="7" t="str">
        <x:v>2026原典抜粋：TGR-032は、自動ワーク交換装置・自動砥石交換装置を搭載し、機内計測により高精度な長時間運転を実現。 / パソコン対話型プログラムのバージョンアップ、自動搬送装置の小型化により省スペース化のみならずサイクルタイムも短縮。 / CNC工具研削盤　TGR-016α（インプロドレス機能搭載仕様）　TGR-032（自動搬送仕様）</x:v>
      </x:c>
      <x:c r="K278" s="7" t="str">
        <x:v>原典記述の対照。個別機能の追加・性能差・初登場年は未判定。</x:v>
      </x:c>
      <x:c r="L278" s="7" t="str">
        <x:v>両年説明あり・機能差未判定</x:v>
      </x:c>
      <x:c r="M278" s="7" t="str">
        <x:v>出展説明の一次分類</x:v>
      </x:c>
      <x:c r="N278" s="7" t="str"/>
      <x:c r="O278" s="7" t="str">
        <x:v>承認・例外対応・停止・復帰の境界は未確認</x:v>
      </x:c>
      <x:c r="P278" s="7" t="str">
        <x:v>2026公式カタログ掲載・現地未確認
2026展示予定。既存製品・参考出展・構想等は原典で個別確認</x:v>
      </x:c>
      <x:c r="Q278" s="7" t="str">
        <x:v>AC029</x:v>
      </x:c>
      <x:c t="str" r="R278" s="21">
        <x:f>HYPERLINK("https://www.jimtof.org/search/jp/ESdetails?e=hU8LqSDiscs","JIMTOF2026 出展ページ")</x:f>
        <x:v>JIMTOF2026 出展ページ</x:v>
      </x:c>
      <x:c t="str" r="S278" s="21">
        <x:f>HYPERLINK("https://www.jimtof.org/2024/search/jp/ESdetails?e=Js2U8bNPt30","JIMTOF2024 出展ページ")</x:f>
        <x:v>JIMTOF2024 出展ページ</x:v>
      </x:c>
      <x:c r="T278" s="7" t="str">
        <x:v>EEX-EXH-2026-cf22d85686acc029: https://www.jimtof.org/search/jp/ESdetails?e=hU8LqSDiscs
該当箇所: 出展紹介・主な出展物。追加カードの原典抜粋で検索
EEX-EXH-2024-5994813198b26a11: https://www.jimtof.org/2024/search/jp/ESdetails?e=Js2U8bNPt30
該当箇所: 出展紹介・主な出展物。追加カードの原典抜粋で検索</x:v>
      </x:c>
    </x:row>
    <x:row r="279" ht="155" customHeight="1">
      <x:c r="A279" s="7" t="str">
        <x:v>検査・診断</x:v>
      </x:c>
      <x:c r="B279" s="7" t="str">
        <x:v>自動計測・測定計画・品質データ</x:v>
      </x:c>
      <x:c r="C279" s="20" t="str">
        <x:v>Orbray株式会社</x:v>
      </x:c>
      <x:c r="D279" s="7" t="str">
        <x:v>光干渉式内周面測定機OrbrayORBID</x:v>
      </x:c>
      <x:c r="E279" s="7" t="str">
        <x:v>E7023</x:v>
      </x:c>
      <x:c r="F279" s="7" t="str">
        <x:v>自動計測・測定計画・品質データ</x:v>
      </x:c>
      <x:c r="G279" s="7" t="str">
        <x:v>原典抜粋：自動調心機能によりイージーセッティング。 / 内径、真円度、円筒度、3D形状、表面性状など内周面の各種測定を集約でき、OK/NG自動判定や測定値自動保存、点群データ出力により、全数測定やフィードバック加工等へも適用可能です。 / ●協働ロボットを活用した多姿勢自動測定デモを関東初出展! / 光プローブセパレートタイプ(協働ロボットによる自動測定デモ)</x:v>
      </x:c>
      <x:c r="H279" s="7" t="str">
        <x:v>測定の段取り・搬送・記録に人手が残り、結果が加工改善につながりにくい。</x:v>
      </x:c>
      <x:c r="I279" s="7" t="str">
        <x:v>2024原典抜粋：～内周面の精密測定で自動車部品・精密加工の次世代品質に貢献します～ ・内径φ1.1mm以上の細穴を非破壊・非接触測定が可能 ・高速且つ高精度測定 繰返し測定精度σ=0.02μm～0.2μmの高精度 ・非接触測定の為、セッティングフリー測定 プローブ芯ズレを自動調心 ・多項目同時測定（内径、真円度、円筒度、真直度、3D形状・・・） ～小型モーター及びユニット製品～ ・コアレス/ブラシレスモーター ・サーボドライバー ・小型ダイアフラムポンプ ～開発品、参考出展～ ・60k～80k rpm高速モーター ・波動 / 3K</x:v>
      </x:c>
      <x:c r="J279" s="7" t="str">
        <x:v>2026原典抜粋：自動調心機能によりイージーセッティング。 / 内径、真円度、円筒度、3D形状、表面性状など内周面の各種測定を集約でき、OK/NG自動判定や測定値自動保存、点群データ出力により、全数測定やフィードバック加工等へも適用可能です。 / ●協働ロボットを活用した多姿勢自動測定デモを関東初出展! / 光プローブセパレートタイプ(協働ロボットによる自動測定デモ)</x:v>
      </x:c>
      <x:c r="K279" s="7" t="str">
        <x:v>原典記述の対照。個別機能の追加・性能差・初登場年は未判定。</x:v>
      </x:c>
      <x:c r="L279" s="7" t="str">
        <x:v>両年説明あり・機能差未判定</x:v>
      </x:c>
      <x:c r="M279" s="7" t="str">
        <x:v>出展説明の一次分類</x:v>
      </x:c>
      <x:c r="N279" s="7" t="str"/>
      <x:c r="O279" s="7" t="str">
        <x:v>承認・例外対応・停止・復帰の境界は未確認</x:v>
      </x:c>
      <x:c r="P279" s="7" t="str">
        <x:v>2026公式カタログ掲載・現地未確認
2026展示予定。既存製品・参考出展・構想等は原典で個別確認</x:v>
      </x:c>
      <x:c r="Q279" s="7" t="str">
        <x:v>AC046</x:v>
      </x:c>
      <x:c t="str" r="R279" s="21">
        <x:f>HYPERLINK("https://www.jimtof.org/search/jp/ESdetails?e=sqqEKtPeqfw","JIMTOF2026 出展ページ")</x:f>
        <x:v>JIMTOF2026 出展ページ</x:v>
      </x:c>
      <x:c t="str" r="S279" s="21">
        <x:f>HYPERLINK("https://www.jimtof.org/2024/search/jp/ESdetails?e=QLWco7ONKgI","JIMTOF2024 出展ページ")</x:f>
        <x:v>JIMTOF2024 出展ページ</x:v>
      </x:c>
      <x:c r="T279" s="7" t="str">
        <x:v>EEX-EXH-2026-ba1fb022d9f4e67c: https://www.jimtof.org/search/jp/ESdetails?e=sqqEKtPeqfw
該当箇所: 出展紹介・主な出展物。追加カードの原典抜粋で検索
EEX-EXH-2024-1f57495bed495782: https://www.jimtof.org/2024/search/jp/ESdetails?e=QLWco7ONKgI
該当箇所: 出展紹介・主な出展物。追加カードの原典抜粋で検索</x:v>
      </x:c>
    </x:row>
    <x:row r="280" ht="155" customHeight="1">
      <x:c r="A280" s="7" t="str">
        <x:v>検査・診断</x:v>
      </x:c>
      <x:c r="B280" s="7" t="str">
        <x:v>自動計測・測定計画・品質データ</x:v>
      </x:c>
      <x:c r="C280" s="20" t="str">
        <x:v>株式会社キャプテンインダストリーズ</x:v>
      </x:c>
      <x:c r="D280" s="7" t="str">
        <x:v>機上計測ソフトウェア／PC-DMIS（デーミス） NC</x:v>
      </x:c>
      <x:c r="E280" s="7" t="str">
        <x:v>E3003</x:v>
      </x:c>
      <x:c r="F280" s="7" t="str">
        <x:v>自動計測・測定計画・品質データ</x:v>
      </x:c>
      <x:c r="G280" s="7" t="str">
        <x:v>原典抜粋：加工後、そのまま機械テーブル上にてワークを計測できるため省人化自動化に貢献するとともに高度な機上計測を実現致します。 / 航空宇宙、自動車、医療、時計などのあらゆる産業の加工対応可能な、バリエーション豊富なスピンドルです。 / 加工後、そのまま機械テーブル上にてワークを計測できるため省人化自動化に貢献するとともに高度な機上計測を実現致します。 / 航空宇宙、自動車、医療、時計などのあらゆる産業の加工対応可能な、バリエーション豊富なスピン</x:v>
      </x:c>
      <x:c r="H280" s="7" t="str">
        <x:v>測定の段取り・搬送・記録に人手が残り、結果が加工改善につながりにくい。</x:v>
      </x:c>
      <x:c r="I280" s="7" t="str">
        <x:v>2024原典抜粋：私共は『最高品質』 『公正価格』 『環境保全』を理念に、機械現場の生産性向上、作業環境の改善、安全性の向上に 貢献する製品を輸出入販売しています。 今年、設立50周年を迎えた私共は、創業以来の信念『Automation for Affluence～豊かさのための自動化』を旨として、さらなる高みを目指してまいります。 【ZERO CLAMP】 工作機械へのワークの投入／取出し作業の自動化。 豊富な実績のあるコンポーネントを組み合わせ、お客様だけの自動化’ソリューションを構築できます。 【ROLLON】 ■ボールネジ：</x:v>
      </x:c>
      <x:c r="J280" s="7" t="str">
        <x:v>2026原典抜粋：加工後、そのまま機械テーブル上にてワークを計測できるため省人化自動化に貢献するとともに高度な機上計測を実現致します。 / 航空宇宙、自動車、医療、時計などのあらゆる産業の加工対応可能な、バリエーション豊富なスピンドルです。 / 加工後、そのまま機械テーブル上にてワークを計測できるため省人化自動化に貢献するとともに高度な機上計測を実現致します。 / 航空宇宙、自動車、医療、時計などのあらゆる産業の加工対応可能な、バリエーション豊富なスピン</x:v>
      </x:c>
      <x:c r="K280" s="7" t="str">
        <x:v>原典記述の対照。個別機能の追加・性能差・初登場年は未判定。</x:v>
      </x:c>
      <x:c r="L280" s="7" t="str">
        <x:v>両年説明あり・機能差未判定</x:v>
      </x:c>
      <x:c r="M280" s="7" t="str">
        <x:v>出展説明の一次分類</x:v>
      </x:c>
      <x:c r="N280" s="7" t="str"/>
      <x:c r="O280" s="7" t="str">
        <x:v>承認・例外対応・停止・復帰の境界は未確認</x:v>
      </x:c>
      <x:c r="P280" s="7" t="str">
        <x:v>2026公式カタログ掲載・現地未確認
2026展示予定。既存製品・参考出展・構想等は原典で個別確認</x:v>
      </x:c>
      <x:c r="Q280" s="7" t="str">
        <x:v>AC060</x:v>
      </x:c>
      <x:c t="str" r="R280" s="21">
        <x:f>HYPERLINK("https://www.jimtof.org/search/jp/ESdetails?e=9vpTjarQl8s","JIMTOF2026 出展ページ")</x:f>
        <x:v>JIMTOF2026 出展ページ</x:v>
      </x:c>
      <x:c t="str" r="S280" s="21">
        <x:f>HYPERLINK("https://www.jimtof.org/2024/search/jp/ESdetails?e=byOFzdJNMYM","JIMTOF2024 出展ページ")</x:f>
        <x:v>JIMTOF2024 出展ページ</x:v>
      </x:c>
      <x:c r="T280" s="7" t="str">
        <x:v>EEX-EXH-2026-c8de4ae2c9076f2f: https://www.jimtof.org/search/jp/ESdetails?e=9vpTjarQl8s
該当箇所: 出展紹介・主な出展物。追加カードの原典抜粋で検索
EEX-EXH-2024-250adcc4319543c0: https://www.jimtof.org/2024/search/jp/ESdetails?e=byOFzdJNMYM
該当箇所: 出展紹介・主な出展物。追加カードの原典抜粋で検索</x:v>
      </x:c>
    </x:row>
    <x:row r="281" ht="155" customHeight="1">
      <x:c r="A281" s="7" t="str">
        <x:v>検査・診断</x:v>
      </x:c>
      <x:c r="B281" s="7" t="str">
        <x:v>自動計測・測定計画・品質データ</x:v>
      </x:c>
      <x:c r="C281" s="20" t="str">
        <x:v>共立精機株式会社</x:v>
      </x:c>
      <x:c r="D281" s="7" t="str">
        <x:v>全自動計測システム　HP-6040V-FA</x:v>
      </x:c>
      <x:c r="E281" s="7" t="str">
        <x:v>W2025</x:v>
      </x:c>
      <x:c r="F281" s="7" t="str">
        <x:v>工具を測定・調整し、交換する段取り</x:v>
      </x:c>
      <x:c r="G281" s="7" t="str">
        <x:v>工具の交換、突き出し量調整、刃先測定を連続自動化し、インサート交換装置も展示。</x:v>
      </x:c>
      <x:c r="H281" s="7" t="str">
        <x:v>多品種で繰り返す機械的交換と再教示の負担。 ／ 測定の段取り・搬送・記録に人手が残り、結果が加工改善につながりにくい。</x:v>
      </x:c>
      <x:c r="I281" s="7" t="str">
        <x:v>2024原典抜粋：工具段取り作業を自動化した「全自動計測システムHP-6040V-FA」を出展する。ツーリングや工具の管理、工具の着脱、突き出し量の調整、刃先測定、工作機械へのホルダー搬送と工具補正値入力など、ほとんどが作業者による手作業で行われているのが現状で、工具段取り工程が工場全体におけるＦＡ化の足枷となっている。これらの課題を解決するために、ツールプリセッタをベースにした工具段取り作業の自動化を提案する。生産効率のアップと自動化による人件費の削減、ヒューマンエラー回避で安定品質を実現する。 新商品となる高精度の全自動測定に特</x:v>
      </x:c>
      <x:c r="J281" s="7" t="str">
        <x:v>2026原典抜粋：全自動ツールプリセッタ HP‑6040V‑FA は、締緩装置やロボット搬送との組み合わせにより、工具交換から突き出し量調整、刃先測定までを連続して自動化し、プリセット作業の効率を高める。 / チップチェンジャは、工具先端のチップを自動で交換する装置で、交換作業を迅速化し、段取り時間の短縮と作業負荷の軽減を実現する。 / 全自動計測システム　HP-6040V-FA / インサート自動交換装置 チップチェンジャ</x:v>
      </x:c>
      <x:c r="K281" s="7" t="str">
        <x:v>HP-6040V-FAによる工具段取り自動化は2024にも記載。2026は交換工程等を具体説明。</x:v>
      </x:c>
      <x:c r="L281" s="7" t="str">
        <x:v>個別比較あり</x:v>
      </x:c>
      <x:c r="M281" s="7" t="str">
        <x:v>詳細比較済み</x:v>
      </x:c>
      <x:c r="N281" s="7" t="str"/>
      <x:c r="O281" s="7" t="str">
        <x:v>工具・チップの補給や品種設定、不良時の復旧は要確認。</x:v>
      </x:c>
      <x:c r="P281" s="7" t="str">
        <x:v>2026公式カタログ掲載・現地未確認
2026展示予定。既存製品・参考出展・構想等は原典で個別確認</x:v>
      </x:c>
      <x:c r="Q281" s="7" t="str">
        <x:v>AC063</x:v>
      </x:c>
      <x:c t="str" r="R281" s="21">
        <x:f>HYPERLINK("https://www.jimtof.org/search/jp/ESdetails?e=9k7ro8sL0VA","JIMTOF2026 出展ページ")</x:f>
        <x:v>JIMTOF2026 出展ページ</x:v>
      </x:c>
      <x:c t="str" r="S281" s="21">
        <x:f>HYPERLINK("https://www.jimtof.org/2024/search/jp/ESdetails?e=xT1gIvXxCpQ","JIMTOF2024 出展ページ")</x:f>
        <x:v>JIMTOF2024 出展ページ</x:v>
      </x:c>
      <x:c r="T281" s="7" t="str">
        <x:v>EEX-EXH-2026-1c8938d47b63e4bb: https://www.jimtof.org/search/jp/ESdetails?e=9k7ro8sL0VA
該当箇所: 出展紹介・主な出展物。追加カードの原典抜粋で検索
EEX-EXH-2024-3a9bfb48fcb6542c: https://www.jimtof.org/2024/search/jp/ESdetails?e=xT1gIvXxCpQ
該当箇所: 出展紹介・主な出展物。追加カードの原典抜粋で検索</x:v>
      </x:c>
    </x:row>
    <x:row r="282" ht="155" customHeight="1">
      <x:c r="A282" s="7" t="str">
        <x:v>検査・診断</x:v>
      </x:c>
      <x:c r="B282" s="7" t="str">
        <x:v>自動計測・測定計画・品質データ</x:v>
      </x:c>
      <x:c r="C282" s="20" t="str">
        <x:v>黒田精工株式会社</x:v>
      </x:c>
      <x:c r="D282" s="7" t="str">
        <x:v>【高精度加工を実現する一台】</x:v>
      </x:c>
      <x:c r="E282" s="7" t="str">
        <x:v>E7091</x:v>
      </x:c>
      <x:c r="F282" s="7" t="str">
        <x:v>爪・治具・ハンドと位置の段取り ／ 自動計測・測定計画・品質データ</x:v>
      </x:c>
      <x:c r="G282" s="7" t="str">
        <x:v>原典抜粋：自動車業界を筆頭に豊富な採用実績を有する「ハイドロリックツール」は、時間のかかる芯出し作業が誰でも簡単に行える精密油圧治具。 / 歯車加工の芯出し作業の効率化や歯車計測の自動化対応例を出展いたします。 / －歯車加工の芯出し作業の効率化や歯車計測の自動対応例などを展示</x:v>
      </x:c>
      <x:c r="H282" s="7" t="str">
        <x:v>多品種で繰り返す機械的交換と再教示の負担。 ／ 測定の段取り・搬送・記録に人手が残り、結果が加工改善につながりにくい。</x:v>
      </x:c>
      <x:c r="I282" s="7" t="str">
        <x:v>2024原典抜粋：来年に100周年を迎える黒田精工は「KURODA Smart machines, Smart future for 100th anniversary」をコンセプトに、 ロータリ研削盤をはじめ、加工と計測のSmart化を実現する平面研削盤、様々な場面で効率化と高精度化を実現するハイドロリックツールを出展。 加工実演や採用事例のご紹介を通して、お客様に新しいソリューションを提案いたします。 【新機種】 精密ロータリー研削盤 GSR-600 【加工実演】 精密平面研削盤 GS-126CVs 【ワーク搬送・加工・測定実演</x:v>
      </x:c>
      <x:c r="J282" s="7" t="str">
        <x:v>2026原典抜粋：自動車業界を筆頭に豊富な採用実績を有する「ハイドロリックツール」は、時間のかかる芯出し作業が誰でも簡単に行える精密油圧治具。 / 歯車加工の芯出し作業の効率化や歯車計測の自動化対応例を出展いたします。 / －歯車加工の芯出し作業の効率化や歯車計測の自動対応例などを展示</x:v>
      </x:c>
      <x:c r="K282" s="7" t="str">
        <x:v>原典記述の対照。個別機能の追加・性能差・初登場年は未判定。</x:v>
      </x:c>
      <x:c r="L282" s="7" t="str">
        <x:v>両年説明あり・機能差未判定</x:v>
      </x:c>
      <x:c r="M282" s="7" t="str">
        <x:v>出展説明の一次分類</x:v>
      </x:c>
      <x:c r="N282" s="7" t="str"/>
      <x:c r="O282" s="7" t="str">
        <x:v>承認・例外対応・停止・復帰の境界は未確認</x:v>
      </x:c>
      <x:c r="P282" s="7" t="str">
        <x:v>2026公式カタログ掲載・現地未確認
2026展示予定。既存製品・参考出展・構想等は原典で個別確認</x:v>
      </x:c>
      <x:c r="Q282" s="7" t="str">
        <x:v>AC068</x:v>
      </x:c>
      <x:c t="str" r="R282" s="21">
        <x:f>HYPERLINK("https://www.jimtof.org/search/jp/ESdetails?e=46cG1q7GwI4","JIMTOF2026 出展ページ")</x:f>
        <x:v>JIMTOF2026 出展ページ</x:v>
      </x:c>
      <x:c t="str" r="S282" s="21">
        <x:f>HYPERLINK("https://www.jimtof.org/2024/search/jp/ESdetails?e=cWqFNxFT9X8","JIMTOF2024 出展ページ")</x:f>
        <x:v>JIMTOF2024 出展ページ</x:v>
      </x:c>
      <x:c r="T282" s="7" t="str">
        <x:v>EEX-EXH-2026-d1c4b808057b7341: https://www.jimtof.org/search/jp/ESdetails?e=46cG1q7GwI4
該当箇所: 出展紹介・主な出展物。追加カードの原典抜粋で検索
EEX-EXH-2024-9a19203b36a3d101: https://www.jimtof.org/2024/search/jp/ESdetails?e=cWqFNxFT9X8
該当箇所: 出展紹介・主な出展物。追加カードの原典抜粋で検索</x:v>
      </x:c>
    </x:row>
    <x:row r="283" ht="155" customHeight="1">
      <x:c r="A283" s="7" t="str">
        <x:v>検査・診断</x:v>
      </x:c>
      <x:c r="B283" s="7" t="str">
        <x:v>自動計測・測定計画・品質データ</x:v>
      </x:c>
      <x:c r="C283" s="20" t="str">
        <x:v>コマツNTC株式会社</x:v>
      </x:c>
      <x:c r="D283" s="7" t="str">
        <x:v>5軸加工には、段取から加工までをワンストップで実施できる環境と設備が必要です。横形5軸マシニングセンタ「CX500」に無人運転向けパレットを搭載し、長</x:v>
      </x:c>
      <x:c r="E283" s="7" t="str">
        <x:v>E1058</x:v>
      </x:c>
      <x:c r="F283" s="7" t="str">
        <x:v>自動計測・測定計画・品質データ ／ 自動加工セル・工程集約</x:v>
      </x:c>
      <x:c r="G283" s="7" t="str">
        <x:v>原典抜粋：さらに「夜間自動計測を可能とする計測システム」をパレットシステムに融合しコンセプト展示します。 / またDXソリューション機器ほか展示致します。 / またDXツールのKomtas＆KOM-MICSも標準装備し長時間運転をサポート。</x:v>
      </x:c>
      <x:c r="H283" s="7" t="str">
        <x:v>測定の段取り・搬送・記録に人手が残り、結果が加工改善につながりにくい。 ／ 設備間の持替えや繰返し作業が、人手・待ち時間・品質差につながる。</x:v>
      </x:c>
      <x:c r="I283" s="7" t="str">
        <x:v>2024原典抜粋：コマツNTCは工作機械のほか、電池関連・半導体関連・画像処理関連など、幅広い分野の製品を生み出してまいりました。今回は、テーマを「未来創造 Integrated Technologies」と定め、今の時代に必要なマシンを、実機にて展示しております。●横形5軸マシニングセンタ「CX500」：無人運転向けシステムアップや、「高精度・安心・フレンドリー・システム対応」の各キーシステムをご紹介します。●立形大型加工機「KV420L」：初出展です。省スペース・高速・1チャッキング加工を可能にする2頭主軸の、EVギガワーク加工</x:v>
      </x:c>
      <x:c r="J283" s="7" t="str">
        <x:v>2026原典抜粋：さらに「夜間自動計測を可能とする計測システム」をパレットシステムに融合しコンセプト展示します。 / またDXソリューション機器ほか展示致します。 / またDXツールのKomtas＆KOM-MICSも標準装備し長時間運転をサポート。</x:v>
      </x:c>
      <x:c r="K283" s="7" t="str">
        <x:v>原典記述の対照。個別機能の追加・性能差・初登場年は未判定。</x:v>
      </x:c>
      <x:c r="L283" s="7" t="str">
        <x:v>両年説明あり・機能差未判定</x:v>
      </x:c>
      <x:c r="M283" s="7" t="str">
        <x:v>出展説明の一次分類</x:v>
      </x:c>
      <x:c r="N283" s="7" t="str"/>
      <x:c r="O283" s="7" t="str">
        <x:v>承認・例外対応・停止・復帰の境界は未確認</x:v>
      </x:c>
      <x:c r="P283" s="7" t="str">
        <x:v>2026公式カタログ掲載・現地未確認
2026展示予定。既存製品・参考出展・構想等は原典で個別確認</x:v>
      </x:c>
      <x:c r="Q283" s="7" t="str">
        <x:v>AC077</x:v>
      </x:c>
      <x:c t="str" r="R283" s="21">
        <x:f>HYPERLINK("https://www.jimtof.org/search/jp/ESdetails?e=juRUHcsXGOk","JIMTOF2026 出展ページ")</x:f>
        <x:v>JIMTOF2026 出展ページ</x:v>
      </x:c>
      <x:c t="str" r="S283" s="21">
        <x:f>HYPERLINK("https://www.jimtof.org/2024/search/jp/ESdetails?e=2lZ4aWGpFxM","JIMTOF2024 出展ページ")</x:f>
        <x:v>JIMTOF2024 出展ページ</x:v>
      </x:c>
      <x:c r="T283" s="7" t="str">
        <x:v>EEX-EXH-2026-8970f2d69919d770: https://www.jimtof.org/search/jp/ESdetails?e=juRUHcsXGOk
該当箇所: 出展紹介・主な出展物。追加カードの原典抜粋で検索
EEX-EXH-2024-78e9bb3f6d1b9f5f: https://www.jimtof.org/2024/search/jp/ESdetails?e=2lZ4aWGpFxM
該当箇所: 出展紹介・主な出展物。追加カードの原典抜粋で検索</x:v>
      </x:c>
    </x:row>
    <x:row r="284" ht="155" customHeight="1">
      <x:c r="A284" s="7" t="str">
        <x:v>検査・診断</x:v>
      </x:c>
      <x:c r="B284" s="7" t="str">
        <x:v>自動計測・測定計画・品質データ</x:v>
      </x:c>
      <x:c r="C284" s="20" t="str">
        <x:v>サンゲン株式会社</x:v>
      </x:c>
      <x:c r="D284" s="7" t="str">
        <x:v>NewVista　ロボット用ネジ検査ユニット</x:v>
      </x:c>
      <x:c r="E284" s="7" t="str">
        <x:v>S4032</x:v>
      </x:c>
      <x:c r="F284" s="7" t="str">
        <x:v>外観検査・撮像と追加学習 ／ 自動計測・測定計画・品質データ</x:v>
      </x:c>
      <x:c r="G284" s="7" t="str">
        <x:v>原典抜粋：ロボットを使用した自動ネジ検査システムの実演と、小型ワークの表裏・側面の6面を高速度で検査する画像外観検査装置『ガラミちゃん6面タイプ』を出展しています。 / 自動化しにくいネジ検査の問題解決のヒントがあります。 / NewVista　ロボット用ネジ検査ユニット / Kassow Robots 7軸協働ロボット / Ovit　自動外観画像検査装置</x:v>
      </x:c>
      <x:c r="H284" s="7" t="str">
        <x:v>少量不良データ、撮像ばらつき、見逃しと過検出。 ／ 測定の段取り・搬送・記録に人手が残り、結果が加工改善につながりにくい。</x:v>
      </x:c>
      <x:c r="I284" s="7" t="str">
        <x:v>2024原典抜粋：検査の自動化・省力化をテーマに、ロボットによる全自動ネジ検査と、切削工具（チップ）の外観検査装置を展示致します。 ネジ検査はゲージの挿入を完全に自動化しており、通り・止まりのOK・NGだけでなく、ネジ深さの数値もデータとして出力します。 ロボットは協同タイプの7軸ロボットを使用して、いろいろな角度からのアプローチができる様子を 御覧下さい。 チップの外観検査装置は、シンプルな構造で、ローコストで導入でき『良品比較検査』という、NGの外部流出がなく、扱いやすいソフトウェアを用い、どなたにも扱いやすい検査装置です。 ①</x:v>
      </x:c>
      <x:c r="J284" s="7" t="str">
        <x:v>2026原典抜粋：ロボットを使用した自動ネジ検査システムの実演と、小型ワークの表裏・側面の6面を高速度で検査する画像外観検査装置『ガラミちゃん6面タイプ』を出展しています。 / 自動化しにくいネジ検査の問題解決のヒントがあります。 / NewVista　ロボット用ネジ検査ユニット / Kassow Robots 7軸協働ロボット / Ovit　自動外観画像検査装置</x:v>
      </x:c>
      <x:c r="K284" s="7" t="str">
        <x:v>原典記述の対照。個別機能の追加・性能差・初登場年は未判定。</x:v>
      </x:c>
      <x:c r="L284" s="7" t="str">
        <x:v>両年説明あり・機能差未判定</x:v>
      </x:c>
      <x:c r="M284" s="7" t="str">
        <x:v>出展説明の一次分類</x:v>
      </x:c>
      <x:c r="N284" s="7" t="str"/>
      <x:c r="O284" s="7" t="str">
        <x:v>承認・例外対応・停止・復帰の境界は未確認</x:v>
      </x:c>
      <x:c r="P284" s="7" t="str">
        <x:v>2026公式カタログ掲載・現地未確認
2026展示予定。既存製品・参考出展・構想等は原典で個別確認</x:v>
      </x:c>
      <x:c r="Q284" s="7" t="str">
        <x:v>AC088</x:v>
      </x:c>
      <x:c t="str" r="R284" s="21">
        <x:f>HYPERLINK("https://www.jimtof.org/search/jp/ESdetails?e=I2fW30uvRgk","JIMTOF2026 出展ページ")</x:f>
        <x:v>JIMTOF2026 出展ページ</x:v>
      </x:c>
      <x:c t="str" r="S284" s="21">
        <x:f>HYPERLINK("https://www.jimtof.org/2024/search/jp/ESdetails?e=8-9_c7w9DM4","JIMTOF2024 出展ページ")</x:f>
        <x:v>JIMTOF2024 出展ページ</x:v>
      </x:c>
      <x:c r="T284" s="7" t="str">
        <x:v>EEX-EXH-2026-5c08ccfcdfa12bac: https://www.jimtof.org/search/jp/ESdetails?e=I2fW30uvRgk
該当箇所: 出展紹介・主な出展物。追加カードの原典抜粋で検索
EEX-EXH-2024-40d9e616e01efb41: https://www.jimtof.org/2024/search/jp/ESdetails?e=8-9_c7w9DM4
該当箇所: 出展紹介・主な出展物。追加カードの原典抜粋で検索</x:v>
      </x:c>
    </x:row>
    <x:row r="285" ht="155" customHeight="1">
      <x:c r="A285" s="7" t="str">
        <x:v>検査・診断</x:v>
      </x:c>
      <x:c r="B285" s="7" t="str">
        <x:v>自動計測・測定計画・品質データ</x:v>
      </x:c>
      <x:c r="C285" s="20" t="str">
        <x:v>双日株式会社</x:v>
      </x:c>
      <x:c r="D285" s="7" t="str">
        <x:v>オフライン型産業用X線CTスキャナー「Neptune」</x:v>
      </x:c>
      <x:c r="E285" s="7" t="str">
        <x:v>S4027</x:v>
      </x:c>
      <x:c r="F285" s="7" t="str">
        <x:v>自動計測・測定計画・品質データ</x:v>
      </x:c>
      <x:c r="G285" s="7" t="str">
        <x:v>原典抜粋：製品内部の欠陥確認に加え、寸法計測、肉厚評価、組立状態の確認、CADデータとの比較など、外観観察だけでは把握できない情報を取得できます。 / 3D表示、任意断面の確認、寸法計測、肉厚解析、欠陥解析、CAD比較などを、直感的な操作で行えます。</x:v>
      </x:c>
      <x:c r="H285" s="7" t="str">
        <x:v>測定の段取り・搬送・記録に人手が残り、結果が加工改善につながりにくい。</x:v>
      </x:c>
      <x:c r="I285" s="7" t="str">
        <x:v>同一正規化名称の2024詳細なし。新規出展・技術不存在とは判断しない。</x:v>
      </x:c>
      <x:c r="J285" s="7" t="str">
        <x:v>2026原典抜粋：製品内部の欠陥確認に加え、寸法計測、肉厚評価、組立状態の確認、CADデータとの比較など、外観観察だけでは把握できない情報を取得できます。 / 3D表示、任意断面の確認、寸法計測、肉厚解析、欠陥解析、CAD比較などを、直感的な操作で行えます。</x:v>
      </x:c>
      <x:c r="K285" s="7" t="str">
        <x:v>原典記述の対照。個別機能の追加・性能差・初登場年は未判定。</x:v>
      </x:c>
      <x:c r="L285" s="7" t="str">
        <x:v>年度資料不足・比較不能</x:v>
      </x:c>
      <x:c r="M285" s="7" t="str">
        <x:v>出展説明の一次分類</x:v>
      </x:c>
      <x:c r="N285" s="7" t="str"/>
      <x:c r="O285" s="7" t="str">
        <x:v>承認・例外対応・停止・復帰の境界は未確認</x:v>
      </x:c>
      <x:c r="P285" s="7" t="str">
        <x:v>2026公式カタログ掲載・現地未確認
2026展示予定。既存製品・参考出展・構想等は原典で個別確認</x:v>
      </x:c>
      <x:c r="Q285" s="7" t="str">
        <x:v>AC121</x:v>
      </x:c>
      <x:c t="str" r="R285" s="21">
        <x:f>HYPERLINK("https://www.jimtof.org/search/jp/ESdetails?e=yEoPl5sH6Sg","JIMTOF2026 出展ページ")</x:f>
        <x:v>JIMTOF2026 出展ページ</x:v>
      </x:c>
      <x:c r="S285" s="21" t="str"/>
      <x:c r="T285" s="7" t="str">
        <x:v>EEX-EXH-2026-94536b46ad30e81c: https://www.jimtof.org/search/jp/ESdetails?e=yEoPl5sH6Sg
該当箇所: 出展紹介・主な出展物。追加カードの原典抜粋で検索</x:v>
      </x:c>
    </x:row>
    <x:row r="286" ht="155" customHeight="1">
      <x:c r="A286" s="7" t="str">
        <x:v>検査・診断</x:v>
      </x:c>
      <x:c r="B286" s="7" t="str">
        <x:v>自動計測・測定計画・品質データ</x:v>
      </x:c>
      <x:c r="C286" s="20" t="str">
        <x:v>株式会社第一測範製作所</x:v>
      </x:c>
      <x:c r="D286" s="7" t="str">
        <x:v>空気/電気マイクロメータデジタル表示ユニット『Smp2』、電気マイクロメータ『ダイメトロン』、小径内径測定機『IDM-30EX-S』、タップ穴自動検査</x:v>
      </x:c>
      <x:c r="E286" s="7" t="str">
        <x:v>E7004</x:v>
      </x:c>
      <x:c r="F286" s="7" t="str">
        <x:v>自動計測・測定計画・品質データ</x:v>
      </x:c>
      <x:c r="G286" s="7" t="str">
        <x:v>原典抜粋：アナログからデジタルへ。 / 第一測範製作所（ISSOKU）は、長年培ってきたゲージ・精密測定技術を礎に、センシング、自動測定、デジタル技術を融合し、測定の新たな可能性を提案します。 / 今回の展示では、従来のゲージから最新の測定技術を活用した自動測定・検査まで、幅広い製品・ソリューションをご紹介。 / 「測る・合わせる・つなぐ」をキーワードに、測定を品質保証だけでなく、生産の自動化・省力化、データ活用へつなげます。 / エアマイクロや</x:v>
      </x:c>
      <x:c r="H286" s="7" t="str">
        <x:v>測定の段取り・搬送・記録に人手が残り、結果が加工改善につながりにくい。</x:v>
      </x:c>
      <x:c r="I286" s="7" t="str">
        <x:v>同一正規化名称の2024詳細なし。新規出展・技術不存在とは判断しない。</x:v>
      </x:c>
      <x:c r="J286" s="7" t="str">
        <x:v>2026原典抜粋：アナログからデジタルへ。 / 第一測範製作所（ISSOKU）は、長年培ってきたゲージ・精密測定技術を礎に、センシング、自動測定、デジタル技術を融合し、測定の新たな可能性を提案します。 / 今回の展示では、従来のゲージから最新の測定技術を活用した自動測定・検査まで、幅広い製品・ソリューションをご紹介。 / 「測る・合わせる・つなぐ」をキーワードに、測定を品質保証だけでなく、生産の自動化・省力化、データ活用へつなげます。 / エアマイクロや</x:v>
      </x:c>
      <x:c r="K286" s="7" t="str">
        <x:v>原典記述の対照。個別機能の追加・性能差・初登場年は未判定。</x:v>
      </x:c>
      <x:c r="L286" s="7" t="str">
        <x:v>年度資料不足・比較不能</x:v>
      </x:c>
      <x:c r="M286" s="7" t="str">
        <x:v>出展説明の一次分類</x:v>
      </x:c>
      <x:c r="N286" s="7" t="str"/>
      <x:c r="O286" s="7" t="str">
        <x:v>承認・例外対応・停止・復帰の境界は未確認</x:v>
      </x:c>
      <x:c r="P286" s="7" t="str">
        <x:v>2026公式カタログ掲載・現地未確認
2026展示予定。既存製品・参考出展・構想等は原典で個別確認</x:v>
      </x:c>
      <x:c r="Q286" s="7" t="str">
        <x:v>AC125</x:v>
      </x:c>
      <x:c t="str" r="R286" s="21">
        <x:f>HYPERLINK("https://www.jimtof.org/search/jp/ESdetails?e=RFZbEhJ7OQ4","JIMTOF2026 出展ページ")</x:f>
        <x:v>JIMTOF2026 出展ページ</x:v>
      </x:c>
      <x:c r="S286" s="21" t="str"/>
      <x:c r="T286" s="7" t="str">
        <x:v>EEX-EXH-2026-6a2286521c8a84e7: https://www.jimtof.org/search/jp/ESdetails?e=RFZbEhJ7OQ4
該当箇所: 出展紹介・主な出展物。追加カードの原典抜粋で検索</x:v>
      </x:c>
    </x:row>
    <x:row r="287" ht="155" customHeight="1">
      <x:c r="A287" s="7" t="str">
        <x:v>検査・診断</x:v>
      </x:c>
      <x:c r="B287" s="7" t="str">
        <x:v>自動計測・測定計画・品質データ</x:v>
      </x:c>
      <x:c r="C287" s="20" t="str">
        <x:v>TPR大阪精密機械株式会社</x:v>
      </x:c>
      <x:c r="D287" s="7" t="str">
        <x:v>出展する2台のCNC高精度歯車測定機が、次世代の検査工程を実演します。</x:v>
      </x:c>
      <x:c r="E287" s="7" t="str">
        <x:v>E7033</x:v>
      </x:c>
      <x:c r="F287" s="7" t="str">
        <x:v>自動計測・測定計画・品質データ</x:v>
      </x:c>
      <x:c r="G287" s="7" t="str">
        <x:v>原典抜粋：コンセプトモデルである「自動化DDSF」では、ロボット搬送とセンシング技術の融合による完全無人化検査の未来像を提示。 / 1台目の「自動化DDSF」は、協働ロボットによるワーク自動着脱、カメラ判別、レーザー測定を統合した完全無人化測定システムです。 / 2台目の「多機能DDSF」は、歯車測定・歯面性状・幾何偏差（真円度・同軸度等）測定およびスタイラス自動交換機能を1台に集約した工程集約型モデルです。</x:v>
      </x:c>
      <x:c r="H287" s="7" t="str">
        <x:v>測定の段取り・搬送・記録に人手が残り、結果が加工改善につながりにくい。</x:v>
      </x:c>
      <x:c r="I287" s="7" t="str">
        <x:v>2024原典抜粋：自動化をテーマとしたCLP-35DDSFではカメラを利用したワークの自動識別・位相合わせ機能のデモンストレーションを行い、生産工程の自動化や省人化へ向け，量産ワークを自動で脱着して歯車測定するシステム（一例）を提案します。 多機能をテーマとして進化したCLP-35DDSFでは、高精度な幾何測定および歯面性状測定を実現する新しい測定ソフトウェアや機能をご紹介します。操作パネルを簡略化し、ユーザーフレンドリーなオペレーションを体験いただけます。また操作パネルとソフトウェアのデザインを統一し、ユーザーが直感的に操作できる</x:v>
      </x:c>
      <x:c r="J287" s="7" t="str">
        <x:v>2026原典抜粋：コンセプトモデルである「自動化DDSF」では、ロボット搬送とセンシング技術の融合による完全無人化検査の未来像を提示。 / 1台目の「自動化DDSF」は、協働ロボットによるワーク自動着脱、カメラ判別、レーザー測定を統合した完全無人化測定システムです。 / 2台目の「多機能DDSF」は、歯車測定・歯面性状・幾何偏差（真円度・同軸度等）測定およびスタイラス自動交換機能を1台に集約した工程集約型モデルです。</x:v>
      </x:c>
      <x:c r="K287" s="7" t="str">
        <x:v>原典記述の対照。個別機能の追加・性能差・初登場年は未判定。</x:v>
      </x:c>
      <x:c r="L287" s="7" t="str">
        <x:v>両年説明あり・機能差未判定</x:v>
      </x:c>
      <x:c r="M287" s="7" t="str">
        <x:v>出展説明の一次分類</x:v>
      </x:c>
      <x:c r="N287" s="7" t="str"/>
      <x:c r="O287" s="7" t="str">
        <x:v>承認・例外対応・停止・復帰の境界は未確認</x:v>
      </x:c>
      <x:c r="P287" s="7" t="str">
        <x:v>2026公式カタログ掲載・現地未確認
2026展示予定。既存製品・参考出展・構想等は原典で個別確認</x:v>
      </x:c>
      <x:c r="Q287" s="7" t="str">
        <x:v>AC142</x:v>
      </x:c>
      <x:c t="str" r="R287" s="21">
        <x:f>HYPERLINK("https://www.jimtof.org/search/jp/ESdetails?e=IUcHIycMLaI","JIMTOF2026 出展ページ")</x:f>
        <x:v>JIMTOF2026 出展ページ</x:v>
      </x:c>
      <x:c t="str" r="S287" s="21">
        <x:f>HYPERLINK("https://www.jimtof.org/2024/search/jp/ESdetails?e=zdOnlQ-GKHc","JIMTOF2024 出展ページ")</x:f>
        <x:v>JIMTOF2024 出展ページ</x:v>
      </x:c>
      <x:c r="T287" s="7" t="str">
        <x:v>EEX-EXH-2026-8baabeaaaa69de49: https://www.jimtof.org/search/jp/ESdetails?e=IUcHIycMLaI
該当箇所: 出展紹介・主な出展物。追加カードの原典抜粋で検索
EEX-EXH-2024-24cc91be704df67c: https://www.jimtof.org/2024/search/jp/ESdetails?e=zdOnlQ-GKHc
該当箇所: 出展紹介・主な出展物。追加カードの原典抜粋で検索</x:v>
      </x:c>
    </x:row>
    <x:row r="288" ht="155" customHeight="1">
      <x:c r="A288" s="7" t="str">
        <x:v>検査・診断</x:v>
      </x:c>
      <x:c r="B288" s="7" t="str">
        <x:v>自動計測・測定計画・品質データ</x:v>
      </x:c>
      <x:c r="C288" s="20" t="str">
        <x:v>東京貿易テクノシステム株式会社</x:v>
      </x:c>
      <x:c r="D288" s="7" t="str">
        <x:v>【出展物】</x:v>
      </x:c>
      <x:c r="E288" s="7" t="str">
        <x:v>E7038</x:v>
      </x:c>
      <x:c r="F288" s="7" t="str">
        <x:v>自動計測・測定計画・品質データ</x:v>
      </x:c>
      <x:c r="G288" s="7" t="str">
        <x:v>原典抜粋：❷モバイル自動計測 システム名：Absolute Arm+Cobot / ❷品質保証DX システム名：Leica Absolute Tracker、Absolute Arm、門型三次元測定機他</x:v>
      </x:c>
      <x:c r="H288" s="7" t="str">
        <x:v>測定の段取り・搬送・記録に人手が残り、結果が加工改善につながりにくい。</x:v>
      </x:c>
      <x:c r="I288" s="7" t="str">
        <x:v>2024原典抜粋：３D測定システム及び自動化システムを使ったソリューションのご提案、また 測定機、あるいは生産設備などから得られるデータを活用し、次世代のシステムインテグレータとしてお客様が革新的、継続的な生産性の向上を実現するためのソリューションをブースにてご紹介させていただきます。 AbsoluteArm（アーム式三次元測定機） Absolute Tracker（レーザートラッカー） SmartScan（カメラ式三次元測定機） AQROS-Scan（ハンディスキャナ） MatchID（ひずみ・応力測定）</x:v>
      </x:c>
      <x:c r="J288" s="7" t="str">
        <x:v>2026原典抜粋：❷モバイル自動計測 システム名：Absolute Arm+Cobot / ❷品質保証DX システム名：Leica Absolute Tracker、Absolute Arm、門型三次元測定機他</x:v>
      </x:c>
      <x:c r="K288" s="7" t="str">
        <x:v>原典記述の対照。個別機能の追加・性能差・初登場年は未判定。</x:v>
      </x:c>
      <x:c r="L288" s="7" t="str">
        <x:v>両年説明あり・機能差未判定</x:v>
      </x:c>
      <x:c r="M288" s="7" t="str">
        <x:v>出展説明の一次分類</x:v>
      </x:c>
      <x:c r="N288" s="7" t="str"/>
      <x:c r="O288" s="7" t="str">
        <x:v>承認・例外対応・停止・復帰の境界は未確認</x:v>
      </x:c>
      <x:c r="P288" s="7" t="str">
        <x:v>2026公式カタログ掲載・現地未確認
2026展示予定。既存製品・参考出展・構想等は原典で個別確認</x:v>
      </x:c>
      <x:c r="Q288" s="7" t="str">
        <x:v>AC148</x:v>
      </x:c>
      <x:c t="str" r="R288" s="21">
        <x:f>HYPERLINK("https://www.jimtof.org/search/jp/ESdetails?e=q65eJorv2LU","JIMTOF2026 出展ページ")</x:f>
        <x:v>JIMTOF2026 出展ページ</x:v>
      </x:c>
      <x:c t="str" r="S288" s="21">
        <x:f>HYPERLINK("https://www.jimtof.org/2024/search/jp/ESdetails?e=RD73EqDannI","JIMTOF2024 出展ページ")</x:f>
        <x:v>JIMTOF2024 出展ページ</x:v>
      </x:c>
      <x:c r="T288" s="7" t="str">
        <x:v>EEX-EXH-2026-d7b599b5d3045611: https://www.jimtof.org/search/jp/ESdetails?e=q65eJorv2LU
該当箇所: 出展紹介・主な出展物。追加カードの原典抜粋で検索
EEX-EXH-2024-5cbad6b0326d2bee: https://www.jimtof.org/2024/search/jp/ESdetails?e=RD73EqDannI
該当箇所: 出展紹介・主な出展物。追加カードの原典抜粋で検索</x:v>
      </x:c>
    </x:row>
    <x:row r="289" ht="155" customHeight="1">
      <x:c r="A289" s="7" t="str">
        <x:v>検査・診断</x:v>
      </x:c>
      <x:c r="B289" s="7" t="str">
        <x:v>自動計測・測定計画・品質データ</x:v>
      </x:c>
      <x:c r="C289" s="20" t="str">
        <x:v>東洋精機工業株式会社</x:v>
      </x:c>
      <x:c r="D289" s="7" t="str">
        <x:v>中小企業向け無人化自動システム</x:v>
      </x:c>
      <x:c r="E289" s="7" t="str">
        <x:v>E3019</x:v>
      </x:c>
      <x:c r="F289" s="7" t="str">
        <x:v>爪・治具・ハンドと位置の段取り ／ 自動計測・測定計画・品質データ ／ 自動加工セル・工程集約</x:v>
      </x:c>
      <x:c r="G289" s="7" t="str">
        <x:v>原典抜粋：中小企業をターゲットにした、自動段取り替えによる多品種少量生産の無人運転システムをメインに / NCインデックスによる多面加工治具を交換式にして2種類のワークをロボットで段取り替え / 自社製の測定器と洗浄機で加工後のワーク洗浄から精度測定まで自動で行います。 / 2個同時加工ができ、横形40番タイプのTHMC420は自動搬送に対応します。 / 弊社は加工機だけでなく、付帯装置も含めたセットアップメーカーとして自動化・省力化の提案を /</x:v>
      </x:c>
      <x:c r="H289" s="7" t="str">
        <x:v>多品種で繰り返す機械的交換と再教示の負担。 ／ 測定の段取り・搬送・記録に人手が残り、結果が加工改善につながりにくい。 ／ 設備間の持替えや繰返し作業が、人手・待ち時間・品質差につながる。</x:v>
      </x:c>
      <x:c r="I289" s="7" t="str">
        <x:v>2024原典抜粋：TVT332をベースに、インバータケースやバッテリケースなどの中型アルミワークに特化した機械を展示する。TVT332Sのテーブル積載重量を500kgにした機械には2軸インデックスを搭載して多面加工のデモを、Y軸を500mmストロークに拡大したTVT332には協働ロボットを付けて自動無人運転のデモを、X軸を1000mmストロークに拡大したTVT332は30本マガジンを両側に搭載した60本仕様としてコンセプト展示をする。#40横型マシニングセンタTHMC420はロボットによる自動無人運転システムを提案する。2軸マシニン</x:v>
      </x:c>
      <x:c r="J289" s="7" t="str">
        <x:v>2026原典抜粋：中小企業をターゲットにした、自動段取り替えによる多品種少量生産の無人運転システムをメインに / NCインデックスによる多面加工治具を交換式にして2種類のワークをロボットで段取り替え / 自社製の測定器と洗浄機で加工後のワーク洗浄から精度測定まで自動で行います。 / 2個同時加工ができ、横形40番タイプのTHMC420は自動搬送に対応します。 / 弊社は加工機だけでなく、付帯装置も含めたセットアップメーカーとして自動化・省力化の提案を /</x:v>
      </x:c>
      <x:c r="K289" s="7" t="str">
        <x:v>原典記述の対照。個別機能の追加・性能差・初登場年は未判定。</x:v>
      </x:c>
      <x:c r="L289" s="7" t="str">
        <x:v>両年説明あり・機能差未判定</x:v>
      </x:c>
      <x:c r="M289" s="7" t="str">
        <x:v>出展説明の一次分類</x:v>
      </x:c>
      <x:c r="N289" s="7" t="str"/>
      <x:c r="O289" s="7" t="str">
        <x:v>承認・例外対応・停止・復帰の境界は未確認</x:v>
      </x:c>
      <x:c r="P289" s="7" t="str">
        <x:v>2026公式カタログ掲載・現地未確認
2026展示予定。既存製品・参考出展・構想等は原典で個別確認</x:v>
      </x:c>
      <x:c r="Q289" s="7" t="str">
        <x:v>AC151</x:v>
      </x:c>
      <x:c t="str" r="R289" s="21">
        <x:f>HYPERLINK("https://www.jimtof.org/search/jp/ESdetails?e=4IGD6jExai0","JIMTOF2026 出展ページ")</x:f>
        <x:v>JIMTOF2026 出展ページ</x:v>
      </x:c>
      <x:c t="str" r="S289" s="21">
        <x:f>HYPERLINK("https://www.jimtof.org/2024/search/jp/ESdetails?e=4gAS80Eu958","JIMTOF2024 出展ページ")</x:f>
        <x:v>JIMTOF2024 出展ページ</x:v>
      </x:c>
      <x:c r="T289" s="7" t="str">
        <x:v>EEX-EXH-2026-0edd272934baf18c: https://www.jimtof.org/search/jp/ESdetails?e=4IGD6jExai0
該当箇所: 出展紹介・主な出展物。追加カードの原典抜粋で検索
EEX-EXH-2024-b813d93a11901422: https://www.jimtof.org/2024/search/jp/ESdetails?e=4gAS80Eu958
該当箇所: 出展紹介・主な出展物。追加カードの原典抜粋で検索</x:v>
      </x:c>
    </x:row>
    <x:row r="290" ht="155" customHeight="1">
      <x:c r="A290" s="7" t="str">
        <x:v>検査・診断</x:v>
      </x:c>
      <x:c r="B290" s="7" t="str">
        <x:v>自動計測・測定計画・品質データ</x:v>
      </x:c>
      <x:c r="C290" s="20" t="str">
        <x:v>トライオプティクス・ジャパン株式会社</x:v>
      </x:c>
      <x:c r="D290" s="7" t="str">
        <x:v>出展物① 電子式オートコリメータ TriAngle（角度・真直度・平行度測定）</x:v>
      </x:c>
      <x:c r="E290" s="7" t="str">
        <x:v>S3080</x:v>
      </x:c>
      <x:c r="F290" s="7" t="str">
        <x:v>自動計測・測定計画・品質データ</x:v>
      </x:c>
      <x:c r="G290" s="7" t="str">
        <x:v>原典抜粋：『精密加工を支える高精度光学測定』 / 近年、半導体製造装置、精密機械、光学部品分野では、製品の高性能化に伴い、品質保証に求められる測定精度がますます高まっています。 / 一方で、生産現場では検査工程の効率化や省人化への対応も重要な課題となっています。 / 当社ブースでは、「高精度測定による品質向上と生産性向上」をテーマに、実機展示を通じて測定ソリューションをご紹介します。 / 測定精度の向上、測定時間の短縮、検査結果の再現性向上など、</x:v>
      </x:c>
      <x:c r="H290" s="7" t="str">
        <x:v>測定の段取り・搬送・記録に人手が残り、結果が加工改善につながりにくい。</x:v>
      </x:c>
      <x:c r="I290" s="7" t="str">
        <x:v>2024原典抜粋：当社は、光学業界にてディファクトスタンダードとなっているTRIOPTICS製光学測定機、調芯機、加工機等の設計から製造、販売及びサポートをしております。 工作機械などメカニカルエンジニアリング分野でも、オートコリメータや干渉計などの高精度かつ非接触の光学測定機が多く使用されており、今回の展示会でも、実機を出展させていただきます。 また、長年の光学分野での経験と当社のTRIOPTICS設備を活かし高精度なレンズシステムの設計～制作やユーザの要望に沿った完全カスタムの特注測定機の制作、様々な産業分野に使われている光学機</x:v>
      </x:c>
      <x:c r="J290" s="7" t="str">
        <x:v>2026原典抜粋：『精密加工を支える高精度光学測定』 / 近年、半導体製造装置、精密機械、光学部品分野では、製品の高性能化に伴い、品質保証に求められる測定精度がますます高まっています。 / 一方で、生産現場では検査工程の効率化や省人化への対応も重要な課題となっています。 / 当社ブースでは、「高精度測定による品質向上と生産性向上」をテーマに、実機展示を通じて測定ソリューションをご紹介します。 / 測定精度の向上、測定時間の短縮、検査結果の再現性向上など、</x:v>
      </x:c>
      <x:c r="K290" s="7" t="str">
        <x:v>原典記述の対照。個別機能の追加・性能差・初登場年は未判定。</x:v>
      </x:c>
      <x:c r="L290" s="7" t="str">
        <x:v>両年説明あり・機能差未判定</x:v>
      </x:c>
      <x:c r="M290" s="7" t="str">
        <x:v>出展説明の一次分類</x:v>
      </x:c>
      <x:c r="N290" s="7" t="str"/>
      <x:c r="O290" s="7" t="str">
        <x:v>承認・例外対応・停止・復帰の境界は未確認</x:v>
      </x:c>
      <x:c r="P290" s="7" t="str">
        <x:v>2026公式カタログ掲載・現地未確認
2026展示予定。既存製品・参考出展・構想等は原典で個別確認</x:v>
      </x:c>
      <x:c r="Q290" s="7" t="str">
        <x:v>AC155</x:v>
      </x:c>
      <x:c t="str" r="R290" s="21">
        <x:f>HYPERLINK("https://www.jimtof.org/search/jp/ESdetails?e=lV077Duzq6g","JIMTOF2026 出展ページ")</x:f>
        <x:v>JIMTOF2026 出展ページ</x:v>
      </x:c>
      <x:c t="str" r="S290" s="21">
        <x:f>HYPERLINK("https://www.jimtof.org/2024/search/jp/ESdetails?e=IAtipprWAO0","JIMTOF2024 出展ページ")</x:f>
        <x:v>JIMTOF2024 出展ページ</x:v>
      </x:c>
      <x:c r="T290" s="7" t="str">
        <x:v>EEX-EXH-2026-7d4cf088451b04c9: https://www.jimtof.org/search/jp/ESdetails?e=lV077Duzq6g
該当箇所: 出展紹介・主な出展物。追加カードの原典抜粋で検索
EEX-EXH-2024-32f3e2af7211e3f5: https://www.jimtof.org/2024/search/jp/ESdetails?e=IAtipprWAO0
該当箇所: 出展紹介・主な出展物。追加カードの原典抜粋で検索</x:v>
      </x:c>
    </x:row>
    <x:row r="291" ht="155" customHeight="1">
      <x:c r="A291" s="7" t="str">
        <x:v>検査・診断</x:v>
      </x:c>
      <x:c r="B291" s="7" t="str">
        <x:v>自動計測・測定計画・品質データ</x:v>
      </x:c>
      <x:c r="C291" s="20" t="str">
        <x:v>新潟精機株式会社</x:v>
      </x:c>
      <x:c r="D291" s="7" t="str">
        <x:v>デジタル水準器レベルニック</x:v>
      </x:c>
      <x:c r="E291" s="7" t="str">
        <x:v>E7039</x:v>
      </x:c>
      <x:c r="F291" s="7" t="str">
        <x:v>自動計測・測定計画・品質データ</x:v>
      </x:c>
      <x:c r="G291" s="7" t="str">
        <x:v>原典抜粋：代表製品のデジタル水準器レベルニックをはじめ、振れ測定に最適な偏心度測定システム、内径測定を人による誤差がなく高精度に測定できる精密測定プラグなど、他にも様々な製品を展示いたします。 / ・デジタル水準器レベルニック / ・精密測定プラグを使用した自動測定機</x:v>
      </x:c>
      <x:c r="H291" s="7" t="str">
        <x:v>測定の段取り・搬送・記録に人手が残り、結果が加工改善につながりにくい。</x:v>
      </x:c>
      <x:c r="I291" s="7" t="str">
        <x:v>2024原典抜粋：完全自社設計の角度計をJIMTOFに向けてリリース致します。製品としては4モデルリリース予定ですが、お客様の用途に合わせてスペックをカスタマイズすることが可能です。衝撃や振動の測定にも使用でき、弊社の新製品の中でも最も注目度が高いです。 内径測定器のマスタとしてリングゲージを製造しており、多くのお客様にリングゲージを使用いただきたいという気持ちから内径測定器にも新たに力を入れています。その一つが「精密測定プラグゲージ」です。この製品はアウトラインのハンドツールとして測定をすることもできますが、インラインの自動化にも</x:v>
      </x:c>
      <x:c r="J291" s="7" t="str">
        <x:v>2026原典抜粋：代表製品のデジタル水準器レベルニックをはじめ、振れ測定に最適な偏心度測定システム、内径測定を人による誤差がなく高精度に測定できる精密測定プラグなど、他にも様々な製品を展示いたします。 / ・デジタル水準器レベルニック / ・精密測定プラグを使用した自動測定機</x:v>
      </x:c>
      <x:c r="K291" s="7" t="str">
        <x:v>原典記述の対照。個別機能の追加・性能差・初登場年は未判定。</x:v>
      </x:c>
      <x:c r="L291" s="7" t="str">
        <x:v>両年説明あり・機能差未判定</x:v>
      </x:c>
      <x:c r="M291" s="7" t="str">
        <x:v>出展説明の一次分類</x:v>
      </x:c>
      <x:c r="N291" s="7" t="str"/>
      <x:c r="O291" s="7" t="str">
        <x:v>承認・例外対応・停止・復帰の境界は未確認</x:v>
      </x:c>
      <x:c r="P291" s="7" t="str">
        <x:v>2026公式カタログ掲載・現地未確認
2026展示予定。既存製品・参考出展・構想等は原典で個別確認</x:v>
      </x:c>
      <x:c r="Q291" s="7" t="str">
        <x:v>AC162</x:v>
      </x:c>
      <x:c t="str" r="R291" s="21">
        <x:f>HYPERLINK("https://www.jimtof.org/search/jp/ESdetails?e=cCEJdVT7Sxk","JIMTOF2026 出展ページ")</x:f>
        <x:v>JIMTOF2026 出展ページ</x:v>
      </x:c>
      <x:c t="str" r="S291" s="21">
        <x:f>HYPERLINK("https://www.jimtof.org/2024/search/jp/ESdetails?e=lPv1x-bM_CQ","JIMTOF2024 出展ページ")</x:f>
        <x:v>JIMTOF2024 出展ページ</x:v>
      </x:c>
      <x:c r="T291" s="7" t="str">
        <x:v>EEX-EXH-2026-d0e930b11ed6e2f2: https://www.jimtof.org/search/jp/ESdetails?e=cCEJdVT7Sxk
該当箇所: 出展紹介・主な出展物。追加カードの原典抜粋で検索
EEX-EXH-2024-c8635323a4cddeab: https://www.jimtof.org/2024/search/jp/ESdetails?e=lPv1x-bM_CQ
該当箇所: 出展紹介・主な出展物。追加カードの原典抜粋で検索</x:v>
      </x:c>
    </x:row>
    <x:row r="292" ht="155" customHeight="1">
      <x:c r="A292" s="7" t="str">
        <x:v>検査・診断</x:v>
      </x:c>
      <x:c r="B292" s="7" t="str">
        <x:v>自動計測・測定計画・品質データ</x:v>
      </x:c>
      <x:c r="C292" s="20" t="str">
        <x:v>日工機材株式会社</x:v>
      </x:c>
      <x:c r="D292" s="7" t="str">
        <x:v>本展示会が初のお披露目となる㈱熊本精研工業製新型機上測定機　NK-2000 PRIMEを出展いたします。</x:v>
      </x:c>
      <x:c r="E292" s="7" t="str">
        <x:v>S4036</x:v>
      </x:c>
      <x:c r="F292" s="7" t="str">
        <x:v>自動計測・測定計画・品質データ</x:v>
      </x:c>
      <x:c r="G292" s="7" t="str">
        <x:v>原典抜粋：また焦点合わせ時の焦点があったったトップを確認できるようにしたことや、CADを表示した比較計測時に、ワークとCADの合わせ込みを補助する機能を追加しました。</x:v>
      </x:c>
      <x:c r="H292" s="7" t="str">
        <x:v>測定の段取り・搬送・記録に人手が残り、結果が加工改善につながりにくい。</x:v>
      </x:c>
      <x:c r="I292" s="7" t="str">
        <x:v>2024原典抜粋：『機上測定で製造現場に革命を』をテーマに 非接触カメラシステムを用いた製品による以下の展示をおこないます。 ①加工機上で寸法測定と深さ方向の測定をμオーダーで測定できる機上測定機 『NK2000 高さ高精度計測Ver』 ②AWCのストッカーにワークを搭載する前に芯出し作業を外段取でおこなうことができる 『カメラ式外段取り装置』 ③研削盤上で砥石を回転させ、振れを含めた砥石の先端形状を確認できる 『回転砥石形状測定機』 ①機上測定機NK-2000 高さ高精度計測Ver ・独自の光学計測アルゴリズムを駆使し、従来の高さ</x:v>
      </x:c>
      <x:c r="J292" s="7" t="str">
        <x:v>2026原典抜粋：また焦点合わせ時の焦点があったったトップを確認できるようにしたことや、CADを表示した比較計測時に、ワークとCADの合わせ込みを補助する機能を追加しました。</x:v>
      </x:c>
      <x:c r="K292" s="7" t="str">
        <x:v>原典記述の対照。個別機能の追加・性能差・初登場年は未判定。</x:v>
      </x:c>
      <x:c r="L292" s="7" t="str">
        <x:v>両年説明あり・機能差未判定</x:v>
      </x:c>
      <x:c r="M292" s="7" t="str">
        <x:v>出展説明の一次分類</x:v>
      </x:c>
      <x:c r="N292" s="7" t="str"/>
      <x:c r="O292" s="7" t="str">
        <x:v>承認・例外対応・停止・復帰の境界は未確認</x:v>
      </x:c>
      <x:c r="P292" s="7" t="str">
        <x:v>2026公式カタログ掲載・現地未確認
2026展示予定。既存製品・参考出展・構想等は原典で個別確認</x:v>
      </x:c>
      <x:c r="Q292" s="7" t="str">
        <x:v>AC166</x:v>
      </x:c>
      <x:c t="str" r="R292" s="21">
        <x:f>HYPERLINK("https://www.jimtof.org/search/jp/ESdetails?e=JaGZphpJixc","JIMTOF2026 出展ページ")</x:f>
        <x:v>JIMTOF2026 出展ページ</x:v>
      </x:c>
      <x:c t="str" r="S292" s="21">
        <x:f>HYPERLINK("https://www.jimtof.org/2024/search/jp/ESdetails?e=dvLySDmZm0A","JIMTOF2024 出展ページ")</x:f>
        <x:v>JIMTOF2024 出展ページ</x:v>
      </x:c>
      <x:c r="T292" s="7" t="str">
        <x:v>EEX-EXH-2026-168a87e45c0ac34c: https://www.jimtof.org/search/jp/ESdetails?e=JaGZphpJixc
該当箇所: 出展紹介・主な出展物。追加カードの原典抜粋で検索
EEX-EXH-2024-2a2d18ab4e316a4f: https://www.jimtof.org/2024/search/jp/ESdetails?e=dvLySDmZm0A
該当箇所: 出展紹介・主な出展物。追加カードの原典抜粋で検索</x:v>
      </x:c>
    </x:row>
    <x:row r="293" ht="155" customHeight="1">
      <x:c r="A293" s="7" t="str">
        <x:v>検査・診断</x:v>
      </x:c>
      <x:c r="B293" s="7" t="str">
        <x:v>自動計測・測定計画・品質データ</x:v>
      </x:c>
      <x:c r="C293" s="20" t="str">
        <x:v>日本クリンゲルンベルグ株式会社</x:v>
      </x:c>
      <x:c r="D293" s="7" t="str">
        <x:v>Klingelnbergブースでは、歯車設計から加工、測定、品質保証、デジタル化までをシームレスにつなぐトータルソリューションをご紹介します。</x:v>
      </x:c>
      <x:c r="E293" s="7" t="str">
        <x:v>E1006</x:v>
      </x:c>
      <x:c r="F293" s="7" t="str">
        <x:v>自動計測・測定計画・品質データ</x:v>
      </x:c>
      <x:c r="G293" s="7" t="str">
        <x:v>原典抜粋：JIMTOF 2026では、電動化が進む自動車産業をはじめ、風力発電、鉄道、航空宇宙、船舶など、幅広い分野を支える最新の歯車加工・測定技術をご紹介します。 / さらに、品質保証や生産性向上につながる最新のデジタルソリューションもご提案します。 / ベベルギヤ加工、円筒歯車加工、精密測定からデジタルソリューションまで、歯車製造の未来を支えるKlingelnbergの最新技術を、ぜひ会場でご覧ください。 / Klingelnbergブースで</x:v>
      </x:c>
      <x:c r="H293" s="7" t="str">
        <x:v>測定の段取り・搬送・記録に人手が残り、結果が加工改善につながりにくい。</x:v>
      </x:c>
      <x:c r="I293" s="7" t="str">
        <x:v>2024原典抜粋：KLINGELNBERGは、歯車産業における世界有数のマーケットリーダーであり、テクノロジーリーダーの一つです。ベベルギヤや円筒歯車を製造する機械の開発・製造、あらゆる種類の軸対称物の測定センター、顧客のニーズに応じた高精度の歯車部品の製造などを手掛けています。 クリンゲルンベルグは1863年に創業された家族経営の企業で、製品とサービスの品質への徹底したこだわりと絶対的な信頼性によって、創業からグローバル市場をリードしてきました。世界中に多数の研究開発エンジニアを擁し、200件以上の特許を保有するなど、絶えずイノベ</x:v>
      </x:c>
      <x:c r="J293" s="7" t="str">
        <x:v>2026原典抜粋：JIMTOF 2026では、電動化が進む自動車産業をはじめ、風力発電、鉄道、航空宇宙、船舶など、幅広い分野を支える最新の歯車加工・測定技術をご紹介します。 / さらに、品質保証や生産性向上につながる最新のデジタルソリューションもご提案します。 / ベベルギヤ加工、円筒歯車加工、精密測定からデジタルソリューションまで、歯車製造の未来を支えるKlingelnbergの最新技術を、ぜひ会場でご覧ください。 / Klingelnbergブースで</x:v>
      </x:c>
      <x:c r="K293" s="7" t="str">
        <x:v>原典記述の対照。個別機能の追加・性能差・初登場年は未判定。</x:v>
      </x:c>
      <x:c r="L293" s="7" t="str">
        <x:v>両年説明あり・機能差未判定</x:v>
      </x:c>
      <x:c r="M293" s="7" t="str">
        <x:v>出展説明の一次分類</x:v>
      </x:c>
      <x:c r="N293" s="7" t="str"/>
      <x:c r="O293" s="7" t="str">
        <x:v>承認・例外対応・停止・復帰の境界は未確認</x:v>
      </x:c>
      <x:c r="P293" s="7" t="str">
        <x:v>2026公式カタログ掲載・現地未確認
2026展示予定。既存製品・参考出展・構想等は原典で個別確認</x:v>
      </x:c>
      <x:c r="Q293" s="7" t="str">
        <x:v>AC176</x:v>
      </x:c>
      <x:c t="str" r="R293" s="21">
        <x:f>HYPERLINK("https://www.jimtof.org/search/jp/ESdetails?e=K8FKaawJkn0","JIMTOF2026 出展ページ")</x:f>
        <x:v>JIMTOF2026 出展ページ</x:v>
      </x:c>
      <x:c t="str" r="S293" s="21">
        <x:f>HYPERLINK("https://www.jimtof.org/2024/search/jp/ESdetails?e=6UZSB6PuDNs","JIMTOF2024 出展ページ")</x:f>
        <x:v>JIMTOF2024 出展ページ</x:v>
      </x:c>
      <x:c r="T293" s="7" t="str">
        <x:v>EEX-EXH-2026-fcc72e415a9d406e: https://www.jimtof.org/search/jp/ESdetails?e=K8FKaawJkn0
該当箇所: 出展紹介・主な出展物。追加カードの原典抜粋で検索
EEX-EXH-2024-087452d324f56f4f: https://www.jimtof.org/2024/search/jp/ESdetails?e=6UZSB6PuDNs
該当箇所: 出展紹介・主な出展物。追加カードの原典抜粋で検索</x:v>
      </x:c>
    </x:row>
    <x:row r="294" ht="155" customHeight="1">
      <x:c r="A294" s="7" t="str">
        <x:v>検査・診断</x:v>
      </x:c>
      <x:c r="B294" s="7" t="str">
        <x:v>自動計測・測定計画・品質データ</x:v>
      </x:c>
      <x:c r="C294" s="20" t="str">
        <x:v>株式会社原製作所</x:v>
      </x:c>
      <x:c r="D294" s="7" t="str">
        <x:v>[Polyrix社 PolyScanV]</x:v>
      </x:c>
      <x:c r="E294" s="7" t="str">
        <x:v>S4037</x:v>
      </x:c>
      <x:c r="F294" s="7" t="str">
        <x:v>自動計測・測定計画・品質データ</x:v>
      </x:c>
      <x:c r="G294" s="7" t="str">
        <x:v>原典抜粋：各支柱に搭載されたプロジェクターと3Dスキャナが、通過するワークを自動で捉え、全周囲の3Dデータを取得します。 / 自動車1台分を最速約30秒。 / ・自動車1台分を最速約30秒—タクトタイムに対応する測定速度 / ・LIVE INSPECTION—CADとの偏差をカラーマップでワーク表面に直接投影し、モニタを見ずにその場でズレを確認 / 航空宇宙/自動車業界を中心に導入が進む次世代3Dスキャンシステムです。 / 高精細3Dスキャナ＆3</x:v>
      </x:c>
      <x:c r="H294" s="7" t="str">
        <x:v>測定の段取り・搬送・記録に人手が残り、結果が加工改善につながりにくい。</x:v>
      </x:c>
      <x:c r="I294" s="7" t="str">
        <x:v>2024原典抜粋：・３Dスキャン・リバースエンジニアリングサービスの原製作所が３Dスキャナーの販売を始めました。長年培った３Dスキャン技術を生かし、最適な３Dスキャン環境をご提案致します。 ・もちろん３Dスキャンサービスも健在です。３Dスキャナー欲しいけど使用頻度が少ない。そんな時は原製作所の３Dスキャンサービスをご利用下さい。 ・Zeiss社製の３Dスキャナー ATOS Qを展示販売致します。 ・Artec社製の完全ワイヤレスハンドヘルド３Dスキャナー ArtecLeoを展示販売致します。 ・３Dスキャンには欠かせないオリジナル計</x:v>
      </x:c>
      <x:c r="J294" s="7" t="str">
        <x:v>2026原典抜粋：各支柱に搭載されたプロジェクターと3Dスキャナが、通過するワークを自動で捉え、全周囲の3Dデータを取得します。 / 自動車1台分を最速約30秒。 / ・自動車1台分を最速約30秒—タクトタイムに対応する測定速度 / ・LIVE INSPECTION—CADとの偏差をカラーマップでワーク表面に直接投影し、モニタを見ずにその場でズレを確認 / 航空宇宙/自動車業界を中心に導入が進む次世代3Dスキャンシステムです。 / 高精細3Dスキャナ＆3</x:v>
      </x:c>
      <x:c r="K294" s="7" t="str">
        <x:v>原典記述の対照。個別機能の追加・性能差・初登場年は未判定。</x:v>
      </x:c>
      <x:c r="L294" s="7" t="str">
        <x:v>両年説明あり・機能差未判定</x:v>
      </x:c>
      <x:c r="M294" s="7" t="str">
        <x:v>出展説明の一次分類</x:v>
      </x:c>
      <x:c r="N294" s="7" t="str"/>
      <x:c r="O294" s="7" t="str">
        <x:v>承認・例外対応・停止・復帰の境界は未確認</x:v>
      </x:c>
      <x:c r="P294" s="7" t="str">
        <x:v>2026公式カタログ掲載・現地未確認
2026展示予定。既存製品・参考出展・構想等は原典で個別確認</x:v>
      </x:c>
      <x:c r="Q294" s="7" t="str">
        <x:v>AC190</x:v>
      </x:c>
      <x:c t="str" r="R294" s="21">
        <x:f>HYPERLINK("https://www.jimtof.org/search/jp/ESdetails?e=LRuS5p7XpwI","JIMTOF2026 出展ページ")</x:f>
        <x:v>JIMTOF2026 出展ページ</x:v>
      </x:c>
      <x:c t="str" r="S294" s="21">
        <x:f>HYPERLINK("https://www.jimtof.org/2024/search/jp/ESdetails?e=PJEgqNYlWes","JIMTOF2024 出展ページ")</x:f>
        <x:v>JIMTOF2024 出展ページ</x:v>
      </x:c>
      <x:c r="T294" s="7" t="str">
        <x:v>EEX-EXH-2026-8550e99361de2f5b: https://www.jimtof.org/search/jp/ESdetails?e=LRuS5p7XpwI
該当箇所: 出展紹介・主な出展物。追加カードの原典抜粋で検索
EEX-EXH-2024-0fc7d40eadf26199: https://www.jimtof.org/2024/search/jp/ESdetails?e=PJEgqNYlWes
該当箇所: 出展紹介・主な出展物。追加カードの原典抜粋で検索</x:v>
      </x:c>
    </x:row>
    <x:row r="295" ht="155" customHeight="1">
      <x:c r="A295" s="7" t="str">
        <x:v>検査・診断</x:v>
      </x:c>
      <x:c r="B295" s="7" t="str">
        <x:v>自動計測・測定計画・品質データ</x:v>
      </x:c>
      <x:c r="C295" s="20" t="str">
        <x:v>ベクトリックス株式会社</x:v>
      </x:c>
      <x:c r="D295" s="7" t="str">
        <x:v>QC PRO シリーズ</x:v>
      </x:c>
      <x:c r="E295" s="7" t="str">
        <x:v>E7029</x:v>
      </x:c>
      <x:c r="F295" s="7" t="str">
        <x:v>自動計測・測定計画・品質データ</x:v>
      </x:c>
      <x:c r="G295" s="7" t="str">
        <x:v>原典抜粋：SPC（統計的工程管理）に対応した品質管理ソフトウェア / ・検査成績書や管理図の自動作成機能 / エクセル自動入力・検査書作成ソフトウェア / ・ワイヤレス入力したデータを自動で合否判定 / ・指定日時の自動バックアップ機能 / ・回収指示書の自動メール配信 / ・QC PRO EX Plus（エクセル自動入力用ソフトウェア） / ・QC PRO MX（検査成績書自動作成ソフトウェア）</x:v>
      </x:c>
      <x:c r="H295" s="7" t="str">
        <x:v>測定の段取り・搬送・記録に人手が残り、結果が加工改善につながりにくい。</x:v>
      </x:c>
      <x:c r="I295" s="7" t="str">
        <x:v>2024原典抜粋：■QC PRO SPC（統計的工程管理）に対応した品質管理ソフトウェア ・検査成績書や管理図の自動作成機能 ・検査データの電子化により、品質管理のトレーサビリティ向上 ・基本統計量や工程能力指数をリアルタイムで表示 ・三次元測定機や画像測定機のデータも取込み可能 ・ログインIDごとに機能制限しデータ改ざんの抑止 ■QC PRO EX Plus エクセル自動入力・検査書作成ソフトウェア ・測定データワイヤレス入力機器「テレメジャーⅡ」対応 ・ワイヤレス入力したデータを自動で合否判定 ・外観検査ではOK・NGなど文字デ</x:v>
      </x:c>
      <x:c r="J295" s="7" t="str">
        <x:v>2026原典抜粋：SPC（統計的工程管理）に対応した品質管理ソフトウェア / ・検査成績書や管理図の自動作成機能 / エクセル自動入力・検査書作成ソフトウェア / ・ワイヤレス入力したデータを自動で合否判定 / ・指定日時の自動バックアップ機能 / ・回収指示書の自動メール配信 / ・QC PRO EX Plus（エクセル自動入力用ソフトウェア） / ・QC PRO MX（検査成績書自動作成ソフトウェア）</x:v>
      </x:c>
      <x:c r="K295" s="7" t="str">
        <x:v>原典記述の対照。個別機能の追加・性能差・初登場年は未判定。</x:v>
      </x:c>
      <x:c r="L295" s="7" t="str">
        <x:v>両年説明あり・機能差未判定</x:v>
      </x:c>
      <x:c r="M295" s="7" t="str">
        <x:v>出展説明の一次分類</x:v>
      </x:c>
      <x:c r="N295" s="7" t="str"/>
      <x:c r="O295" s="7" t="str">
        <x:v>承認・例外対応・停止・復帰の境界は未確認</x:v>
      </x:c>
      <x:c r="P295" s="7" t="str">
        <x:v>2026公式カタログ掲載・現地未確認
2026展示予定。既存製品・参考出展・構想等は原典で個別確認</x:v>
      </x:c>
      <x:c r="Q295" s="7" t="str">
        <x:v>AC206</x:v>
      </x:c>
      <x:c t="str" r="R295" s="21">
        <x:f>HYPERLINK("https://www.jimtof.org/search/jp/ESdetails?e=P5HLZf3n2dk","JIMTOF2026 出展ページ")</x:f>
        <x:v>JIMTOF2026 出展ページ</x:v>
      </x:c>
      <x:c t="str" r="S295" s="21">
        <x:f>HYPERLINK("https://www.jimtof.org/2024/search/jp/ESdetails?e=I5HEizw7p-o","JIMTOF2024 出展ページ")</x:f>
        <x:v>JIMTOF2024 出展ページ</x:v>
      </x:c>
      <x:c r="T295" s="7" t="str">
        <x:v>EEX-EXH-2026-051461fc275e164d: https://www.jimtof.org/search/jp/ESdetails?e=P5HLZf3n2dk
該当箇所: 出展紹介・主な出展物。追加カードの原典抜粋で検索
EEX-EXH-2024-59b99545162fe547: https://www.jimtof.org/2024/search/jp/ESdetails?e=I5HEizw7p-o
該当箇所: 出展紹介・主な出展物。追加カードの原典抜粋で検索</x:v>
      </x:c>
    </x:row>
    <x:row r="296" ht="155" customHeight="1">
      <x:c r="A296" s="7" t="str">
        <x:v>検査・診断</x:v>
      </x:c>
      <x:c r="B296" s="7" t="str">
        <x:v>自動計測・測定計画・品質データ</x:v>
      </x:c>
      <x:c r="C296" s="20" t="str">
        <x:v>牧野フライス精機株式会社</x:v>
      </x:c>
      <x:c r="D296" s="7" t="str">
        <x:v>高精密CNC工具研削盤SG10EX</x:v>
      </x:c>
      <x:c r="E296" s="7" t="str">
        <x:v>E7090</x:v>
      </x:c>
      <x:c r="F296" s="7" t="str">
        <x:v>自動計測・測定計画・品質データ ／ 自動加工セル・工程集約</x:v>
      </x:c>
      <x:c r="G296" s="7" t="str">
        <x:v>原典抜粋：弊社は、工具製造のさらなる高精度化・自動化を実現する最新技術を出展。 / 今回の展示では、新機種1台を含む計3台のCNC工具研削盤を出展するほか、内蔵型マイクロビジョンシステム「monocam2」の新機能を公開。 / また、小径工具の機内測定に対応する新システム「nanocam」を発表し、小径工具研削の新たなソリューションを提案。</x:v>
      </x:c>
      <x:c r="H296" s="7" t="str">
        <x:v>測定の段取り・搬送・記録に人手が残り、結果が加工改善につながりにくい。 ／ 設備間の持替えや繰返し作業が、人手・待ち時間・品質差につながる。</x:v>
      </x:c>
      <x:c r="I296" s="7" t="str">
        <x:v>2024原典抜粋：・Tool Creator® 標準工具から特殊工具まで対応する弊社の第三世代ソフトウェア。自動化などを想定し、様々な外部機器との連携やデータ読み込みなど、高度な拡張性を備える。 ・高精密CNC工具研削盤AGE30FX 自動ワーク交換装置と砥石・研削液ノズル交換装置を標準搭載した全自動機。会場では内蔵型マイクロビジョンシステムmonocam2による、最新の画像認識技術を使用した超硬ドリル刃先のホーニング加工デモを行う。 ・高精密CNC工具研削盤SG10 小径から中径工具を高精度に生産可能なコンパクト全自動機。会場では</x:v>
      </x:c>
      <x:c r="J296" s="7" t="str">
        <x:v>2026原典抜粋：弊社は、工具製造のさらなる高精度化・自動化を実現する最新技術を出展。 / 今回の展示では、新機種1台を含む計3台のCNC工具研削盤を出展するほか、内蔵型マイクロビジョンシステム「monocam2」の新機能を公開。 / また、小径工具の機内測定に対応する新システム「nanocam」を発表し、小径工具研削の新たなソリューションを提案。</x:v>
      </x:c>
      <x:c r="K296" s="7" t="str">
        <x:v>原典記述の対照。個別機能の追加・性能差・初登場年は未判定。</x:v>
      </x:c>
      <x:c r="L296" s="7" t="str">
        <x:v>両年説明あり・機能差未判定</x:v>
      </x:c>
      <x:c r="M296" s="7" t="str">
        <x:v>出展説明の一次分類</x:v>
      </x:c>
      <x:c r="N296" s="7" t="str"/>
      <x:c r="O296" s="7" t="str">
        <x:v>承認・例外対応・停止・復帰の境界は未確認</x:v>
      </x:c>
      <x:c r="P296" s="7" t="str">
        <x:v>2026公式カタログ掲載・現地未確認
2026展示予定。既存製品・参考出展・構想等は原典で個別確認</x:v>
      </x:c>
      <x:c r="Q296" s="7" t="str">
        <x:v>AC209</x:v>
      </x:c>
      <x:c t="str" r="R296" s="21">
        <x:f>HYPERLINK("https://www.jimtof.org/search/jp/ESdetails?e=jlC7OSSk2O4","JIMTOF2026 出展ページ")</x:f>
        <x:v>JIMTOF2026 出展ページ</x:v>
      </x:c>
      <x:c t="str" r="S296" s="21">
        <x:f>HYPERLINK("https://www.jimtof.org/2024/search/jp/ESdetails?e=uvTY1qMfjes","JIMTOF2024 出展ページ")</x:f>
        <x:v>JIMTOF2024 出展ページ</x:v>
      </x:c>
      <x:c r="T296" s="7" t="str">
        <x:v>EEX-EXH-2026-41a8f9ad241e4c0e: https://www.jimtof.org/search/jp/ESdetails?e=jlC7OSSk2O4
該当箇所: 出展紹介・主な出展物。追加カードの原典抜粋で検索
EEX-EXH-2024-8678f2b8e7d82522: https://www.jimtof.org/2024/search/jp/ESdetails?e=uvTY1qMfjes
該当箇所: 出展紹介・主な出展物。追加カードの原典抜粋で検索</x:v>
      </x:c>
    </x:row>
    <x:row r="297" ht="155" customHeight="1">
      <x:c r="A297" s="7" t="str">
        <x:v>検査・診断</x:v>
      </x:c>
      <x:c r="B297" s="7" t="str">
        <x:v>自動計測・測定計画・品質データ</x:v>
      </x:c>
      <x:c r="C297" s="20" t="str">
        <x:v>丸紅情報システムズ株式会社</x:v>
      </x:c>
      <x:c r="D297" s="7" t="str">
        <x:v>ZEISS社　コンパクトクラス高機能3Dスキャナ / ATOS Q</x:v>
      </x:c>
      <x:c r="E297" s="7" t="str">
        <x:v>S3081</x:v>
      </x:c>
      <x:c r="F297" s="7" t="str">
        <x:v>3D計測と金型補修・加工の連携</x:v>
      </x:c>
      <x:c r="G297" s="7" t="str">
        <x:v>ZEISSの3D測定とCAMデータ活用、Tebis等のCAD/CAM・MESを紹介。</x:v>
      </x:c>
      <x:c r="H297" s="7" t="str">
        <x:v>工具・機械・段取り制約を織り込む工程作成の技能依存。 ／ 形状の設計変更や加工前の確認に手間がかかる。 ／ 測定の段取り・搬送・記録に人手が残り、結果が加工改善につながりにくい。</x:v>
      </x:c>
      <x:c r="I297" s="7" t="str">
        <x:v>2024原典抜粋：丸紅情報システムズは、製造業界におけるリードタイムの短縮、人材不足、コストダウンといった課題に計測・検査分野での自動化・標準化にデジタルデータの一層の活用を後押しする製品・サービスをご提案します。JIMTOF2024では、軽量・持ち運びやすさが特徴のドイツZEISS社の3DスキャナATOS QとT-SCAN hawk 2を出展します。置き型の測定機と異なり、開発部門、製造現場などに手軽に持ち込んで高精細な3D測定が可能です。その他に、ZEISS社の完全自動測定システムScanBox の映像展示やタブレット端末を使っ</x:v>
      </x:c>
      <x:c r="J297" s="7" t="str">
        <x:v>2026原典抜粋：「製造DX x 非接触3Dスキャナで計測工程を刷新」 / ZEISS社の3Dスキャナを軸に、製品の検査・品質管理から始まり、取得した3次元測定データと既存のCAMデータを活用し、金型加工（肉盛り補修など）の最適化を行うなど様々な事例をご紹介いたします。 / 3Dスキャナも据え置き式はもちろん、ロボットを利用した自動化システム、ハンディタイプなど様々ラインナップしております。 / その他生産管理システム（MES)や、現物にCADデータをA</x:v>
      </x:c>
      <x:c r="K297" s="7" t="str">
        <x:v>原典記述の対照。個別機能の追加・性能差・初登場年は未判定。</x:v>
      </x:c>
      <x:c r="L297" s="7" t="str">
        <x:v>両年説明あり・機能差未判定</x:v>
      </x:c>
      <x:c r="M297" s="7" t="str">
        <x:v>出展説明の一次分類</x:v>
      </x:c>
      <x:c r="N297" s="7" t="str"/>
      <x:c r="O297" s="7" t="str">
        <x:v>承認・例外対応・停止・復帰の境界は未確認</x:v>
      </x:c>
      <x:c r="P297" s="7" t="str">
        <x:v>2026公式カタログ掲載・現地未確認
2026展示予定。既存製品・参考出展・構想等は原典で個別確認</x:v>
      </x:c>
      <x:c r="Q297" s="7" t="str">
        <x:v>AC215</x:v>
      </x:c>
      <x:c t="str" r="R297" s="21">
        <x:f>HYPERLINK("https://www.jimtof.org/search/jp/ESdetails?e=CYlrKSmBqPU","JIMTOF2026 出展ページ")</x:f>
        <x:v>JIMTOF2026 出展ページ</x:v>
      </x:c>
      <x:c t="str" r="S297" s="21">
        <x:f>HYPERLINK("https://www.jimtof.org/2024/search/jp/ESdetails?e=su6bJFFHGAk","JIMTOF2024 出展ページ")</x:f>
        <x:v>JIMTOF2024 出展ページ</x:v>
      </x:c>
      <x:c r="T297" s="7" t="str">
        <x:v>EEX-EXH-2026-724ec4dafc442c95: https://www.jimtof.org/search/jp/ESdetails?e=CYlrKSmBqPU
該当箇所: 出展紹介・主な出展物。追加カードの原典抜粋で検索
EEX-EXH-2024-5b8ef7edef2e3a9f: https://www.jimtof.org/2024/search/jp/ESdetails?e=su6bJFFHGAk
該当箇所: 出展紹介・主な出展物。追加カードの原典抜粋で検索
EEX-EXH-2024-86ebabfaad40bf26: https://www.jimtof.org/2024/search/jp/ESdetails?e=LeucwRYk1Qg
該当箇所: 出展紹介・主な出展物。追加カードの原典抜粋で検索</x:v>
      </x:c>
    </x:row>
    <x:row r="298" ht="155" customHeight="1">
      <x:c r="A298" s="7" t="str">
        <x:v>検査・診断</x:v>
      </x:c>
      <x:c r="B298" s="7" t="str">
        <x:v>自動計測・測定計画・品質データ</x:v>
      </x:c>
      <x:c r="C298" s="20" t="str">
        <x:v>三鷹光器株式会社</x:v>
      </x:c>
      <x:c r="D298" s="7" t="str">
        <x:v>〇非接触全周三次元測定装置　MLP-3SP</x:v>
      </x:c>
      <x:c r="E298" s="7" t="str">
        <x:v>E7019</x:v>
      </x:c>
      <x:c r="F298" s="7" t="str">
        <x:v>自動計測・測定計画・品質データ</x:v>
      </x:c>
      <x:c r="G298" s="7" t="str">
        <x:v>原典抜粋：・自動測定ソフトウェア：刃先自動検出機能を使い、簡単に高精度測定が可能 / ・外部制御：搬送機と接続し、ワークを自動供給搬出</x:v>
      </x:c>
      <x:c r="H298" s="7" t="str">
        <x:v>測定の段取り・搬送・記録に人手が残り、結果が加工改善につながりにくい。</x:v>
      </x:c>
      <x:c r="I298" s="7" t="str">
        <x:v>2024原典抜粋：測定速度の向上やロボットとの連携、さらに測定支援機能の強化など、測定の自動化をテーマにした展示を行います。また、急成長を遂げている半導体関連分野へのご提案として、ウェハ検査装置をご紹介いたします。 〇新型非接触三次元測定装置 NHs-1515 [New] ・ポイントオートフォーカス法のベストセラー測定機 NHシリーズを改良。 AFモータをDDモータ化、静粛性と速度が向上 測定画面も一新。スムーズな操作性を実現 〇非接触表面性状測定装置 PF-60 ・AI機能、搬送ロボットとの組み合わせ、傷の深さを検出 ・観察用カメ</x:v>
      </x:c>
      <x:c r="J298" s="7" t="str">
        <x:v>2026原典抜粋：・自動測定ソフトウェア：刃先自動検出機能を使い、簡単に高精度測定が可能 / ・外部制御：搬送機と接続し、ワークを自動供給搬出</x:v>
      </x:c>
      <x:c r="K298" s="7" t="str">
        <x:v>原典記述の対照。個別機能の追加・性能差・初登場年は未判定。</x:v>
      </x:c>
      <x:c r="L298" s="7" t="str">
        <x:v>両年説明あり・機能差未判定</x:v>
      </x:c>
      <x:c r="M298" s="7" t="str">
        <x:v>出展説明の一次分類</x:v>
      </x:c>
      <x:c r="N298" s="7" t="str"/>
      <x:c r="O298" s="7" t="str">
        <x:v>承認・例外対応・停止・復帰の境界は未確認</x:v>
      </x:c>
      <x:c r="P298" s="7" t="str">
        <x:v>2026公式カタログ掲載・現地未確認
2026展示予定。既存製品・参考出展・構想等は原典で個別確認</x:v>
      </x:c>
      <x:c r="Q298" s="7" t="str">
        <x:v>AC218</x:v>
      </x:c>
      <x:c t="str" r="R298" s="21">
        <x:f>HYPERLINK("https://www.jimtof.org/search/jp/ESdetails?e=5ypc5wYKnUk","JIMTOF2026 出展ページ")</x:f>
        <x:v>JIMTOF2026 出展ページ</x:v>
      </x:c>
      <x:c t="str" r="S298" s="21">
        <x:f>HYPERLINK("https://www.jimtof.org/2024/search/jp/ESdetails?e=eBI5ClKa4-g","JIMTOF2024 出展ページ")</x:f>
        <x:v>JIMTOF2024 出展ページ</x:v>
      </x:c>
      <x:c r="T298" s="7" t="str">
        <x:v>EEX-EXH-2026-076c9523ffcd57c6: https://www.jimtof.org/search/jp/ESdetails?e=5ypc5wYKnUk
該当箇所: 出展紹介・主な出展物。追加カードの原典抜粋で検索
EEX-EXH-2024-3ff8e089103b63d5: https://www.jimtof.org/2024/search/jp/ESdetails?e=eBI5ClKa4-g
該当箇所: 出展紹介・主な出展物。追加カードの原典抜粋で検索</x:v>
      </x:c>
    </x:row>
    <x:row r="299" ht="155" customHeight="1">
      <x:c r="A299" s="7" t="str">
        <x:v>検査・診断</x:v>
      </x:c>
      <x:c r="B299" s="7" t="str">
        <x:v>自動計測・測定計画・品質データ</x:v>
      </x:c>
      <x:c r="C299" s="20" t="str">
        <x:v>株式会社三井ハイテック</x:v>
      </x:c>
      <x:c r="D299" s="7" t="str">
        <x:v>精密NC研削盤(自動搬送、機上計測）</x:v>
      </x:c>
      <x:c r="E299" s="7" t="str">
        <x:v>E7071</x:v>
      </x:c>
      <x:c r="F299" s="7" t="str">
        <x:v>工場データ・計画・資源の連携 ／ 自動計測・測定計画・品質データ ／ 自動加工セル・工程集約</x:v>
      </x:c>
      <x:c r="G299" s="7" t="str">
        <x:v>原典抜粋：三井ハイテックは、精密加工を実現する小型多機能研削盤と、C&amp;Gシステムズの自動化生産支援システムを連携させたスマート研削加工ソリューションを展示します。 / デジタル技術を活用した作業の標準化、人的ミスの低減、効率的な工程管理により、段取り時間の短縮、品質の安定化、省人化を実現。 / ・精密NC研削盤(自動搬送、機上計測）</x:v>
      </x:c>
      <x:c r="H299" s="7" t="str">
        <x:v>現物・工具マスター・進捗が分断し変更に追従しにくい。 ／ 測定の段取り・搬送・記録に人手が残り、結果が加工改善につながりにくい。 ／ 設備間の持替えや繰返し作業が、人手・待ち時間・品質差につながる。</x:v>
      </x:c>
      <x:c r="I299" s="7" t="str">
        <x:v>2024原典抜粋：三井ハイテックは福岡県北九州市に本社を置く平面研削盤メーカーです。 この度、金型部品の基本となる超精密6面体の仕上げ加工を全自動で行うことができる自動外周6面加工機を新開発し、初めての展示会出展となりました。 本加工機は平面研削盤で加工を行う上で必要となる研削機能、ワーク搬送、ワークセット、測定、加工後の清掃といった全ての要素を人が介入する事無く完全自動で行うことが可能です。 本機は将来危ぶまれている人手不足の解消を目的として開発されており、熟練加工者が持つ研削技能の継承や若手加工者への教育を不要とします。これは金</x:v>
      </x:c>
      <x:c r="J299" s="7" t="str">
        <x:v>2026原典抜粋：三井ハイテックは、精密加工を実現する小型多機能研削盤と、C&amp;Gシステムズの自動化生産支援システムを連携させたスマート研削加工ソリューションを展示します。 / デジタル技術を活用した作業の標準化、人的ミスの低減、効率的な工程管理により、段取り時間の短縮、品質の安定化、省人化を実現。 / ・精密NC研削盤(自動搬送、機上計測）</x:v>
      </x:c>
      <x:c r="K299" s="7" t="str">
        <x:v>原典記述の対照。個別機能の追加・性能差・初登場年は未判定。</x:v>
      </x:c>
      <x:c r="L299" s="7" t="str">
        <x:v>両年説明あり・機能差未判定</x:v>
      </x:c>
      <x:c r="M299" s="7" t="str">
        <x:v>出展説明の一次分類</x:v>
      </x:c>
      <x:c r="N299" s="7" t="str"/>
      <x:c r="O299" s="7" t="str">
        <x:v>承認・例外対応・停止・復帰の境界は未確認</x:v>
      </x:c>
      <x:c r="P299" s="7" t="str">
        <x:v>2026公式カタログ掲載・現地未確認
2026展示予定。既存製品・参考出展・構想等は原典で個別確認</x:v>
      </x:c>
      <x:c r="Q299" s="7" t="str">
        <x:v>AC220</x:v>
      </x:c>
      <x:c t="str" r="R299" s="21">
        <x:f>HYPERLINK("https://www.jimtof.org/search/jp/ESdetails?e=qoCbIK0OzT4","JIMTOF2026 出展ページ")</x:f>
        <x:v>JIMTOF2026 出展ページ</x:v>
      </x:c>
      <x:c t="str" r="S299" s="21">
        <x:f>HYPERLINK("https://www.jimtof.org/2024/search/jp/ESdetails?e=s4tEvaiPXOo","JIMTOF2024 出展ページ")</x:f>
        <x:v>JIMTOF2024 出展ページ</x:v>
      </x:c>
      <x:c r="T299" s="7" t="str">
        <x:v>EEX-EXH-2026-8278ec058d2d2947: https://www.jimtof.org/search/jp/ESdetails?e=qoCbIK0OzT4
該当箇所: 出展紹介・主な出展物。追加カードの原典抜粋で検索
EEX-EXH-2024-02567a674fcc12c9: https://www.jimtof.org/2024/search/jp/ESdetails?e=s4tEvaiPXOo
該当箇所: 出展紹介・主な出展物。追加カードの原典抜粋で検索</x:v>
      </x:c>
    </x:row>
    <x:row r="300" ht="155" customHeight="1">
      <x:c r="A300" s="7" t="str">
        <x:v>検査・診断</x:v>
      </x:c>
      <x:c r="B300" s="7" t="str">
        <x:v>自動計測・測定計画・品質データ</x:v>
      </x:c>
      <x:c r="C300" s="20" t="str">
        <x:v>株式会社山善</x:v>
      </x:c>
      <x:c r="D300" s="7" t="str">
        <x:v>コンパクトマシニングセンタ（ブラザー：SPEEDIO S300Xd2）</x:v>
      </x:c>
      <x:c r="E300" s="7" t="str">
        <x:v>S1056</x:v>
      </x:c>
      <x:c r="F300" s="7" t="str">
        <x:v>加工・計測セルと図面・設備管理</x:v>
      </x:c>
      <x:c r="G300" s="7" t="str">
        <x:v>加工機・協働ロボット・三次元測定機のセルと「ゲンバト」を紹介。</x:v>
      </x:c>
      <x:c r="H300" s="7" t="str">
        <x:v>過去図面と原価を探し、案件ごとに見積を組み立てる負担。 ／ 品種・量の変化に合わせて人の供給往復を減らす。 ／ 測定の段取り・搬送・記録に人手が残り、結果が加工改善につながりにくい。 ／ 図面・工具・品質・工程情報が別々に保存され、再利用しにくい。</x:v>
      </x:c>
      <x:c r="I300" s="7" t="str">
        <x:v>2024原典抜粋：製造『現場と』ともに、「ゲンバト」。 図面管理や不良記録、設備管理など、製造現場のデジタル化をサポートするものづくり企業向け複合型 SaaS プラットフォーム「ゲンバト」を出展致します。 製造業を取り巻く環境は大きく変わり、人手不足、技術（事業）承継、技術開発の停滞、営業力不足など課題は様々です。ゲンバトは、これらの課題を解決する様々なサービスを使いたいものだけ、すぐに始められる、安価なサブスクリプションでご提供します。 サービスの品揃えは、生産性向上、事業機会の創出支援、技術（事業）承継のサポート、ホームページ作</x:v>
      </x:c>
      <x:c r="J300" s="7" t="str">
        <x:v>2026原典抜粋：自動化・省人化をテーマに、コンパクトマシニングセンタ、協働ロボット、現場設置型三次元測定機を融合した自動化セルを実機展示します。 / また、設備管理や図面管理など製造現場のデジタル化を支援する「ゲンバト」も展示します。 / 自動化からデジタル化まで、製造現場の課題解決につながる実践的なソリューションをご覧いただけます。 / 協働ロボット（ファナック：CRX-20iA）</x:v>
      </x:c>
      <x:c r="K300" s="7" t="str">
        <x:v>原典記述の対照。個別機能の追加・性能差・初登場年は未判定。</x:v>
      </x:c>
      <x:c r="L300" s="7" t="str">
        <x:v>両年説明あり・機能差未判定</x:v>
      </x:c>
      <x:c r="M300" s="7" t="str">
        <x:v>出展説明の一次分類</x:v>
      </x:c>
      <x:c r="N300" s="7" t="str">
        <x:v>関連（図面・文書管理）。AI見積の直接事例ではない。</x:v>
      </x:c>
      <x:c r="O300" s="7" t="str">
        <x:v>承認・例外対応・停止・復帰の境界は未確認</x:v>
      </x:c>
      <x:c r="P300" s="7" t="str">
        <x:v>2026公式カタログ掲載・現地未確認
2026展示予定。既存製品・参考出展・構想等は原典で個別確認</x:v>
      </x:c>
      <x:c r="Q300" s="7" t="str">
        <x:v>AC232</x:v>
      </x:c>
      <x:c t="str" r="R300" s="21">
        <x:f>HYPERLINK("https://www.jimtof.org/search/jp/ESdetails?e=KSoLpsGPfRQ","JIMTOF2026 出展ページ")</x:f>
        <x:v>JIMTOF2026 出展ページ</x:v>
      </x:c>
      <x:c t="str" r="S300" s="21">
        <x:f>HYPERLINK("https://www.jimtof.org/2024/search/jp/ESdetails?e=ef8JkkY-hq4","JIMTOF2024 出展ページ")</x:f>
        <x:v>JIMTOF2024 出展ページ</x:v>
      </x:c>
      <x:c r="T300" s="7" t="str">
        <x:v>EEX-EXH-2026-4be1498c7e4dd9c4: https://www.jimtof.org/search/jp/ESdetails?e=KSoLpsGPfRQ
該当箇所: 出展紹介・主な出展物。追加カードの原典抜粋で検索
EEX-EXH-2024-665608a64c76471c: https://www.jimtof.org/2024/search/jp/ESdetails?e=ef8JkkY-hq4
該当箇所: 出展紹介・主な出展物。追加カードの原典抜粋で検索</x:v>
      </x:c>
    </x:row>
    <x:row r="301" ht="155" customHeight="1">
      <x:c r="A301" s="7" t="str">
        <x:v>検査・診断</x:v>
      </x:c>
      <x:c r="B301" s="7" t="str">
        <x:v>自動計測・測定計画・品質データ</x:v>
      </x:c>
      <x:c r="C301" s="20" t="str">
        <x:v>YKT株式会社</x:v>
      </x:c>
      <x:c r="D301" s="7" t="str">
        <x:v>【実機出展】</x:v>
      </x:c>
      <x:c r="E301" s="7" t="str">
        <x:v>E2026</x:v>
      </x:c>
      <x:c r="F301" s="7" t="str">
        <x:v>ワーク・パレット・切粉の搬送 ／ 自動計測・測定計画・品質データ</x:v>
      </x:c>
      <x:c r="G301" s="7" t="str">
        <x:v>原典抜粋：創業102年を迎える当社は、工具研削盤、切削工具表面処理工程の自動化ソリューション、マルチセンサ三次元測定機などを中心に、製造現場の課題解決を支援しています。 / 今回のJIMTOFでは、自動化・測定・データ活用を組み合わせたスマートファクトリを提案し、生産性の向上と持続的な競争力の強化に貢献します。 / ■NAVIEDGE / ナビエッジ 自律搬送ロボット Smart Grasper・Smart 250TRS、自動測定セル Multi</x:v>
      </x:c>
      <x:c r="H301" s="7" t="str">
        <x:v>品種・量の変化に合わせて人の供給往復を減らす。 ／ 測定の段取り・搬送・記録に人手が残り、結果が加工改善につながりにくい。</x:v>
      </x:c>
      <x:c r="I301" s="7" t="str">
        <x:v>2024原典抜粋：今年で創業100年を迎えます当社は、これまで工作機械と測定機で別々のカテゴリーに出展していたブースを一堂にまとめ、過去最大出展小間数60小間で参加いたします。工具研削盤や電解加工機、マルチセンサ三次元測定機を中心に、昨今ますます多様化する現場の課題を解決すべく、今年も最先端のトップ・ニッチ・テクノロジーを皆さまにお届けします。 【本邦初公開】 ■PEMTEC / ペムテック[仏] 省スペース精密電解加工機 PEM3.1 SX *11/7の出展社セミナーにて紹介予定 ■OGP / オージーピー[米] マルチセンサ三次</x:v>
      </x:c>
      <x:c r="J301" s="7" t="str">
        <x:v>2026原典抜粋：創業102年を迎える当社は、工具研削盤、切削工具表面処理工程の自動化ソリューション、マルチセンサ三次元測定機などを中心に、製造現場の課題解決を支援しています。 / 今回のJIMTOFでは、自動化・測定・データ活用を組み合わせたスマートファクトリを提案し、生産性の向上と持続的な競争力の強化に貢献します。 / ■NAVIEDGE / ナビエッジ 自律搬送ロボット Smart Grasper・Smart 250TRS、自動測定セル Multi</x:v>
      </x:c>
      <x:c r="K301" s="7" t="str">
        <x:v>原典記述の対照。個別機能の追加・性能差・初登場年は未判定。</x:v>
      </x:c>
      <x:c r="L301" s="7" t="str">
        <x:v>両年説明あり・機能差未判定</x:v>
      </x:c>
      <x:c r="M301" s="7" t="str">
        <x:v>出展説明の一次分類</x:v>
      </x:c>
      <x:c r="N301" s="7" t="str"/>
      <x:c r="O301" s="7" t="str">
        <x:v>承認・例外対応・停止・復帰の境界は未確認</x:v>
      </x:c>
      <x:c r="P301" s="7" t="str">
        <x:v>2026公式カタログ掲載・現地未確認
2026展示予定。既存製品・参考出展・構想等は原典で個別確認</x:v>
      </x:c>
      <x:c r="Q301" s="7" t="str">
        <x:v>AC246</x:v>
      </x:c>
      <x:c t="str" r="R301" s="21">
        <x:f>HYPERLINK("https://www.jimtof.org/search/jp/ESdetails?e=nYvFR1vpbuE","JIMTOF2026 出展ページ")</x:f>
        <x:v>JIMTOF2026 出展ページ</x:v>
      </x:c>
      <x:c t="str" r="S301" s="21">
        <x:f>HYPERLINK("https://www.jimtof.org/2024/search/jp/ESdetails?e=IFzm2OL8VZo","JIMTOF2024 出展ページ")</x:f>
        <x:v>JIMTOF2024 出展ページ</x:v>
      </x:c>
      <x:c r="T301" s="7" t="str">
        <x:v>EEX-EXH-2026-28ad6ce1ddaebaa7: https://www.jimtof.org/search/jp/ESdetails?e=nYvFR1vpbuE
該当箇所: 出展紹介・主な出展物。追加カードの原典抜粋で検索
EEX-EXH-2024-5c82866e26c8bb9f: https://www.jimtof.org/2024/search/jp/ESdetails?e=IFzm2OL8VZo
該当箇所: 出展紹介・主な出展物。追加カードの原典抜粋で検索</x:v>
      </x:c>
    </x:row>
    <x:row r="302" ht="155" customHeight="1">
      <x:c r="A302" s="7" t="str">
        <x:v>検査・診断</x:v>
      </x:c>
      <x:c r="B302" s="7" t="str">
        <x:v>自動計測・測定計画・品質データ</x:v>
      </x:c>
      <x:c r="C302" s="20" t="str">
        <x:v>Dongguan Dongfangqidu Metrology Co Ltd</x:v>
      </x:c>
      <x:c r="D302" s="7" t="str">
        <x:v>赤外線プローブ DOP40</x:v>
      </x:c>
      <x:c r="E302" s="7" t="str">
        <x:v>E7006</x:v>
      </x:c>
      <x:c r="F302" s="7" t="str">
        <x:v>工具摩耗の判定・交換判断 ／ 自動計測・測定計画・品質データ</x:v>
      </x:c>
      <x:c r="G302" s="7" t="str">
        <x:v>原典抜粋：ワークの位置決め・寸法確認、工具長・工具径測定、工具破損検出など、加工工程内での自動計測に対応。 / 安定した繰返し精度、柔軟なシステム構成、容易な導入を通じて、段取り時間の短縮、加工の安定化、無人運転・自動化をサポートします。</x:v>
      </x:c>
      <x:c r="H302" s="7" t="str">
        <x:v>工具を早く捨てすぎず、欠損や品質悪化を避ける判断。 ／ 測定の段取り・搬送・記録に人手が残り、結果が加工改善につながりにくい。</x:v>
      </x:c>
      <x:c r="I302" s="7" t="str">
        <x:v>同一正規化名称の2024詳細なし。新規出展・技術不存在とは判断しない。</x:v>
      </x:c>
      <x:c r="J302" s="7" t="str">
        <x:v>2026原典抜粋：ワークの位置決め・寸法確認、工具長・工具径測定、工具破損検出など、加工工程内での自動計測に対応。 / 安定した繰返し精度、柔軟なシステム構成、容易な導入を通じて、段取り時間の短縮、加工の安定化、無人運転・自動化をサポートします。</x:v>
      </x:c>
      <x:c r="K302" s="7" t="str">
        <x:v>原典記述の対照。個別機能の追加・性能差・初登場年は未判定。</x:v>
      </x:c>
      <x:c r="L302" s="7" t="str">
        <x:v>年度資料不足・比較不能</x:v>
      </x:c>
      <x:c r="M302" s="7" t="str">
        <x:v>出展説明の一次分類</x:v>
      </x:c>
      <x:c r="N302" s="7" t="str"/>
      <x:c r="O302" s="7" t="str">
        <x:v>承認・例外対応・停止・復帰の境界は未確認</x:v>
      </x:c>
      <x:c r="P302" s="7" t="str">
        <x:v>2026公式カタログ掲載・現地未確認
2026展示予定。既存製品・参考出展・構想等は原典で個別確認</x:v>
      </x:c>
      <x:c r="Q302" s="7" t="str">
        <x:v>AC257</x:v>
      </x:c>
      <x:c t="str" r="R302" s="21">
        <x:f>HYPERLINK("https://www.jimtof.org/search/jp/ESdetails?e=25HOX5M84N0","JIMTOF2026 出展ページ")</x:f>
        <x:v>JIMTOF2026 出展ページ</x:v>
      </x:c>
      <x:c r="S302" s="21" t="str"/>
      <x:c r="T302" s="7" t="str">
        <x:v>EEX-EXH-2026-d39b5dc8b972e1a4: https://www.jimtof.org/search/jp/ESdetails?e=25HOX5M84N0
該当箇所: 出展紹介・主な出展物。追加カードの原典抜粋で検索</x:v>
      </x:c>
    </x:row>
    <x:row r="303" ht="155" customHeight="1">
      <x:c r="A303" s="7" t="str">
        <x:v>検査・診断</x:v>
      </x:c>
      <x:c r="B303" s="7" t="str">
        <x:v>自動計測・測定計画・品質データ</x:v>
      </x:c>
      <x:c r="C303" s="20" t="str">
        <x:v>Quality Vision International Inc</x:v>
      </x:c>
      <x:c r="D303" s="7" t="str">
        <x:v>マルチセンサ三次元測定機 OGP SmartScope SP463/M20/M7/Vantage250/E7</x:v>
      </x:c>
      <x:c r="E303" s="7" t="str">
        <x:v>E2026</x:v>
      </x:c>
      <x:c r="F303" s="7" t="str">
        <x:v>自動計測・測定計画・品質データ ／ 図面・設計データの管理と連携</x:v>
      </x:c>
      <x:c r="G303" s="7" t="str">
        <x:v>原典抜粋：～製造業に変革をもたらす製造工程管理ソリューション～ / 3D CAD・PMI情報を活用し、測定計画から測定結果の解析・可視化、工程管理までをデジタルでつなぐソフトウェアスイートです。 / 測定結果を製造工程へフィードバックすることで、品質向上や工程改善を支援し、MBD/MBEによるデジタルスレッドの構築に貢献します。 / 本展示会では、最新の協働ロボットとの連携デモも実演展示いたします。 / 自動化セル Multi-X / 統合製造工</x:v>
      </x:c>
      <x:c r="H303" s="7" t="str">
        <x:v>測定の段取り・搬送・記録に人手が残り、結果が加工改善につながりにくい。 ／ 図面・工具・品質・工程情報が別々に保存され、再利用しにくい。</x:v>
      </x:c>
      <x:c r="I303" s="7" t="str">
        <x:v>2024原典抜粋：【OGP/オージーピー マルチセンサ三次元測定機 SmartScopeシリーズ】 ～検査現場の最適解となるマルチセンサ三次元測定機～ 高品位な光学系とオプションセンサの組み合わせは、あらゆる測定対象に対応し、測定の効率化と高精度化のメリットをもたらします。本邦初公開モデルも展示します。 【VIEW/ビュー 高速高精度全自動測定機 Pinnacle250】 ～高精度・高速処理を実現するリニアモータ駆動全自動測定機～ 異なる形状、測定数の多いワークの高速測定に最適です。測定対象を選ばない高品位光学系とオプションセンサの</x:v>
      </x:c>
      <x:c r="J303" s="7" t="str">
        <x:v>2026原典抜粋：～製造業に変革をもたらす製造工程管理ソリューション～ / 3D CAD・PMI情報を活用し、測定計画から測定結果の解析・可視化、工程管理までをデジタルでつなぐソフトウェアスイートです。 / 測定結果を製造工程へフィードバックすることで、品質向上や工程改善を支援し、MBD/MBEによるデジタルスレッドの構築に貢献します。 / 本展示会では、最新の協働ロボットとの連携デモも実演展示いたします。 / 自動化セル Multi-X / 統合製造工</x:v>
      </x:c>
      <x:c r="K303" s="7" t="str">
        <x:v>原典記述の対照。個別機能の追加・性能差・初登場年は未判定。</x:v>
      </x:c>
      <x:c r="L303" s="7" t="str">
        <x:v>両年説明あり・機能差未判定</x:v>
      </x:c>
      <x:c r="M303" s="7" t="str">
        <x:v>出展説明の一次分類</x:v>
      </x:c>
      <x:c r="N303" s="7" t="str"/>
      <x:c r="O303" s="7" t="str">
        <x:v>承認・例外対応・停止・復帰の境界は未確認</x:v>
      </x:c>
      <x:c r="P303" s="7" t="str">
        <x:v>2026公式カタログ掲載・現地未確認
2026展示予定。既存製品・参考出展・構想等は原典で個別確認</x:v>
      </x:c>
      <x:c r="Q303" s="7" t="str">
        <x:v>AC279</x:v>
      </x:c>
      <x:c t="str" r="R303" s="21">
        <x:f>HYPERLINK("https://www.jimtof.org/search/jp/ESdetails?e=i-C4iNMNRtM","JIMTOF2026 出展ページ")</x:f>
        <x:v>JIMTOF2026 出展ページ</x:v>
      </x:c>
      <x:c t="str" r="S303" s="21">
        <x:f>HYPERLINK("https://www.jimtof.org/2024/search/jp/ESdetails?e=kPtRFOop9j8","JIMTOF2024 出展ページ")</x:f>
        <x:v>JIMTOF2024 出展ページ</x:v>
      </x:c>
      <x:c r="T303" s="7" t="str">
        <x:v>EEX-EXH-2026-ce095464035fb5f1: https://www.jimtof.org/search/jp/ESdetails?e=i-C4iNMNRtM
該当箇所: 出展紹介・主な出展物。追加カードの原典抜粋で検索
EEX-EXH-2024-97a85a0c47b2a7d6: https://www.jimtof.org/2024/search/jp/ESdetails?e=kPtRFOop9j8
該当箇所: 出展紹介・主な出展物。追加カードの原典抜粋で検索</x:v>
      </x:c>
    </x:row>
    <x:row r="304" ht="155" customHeight="1">
      <x:c r="A304" s="7" t="str">
        <x:v>検査・診断</x:v>
      </x:c>
      <x:c r="B304" s="7" t="str">
        <x:v>自動計測・測定計画・品質データ</x:v>
      </x:c>
      <x:c r="C304" s="20" t="str">
        <x:v>Röders GmbH</x:v>
      </x:c>
      <x:c r="D304" s="7" t="str">
        <x:v>ドイツ レダース社製ハイスピードミリング・グラインディングセンタ RXP601DS</x:v>
      </x:c>
      <x:c r="E304" s="7" t="str">
        <x:v>E3014</x:v>
      </x:c>
      <x:c r="F304" s="7" t="str">
        <x:v>自動計測・測定計画・品質データ ／ 自動加工セル・工程集約</x:v>
      </x:c>
      <x:c r="G304" s="7" t="str">
        <x:v>原典抜粋：レダース社のハイスピードミリング・グラインディングセンタは、全軸リニアモーター＋ダイレクトドライブによる遊びのない高速・高精度な加工が特長です。 / 制御装置は自社製で、他社のコントローラーにはない処理速度0.1ms、先読みブロック10000ブロックにより高加速や高減速を可能にし、加工スピードを落とすことなく（プログラム待ち）加工が行えます。 / また、ハイスピードミリング加工後にジグ研削、機上測定をワンチャックで行えるため「加工時間短</x:v>
      </x:c>
      <x:c r="H304" s="7" t="str">
        <x:v>測定の段取り・搬送・記録に人手が残り、結果が加工改善につながりにくい。 ／ 設備間の持替えや繰返し作業が、人手・待ち時間・品質差につながる。</x:v>
      </x:c>
      <x:c r="I304" s="7" t="str">
        <x:v>同一正規化名称の2024詳細なし。新規出展・技術不存在とは判断しない。</x:v>
      </x:c>
      <x:c r="J304" s="7" t="str">
        <x:v>2026原典抜粋：レダース社のハイスピードミリング・グラインディングセンタは、全軸リニアモーター＋ダイレクトドライブによる遊びのない高速・高精度な加工が特長です。 / 制御装置は自社製で、他社のコントローラーにはない処理速度0.1ms、先読みブロック10000ブロックにより高加速や高減速を可能にし、加工スピードを落とすことなく（プログラム待ち）加工が行えます。 / また、ハイスピードミリング加工後にジグ研削、機上測定をワンチャックで行えるため「加工時間短</x:v>
      </x:c>
      <x:c r="K304" s="7" t="str">
        <x:v>原典記述の対照。個別機能の追加・性能差・初登場年は未判定。</x:v>
      </x:c>
      <x:c r="L304" s="7" t="str">
        <x:v>年度資料不足・比較不能</x:v>
      </x:c>
      <x:c r="M304" s="7" t="str">
        <x:v>出展説明の一次分類</x:v>
      </x:c>
      <x:c r="N304" s="7" t="str"/>
      <x:c r="O304" s="7" t="str">
        <x:v>承認・例外対応・停止・復帰の境界は未確認</x:v>
      </x:c>
      <x:c r="P304" s="7" t="str">
        <x:v>2026公式カタログ掲載・現地未確認
2026展示予定。既存製品・参考出展・構想等は原典で個別確認</x:v>
      </x:c>
      <x:c r="Q304" s="7" t="str">
        <x:v>AC280</x:v>
      </x:c>
      <x:c t="str" r="R304" s="21">
        <x:f>HYPERLINK("https://www.jimtof.org/search/jp/ESdetails?e=ZjA8l9ImAE8","JIMTOF2026 出展ページ")</x:f>
        <x:v>JIMTOF2026 出展ページ</x:v>
      </x:c>
      <x:c r="S304" s="21" t="str"/>
      <x:c r="T304" s="7" t="str">
        <x:v>EEX-EXH-2026-8dbb00228000aa6c: https://www.jimtof.org/search/jp/ESdetails?e=ZjA8l9ImAE8
該当箇所: 出展紹介・主な出展物。追加カードの原典抜粋で検索</x:v>
      </x:c>
    </x:row>
    <x:row r="305" ht="155" customHeight="1">
      <x:c r="A305" s="7" t="str">
        <x:v>検査・診断</x:v>
      </x:c>
      <x:c r="B305" s="7" t="str">
        <x:v>自動計測・測定計画・品質データ</x:v>
      </x:c>
      <x:c r="C305" s="20" t="str">
        <x:v>WYLER AG</x:v>
      </x:c>
      <x:c r="D305" s="7" t="str">
        <x:v>精密デジタル水準器 BlueLEVEL・BlueLEVEL 2D</x:v>
      </x:c>
      <x:c r="E305" s="7" t="str">
        <x:v>E2026</x:v>
      </x:c>
      <x:c r="F305" s="7" t="str">
        <x:v>自動計測・測定計画・品質データ</x:v>
      </x:c>
      <x:c r="G305" s="7" t="str">
        <x:v>原典抜粋：【ワイラー デジタル水準器】 / ～耐衝撃性に優れた精密デジタル水準器とワイヤレスデータ通信で精密測定をサポート～ / 耐衝撃性に優れた独自のセンサと、温度自動補正機能による信頼性の高い測定結果が、市場で高く評価されています。 / 精密デジタル水準器 BlueLEVEL・BlueLEVEL 2D / デジタル角度センサ ZEROTRONIC / データ転送機能付き角形デジタル水準器 WylerCLINO Frame 60・Clinotr</x:v>
      </x:c>
      <x:c r="H305" s="7" t="str">
        <x:v>測定の段取り・搬送・記録に人手が残り、結果が加工改善につながりにくい。</x:v>
      </x:c>
      <x:c r="I305" s="7" t="str">
        <x:v>2024原典抜粋：【ワイラー デジタル水準器】 ～耐衝撃性に優れた精密デジタル水準器とワイヤレスデータ通信で精密測定をサポート～ 90年以上にわたり角度測定を追求してきたスイス・ワイラー社。耐衝撃性に優れた独自のセンサと、温度自動補正機能による信頼性の高い測定結果が、市場で高く評価されています。 精密デジタル水準器 BlueLEVEL データ転送機能付き角形デジタル水準器 Clinotronic S 角形デジタル水準器 Clinotronic PLUS</x:v>
      </x:c>
      <x:c r="J305" s="7" t="str">
        <x:v>2026原典抜粋：【ワイラー デジタル水準器】 / ～耐衝撃性に優れた精密デジタル水準器とワイヤレスデータ通信で精密測定をサポート～ / 耐衝撃性に優れた独自のセンサと、温度自動補正機能による信頼性の高い測定結果が、市場で高く評価されています。 / 精密デジタル水準器 BlueLEVEL・BlueLEVEL 2D / デジタル角度センサ ZEROTRONIC / データ転送機能付き角形デジタル水準器 WylerCLINO Frame 60・Clinotr</x:v>
      </x:c>
      <x:c r="K305" s="7" t="str">
        <x:v>原典記述の対照。個別機能の追加・性能差・初登場年は未判定。</x:v>
      </x:c>
      <x:c r="L305" s="7" t="str">
        <x:v>両年説明あり・機能差未判定</x:v>
      </x:c>
      <x:c r="M305" s="7" t="str">
        <x:v>出展説明の一次分類</x:v>
      </x:c>
      <x:c r="N305" s="7" t="str"/>
      <x:c r="O305" s="7" t="str">
        <x:v>承認・例外対応・停止・復帰の境界は未確認</x:v>
      </x:c>
      <x:c r="P305" s="7" t="str">
        <x:v>2026公式カタログ掲載・現地未確認
2026展示予定。既存製品・参考出展・構想等は原典で個別確認</x:v>
      </x:c>
      <x:c r="Q305" s="7" t="str">
        <x:v>AC297</x:v>
      </x:c>
      <x:c t="str" r="R305" s="21">
        <x:f>HYPERLINK("https://www.jimtof.org/search/jp/ESdetails?e=skJOsZ3QJkQ","JIMTOF2026 出展ページ")</x:f>
        <x:v>JIMTOF2026 出展ページ</x:v>
      </x:c>
      <x:c t="str" r="S305" s="21">
        <x:f>HYPERLINK("https://www.jimtof.org/2024/search/jp/ESdetails?e=RFknA09J764","JIMTOF2024 出展ページ")</x:f>
        <x:v>JIMTOF2024 出展ページ</x:v>
      </x:c>
      <x:c r="T305" s="7" t="str">
        <x:v>EEX-EXH-2026-8b48ce9818506160: https://www.jimtof.org/search/jp/ESdetails?e=skJOsZ3QJkQ
該当箇所: 出展紹介・主な出展物。追加カードの原典抜粋で検索
EEX-EXH-2024-c9c19c9e4ad47c0f: https://www.jimtof.org/2024/search/jp/ESdetails?e=RFknA09J764
該当箇所: 出展紹介・主な出展物。追加カードの原典抜粋で検索</x:v>
      </x:c>
    </x:row>
    <x:row r="306" ht="155" customHeight="1">
      <x:c r="A306" s="7" t="str">
        <x:v>検査・診断</x:v>
      </x:c>
      <x:c r="B306" s="7" t="str">
        <x:v>自動計測・測定計画・品質データ</x:v>
      </x:c>
      <x:c r="C306" s="20" t="str">
        <x:v>シーメンス株式会社</x:v>
      </x:c>
      <x:c r="D306" s="7" t="str">
        <x:v>NX CAM／NX CMM</x:v>
      </x:c>
      <x:c r="E306" s="7" t="str">
        <x:v>E3006</x:v>
      </x:c>
      <x:c r="F306" s="7" t="str">
        <x:v>加工と測定のプログラムを準備する</x:v>
      </x:c>
      <x:c r="G306" s="7" t="str">
        <x:v>2026公式の主な出展物にNX CAMとNX CMMを掲載。工作機械ツインや人型ロボットとは別の展示アイテム。各ソフトの生成AI機能・2024との機能差は未精査。</x:v>
      </x:c>
      <x:c r="H306" s="7" t="str">
        <x:v>工具・機械・段取り制約を織り込む工程作成の技能依存。 ／ 測定の段取り・搬送・記録に人手が残り、結果が加工改善につながりにくい。</x:v>
      </x:c>
      <x:c r="I306" s="7" t="str">
        <x:v>この展示アイテムの2024掲載内容・機能差は未精査。同社の他製品の差分を流用しない。</x:v>
      </x:c>
      <x:c r="J306" s="7" t="str">
        <x:v>2026公式の主な出展物にNX CAMとNX CMMを掲載。工作機械ツインや人型ロボットとは別の展示アイテム。各ソフトの生成AI機能・2024との機能差は未精査。</x:v>
      </x:c>
      <x:c r="K306" s="7" t="str">
        <x:v>2026出展説明で当該アイテムを確認。2024との個別機能比較は保留。</x:v>
      </x:c>
      <x:c r="L306" s="7" t="str">
        <x:v>両年説明あり・機能差未判定</x:v>
      </x:c>
      <x:c r="M306" s="7" t="str">
        <x:v>出展説明の一次分類</x:v>
      </x:c>
      <x:c r="N306" s="7" t="str"/>
      <x:c r="O306" s="7" t="str">
        <x:v>作成条件、修正・採用判断、実行前の確認範囲は未精査。</x:v>
      </x:c>
      <x:c r="P306" s="7" t="str">
        <x:v>2026公式カタログ掲載・現地未確認
2026展示予定。既存製品・参考出展・構想等は原典で個別確認</x:v>
      </x:c>
      <x:c r="Q306" s="7" t="str">
        <x:v>SUB003</x:v>
      </x:c>
      <x:c t="str" r="R306" s="21">
        <x:f>HYPERLINK("https://www.jimtof.org/search/jp/ESdetails?e=EBIotJu7lrg","JIMTOF2026 出展ページ")</x:f>
        <x:v>JIMTOF2026 出展ページ</x:v>
      </x:c>
      <x:c t="str" r="S306" s="21">
        <x:f>HYPERLINK("https://www.jimtof.org/2024/search/jp/ESdetails?e=nYvFR1vpbuE","JIMTOF2024 出展ページ")</x:f>
        <x:v>JIMTOF2024 出展ページ</x:v>
      </x:c>
      <x:c r="T306" s="7" t="str">
        <x:v>EEX-EXH-2026-9b991dd8132f51dc: https://www.jimtof.org/search/jp/ESdetails?e=EBIotJu7lrg
該当箇所: 出展紹介・主な出展物。追加カードの原典抜粋で検索
EEX-EXH-2024-558faea07a73f5d8: https://www.jimtof.org/2024/search/jp/ESdetails?e=nYvFR1vpbuE
該当箇所: 出展紹介・主な出展物。追加カードの原典抜粋で検索
EDP-16: https://references.siemens.com/en/reference/heller-tokn-digital-twin?id=41137
該当箇所: Completion: 2024／仮想SINUMERIK ONEと3D機械モデルによる訓練
EDP-17: https://press.siemens.com/jp/ja/pressrelease/pr-20260416
該当箇所: HMND 01 Alphaのトート把持・搬送・配置／Jetson Thor・Isaac Sim/Lab</x:v>
      </x:c>
    </x:row>
    <x:row r="307" ht="155" customHeight="1">
      <x:c r="A307" s="7" t="str">
        <x:v>段取り・物理作業</x:v>
      </x:c>
      <x:c r="B307" s="7" t="str">
        <x:v>クーラント・潤滑・清掃の省人化</x:v>
      </x:c>
      <x:c r="C307" s="20" t="str">
        <x:v>エヌティーツール</x:v>
      </x:c>
      <x:c r="D307" s="7" t="str">
        <x:v>BoostMaster</x:v>
      </x:c>
      <x:c r="E307" s="7" t="str">
        <x:v>W2019</x:v>
      </x:c>
      <x:c r="F307" s="7" t="str">
        <x:v>切粉処理</x:v>
      </x:c>
      <x:c r="G307" s="7" t="str">
        <x:v>回転で増圧して切屑の排出・洗浄に利用</x:v>
      </x:c>
      <x:c r="H307" s="7" t="str">
        <x:v>切粉の蓄積・絡まりにより自動加工が停止し、人が除去する負担</x:v>
      </x:c>
      <x:c r="I307" s="7" t="str">
        <x:v>最大15MPaの高圧洗浄方式を既に説明</x:v>
      </x:c>
      <x:c r="J307" s="7" t="str">
        <x:v>BoostMasterとして切屑処理の自動化を説明</x:v>
      </x:c>
      <x:c r="K307" s="7" t="str">
        <x:v>出展説明・公式資料の記載比較。初発明年・実演成功・性能向上を証明するものではない。</x:v>
      </x:c>
      <x:c r="L307" s="7" t="str">
        <x:v>比較記録あり</x:v>
      </x:c>
      <x:c r="M307" s="7" t="str">
        <x:v>個別タスク整理</x:v>
      </x:c>
      <x:c r="N307" s="7" t="str"/>
      <x:c r="O307" s="7" t="str">
        <x:v>絡まりを認識して除去するAI方式との効果比較は未実施</x:v>
      </x:c>
      <x:c r="P307" s="7" t="str">
        <x:v>JIMTOF2026公式カタログ掲載・現地未確認
2026展示予定・提供段階未確認</x:v>
      </x:c>
      <x:c r="Q307" s="7" t="str">
        <x:v>FC045</x:v>
      </x:c>
      <x:c t="str" r="R307" s="21">
        <x:f>HYPERLINK("https://www.jimtof.org/search/jp/ESdetails?e=iW3vesxy4DU","JIMTOF2026 出展ページ")</x:f>
        <x:v>JIMTOF2026 出展ページ</x:v>
      </x:c>
      <x:c t="str" r="S307" s="21">
        <x:f>HYPERLINK("https://www.jimtof.org/2024/search/jp/ESdetails?e=pYGmVz5GC1c","JIMTOF2024 出展ページ")</x:f>
        <x:v>JIMTOF2024 出展ページ</x:v>
      </x:c>
      <x:c r="T307" s="7" t="str">
        <x:v>EOV-V026-2024-1: https://www.jimtof.org/2024/search/jp/ESdetails?e=pYGmVz5GC1c
該当箇所: main &gt; div.col-md-8.mb-5 の出展紹介、見出し「主な出展物」直後
EOV-V026-2026-1: https://www.jimtof.org/search/jp/ESdetails?e=iW3vesxy4DU
該当箇所: main &gt; div.col-md-8.mb-5 の出展紹介、見出し「主な出展物」直後</x:v>
      </x:c>
    </x:row>
    <x:row r="308" ht="155" customHeight="1">
      <x:c r="A308" s="7" t="str">
        <x:v>段取り・物理作業</x:v>
      </x:c>
      <x:c r="B308" s="7" t="str">
        <x:v>クーラント・潤滑・清掃の省人化</x:v>
      </x:c>
      <x:c r="C308" s="20" t="str">
        <x:v>日本エスケイエフ</x:v>
      </x:c>
      <x:c r="D308" s="7" t="str">
        <x:v>Adaptive Lubrication／主軸監視</x:v>
      </x:c>
      <x:c r="E308" s="7" t="str">
        <x:v>S3031</x:v>
      </x:c>
      <x:c r="F308" s="7" t="str">
        <x:v>潤滑・主軸状態管理</x:v>
      </x:c>
      <x:c r="G308" s="7" t="str">
        <x:v>適応潤滑と監視・主軸構成を紹介</x:v>
      </x:c>
      <x:c r="H308" s="7" t="str">
        <x:v>主軸の信頼性維持と潤滑・監視に伴う運用負荷</x:v>
      </x:c>
      <x:c r="I308" s="7" t="str">
        <x:v>監視・潤滑を掲載</x:v>
      </x:c>
      <x:c r="J308" s="7" t="str">
        <x:v>Adaptive Lubrication等を具体掲載</x:v>
      </x:c>
      <x:c r="K308" s="7" t="str">
        <x:v>出展説明・公式資料の記載比較。初発明年・実演成功・性能向上を証明するものではない。</x:v>
      </x:c>
      <x:c r="L308" s="7" t="str">
        <x:v>比較記録あり</x:v>
      </x:c>
      <x:c r="M308" s="7" t="str">
        <x:v>個別タスク整理</x:v>
      </x:c>
      <x:c r="N308" s="7" t="str"/>
      <x:c r="O308" s="7" t="str">
        <x:v>自動調整の条件・AI使用・効果実測は未確認</x:v>
      </x:c>
      <x:c r="P308" s="7" t="str">
        <x:v>JIMTOF2026公式カタログ掲載・現地未確認
2026展示予定・提供段階未確認</x:v>
      </x:c>
      <x:c r="Q308" s="7" t="str">
        <x:v>FC053</x:v>
      </x:c>
      <x:c t="str" r="R308" s="21">
        <x:f>HYPERLINK("https://www.jimtof.org/search/jp/ESdetails?e=h22pEjdpmdU","JIMTOF2026 出展ページ")</x:f>
        <x:v>JIMTOF2026 出展ページ</x:v>
      </x:c>
      <x:c t="str" r="S308" s="21">
        <x:f>HYPERLINK("https://www.jimtof.org/2024/search/jp/ESdetails?e=_wNjhm1EAFE","JIMTOF2024 出展ページ")</x:f>
        <x:v>JIMTOF2024 出展ページ</x:v>
      </x:c>
      <x:c r="T308" s="7" t="str">
        <x:v>EOV-V033-2024-1: https://www.jimtof.org/2024/search/jp/ESdetails?e=_wNjhm1EAFE
該当箇所: main &gt; div.col-md-8.mb-5 の出展紹介、見出し「主な出展物」直後
EOV-V033-2026-1: https://www.jimtof.org/search/jp/ESdetails?e=h22pEjdpmdU
該当箇所: main &gt; div.col-md-8.mb-5 の出展紹介、見出し「主な出展物」直後</x:v>
      </x:c>
    </x:row>
    <x:row r="309" ht="155" customHeight="1">
      <x:c r="A309" s="7" t="str">
        <x:v>段取り・物理作業</x:v>
      </x:c>
      <x:c r="B309" s="7" t="str">
        <x:v>クーラント・潤滑・清掃の省人化</x:v>
      </x:c>
      <x:c r="C309" s="20" t="str">
        <x:v>株式会社IZUSHI</x:v>
      </x:c>
      <x:c r="D309" s="7" t="str">
        <x:v>テクノマーク 産業用刻印機</x:v>
      </x:c>
      <x:c r="E309" s="7" t="str">
        <x:v>W1087</x:v>
      </x:c>
      <x:c r="F309" s="7" t="str">
        <x:v>認識を伴うピック・付帯加工・除去 ／ クーラント・潤滑・清掃の省人化</x:v>
      </x:c>
      <x:c r="G309" s="7" t="str">
        <x:v>原典抜粋：FORMHANDの汎用ロボットハンドは、パッド内の顆粒がワークの形状に追従するため、多品種を一つのハンドで扱えます。 / クーラントは、水圧だけで希釈する自動希釈装置IDE-CK1と、劣化を抑えるナノブースターをご用意しました。 / 小型自動旋盤向けのDECOFLEXもご用意。 / ■FORMHAND 汎用ロボットハンド / ・クーラント自動希釈装置 IDE-CK1：水圧だけで0〜35%の任意濃度に希釈。 / ・ALジェットクリーナー：</x:v>
      </x:c>
      <x:c r="H309" s="7" t="str">
        <x:v>形状や絡まりが変わる物理作業に固定手順で対応しにくい。 ／ 補充・濃度管理・切粉処理などの保守作業で運転が途切れる。</x:v>
      </x:c>
      <x:c r="I309" s="7" t="str">
        <x:v>2024原典抜粋：IZUSHIは機械工具の専門商社です。お客さまの生産に最適な製品と技術を提案し、時には社内設備を使ったテスト加工や加工条件の見直し等の改善活動を通して、最終的にお客様の生産性向上と環境負荷低減に貢献できるような取り組みを行っております。 弊社のブースでは、フランス製刻印機「テクノマーク」の ワイヤレス仕様の打刻式刻印機「コネクトシリーズ」、レーザー刻印機「Graphix e-series」や、ドイツ製フレキシブルロボットハンド「FORMAND」 同じくドイツ製の表面処理工具メーカー「ECOROLL」、冷却潤滑テクノ</x:v>
      </x:c>
      <x:c r="J309" s="7" t="str">
        <x:v>2026原典抜粋：FORMHANDの汎用ロボットハンドは、パッド内の顆粒がワークの形状に追従するため、多品種を一つのハンドで扱えます。 / クーラントは、水圧だけで希釈する自動希釈装置IDE-CK1と、劣化を抑えるナノブースターをご用意しました。 / 小型自動旋盤向けのDECOFLEXもご用意。 / ■FORMHAND 汎用ロボットハンド / ・クーラント自動希釈装置 IDE-CK1：水圧だけで0〜35%の任意濃度に希釈。 / ・ALジェットクリーナー：</x:v>
      </x:c>
      <x:c r="K309" s="7" t="str">
        <x:v>原典記述の対照。個別機能の追加・性能差・初登場年は未判定。</x:v>
      </x:c>
      <x:c r="L309" s="7" t="str">
        <x:v>両年説明あり・機能差未判定</x:v>
      </x:c>
      <x:c r="M309" s="7" t="str">
        <x:v>出展説明の一次分類</x:v>
      </x:c>
      <x:c r="N309" s="7" t="str"/>
      <x:c r="O309" s="7" t="str">
        <x:v>承認・例外対応・停止・復帰の境界は未確認</x:v>
      </x:c>
      <x:c r="P309" s="7" t="str">
        <x:v>2026公式カタログ掲載・現地未確認
2026展示予定。既存製品・参考出展・構想等は原典で個別確認</x:v>
      </x:c>
      <x:c r="Q309" s="7" t="str">
        <x:v>AC016</x:v>
      </x:c>
      <x:c t="str" r="R309" s="21">
        <x:f>HYPERLINK("https://www.jimtof.org/search/jp/ESdetails?e=XQSp36eC9AA","JIMTOF2026 出展ページ")</x:f>
        <x:v>JIMTOF2026 出展ページ</x:v>
      </x:c>
      <x:c t="str" r="S309" s="21">
        <x:f>HYPERLINK("https://www.jimtof.org/2024/search/jp/ESdetails?e=SdgtqHZPhzY","JIMTOF2024 出展ページ")</x:f>
        <x:v>JIMTOF2024 出展ページ</x:v>
      </x:c>
      <x:c r="T309" s="7" t="str">
        <x:v>EEX-EXH-2026-dcc361015ad89157: https://www.jimtof.org/search/jp/ESdetails?e=XQSp36eC9AA
該当箇所: 出展紹介・主な出展物。追加カードの原典抜粋で検索
EEX-EXH-2024-c55255b95f92be64: https://www.jimtof.org/2024/search/jp/ESdetails?e=SdgtqHZPhzY
該当箇所: 出展紹介・主な出展物。追加カードの原典抜粋で検索</x:v>
      </x:c>
    </x:row>
    <x:row r="310" ht="155" customHeight="1">
      <x:c r="A310" s="7" t="str">
        <x:v>段取り・物理作業</x:v>
      </x:c>
      <x:c r="B310" s="7" t="str">
        <x:v>クーラント・潤滑・清掃の省人化</x:v>
      </x:c>
      <x:c r="C310" s="20" t="str">
        <x:v>岩本工業株式会社</x:v>
      </x:c>
      <x:c r="D310" s="7" t="str">
        <x:v>切削液自動希釈、供給装置　クーラントサーバー　楽～ラントICS-3200</x:v>
      </x:c>
      <x:c r="E310" s="7" t="str">
        <x:v>S4043</x:v>
      </x:c>
      <x:c r="F310" s="7" t="str">
        <x:v>クーラント・潤滑・清掃の省人化</x:v>
      </x:c>
      <x:c r="G310" s="7" t="str">
        <x:v>原典抜粋：金属加工で使用する水溶性切削液の自動希釈、自動供給のご提案。 / 切削液自動希釈、供給装置　クーラントサーバー　楽～ラントICS-3200 / 楽～ラントは金属加工で使用する水溶性切削液の手作業による補充作業（計量→希釈→機械への運搬→供給）を自動化する装置です。 / 配管をすれば自動化が可能なので、自動化のハードルが一段下がった装置といえます。</x:v>
      </x:c>
      <x:c r="H310" s="7" t="str">
        <x:v>補充・濃度管理・切粉処理などの保守作業で運転が途切れる。</x:v>
      </x:c>
      <x:c r="I310" s="7" t="str">
        <x:v>2024原典抜粋：楽～ラントICS-3200は、金属加工で使用する水溶性切削液の手作業による補充作業 （計量→希釈→機械への運搬→供給）を完全自動化する装置です。 AC100Vで稼働出来て、水道法にも適合しているので大企業のみならず、中小企業にも適した装置となっています。 昨今、工場内の自動化が求められている中で、配管のみ施工すれば、切削液希釈、補充に関しては自動化が出来て、改善効果が簡単に出せる事から、リピートの採用率も高い製品です。 弊社の本業は金属加工業で、社内改善活動から生まれた製品です。 クーラントサーバー 楽～ラントIC</x:v>
      </x:c>
      <x:c r="J310" s="7" t="str">
        <x:v>2026原典抜粋：金属加工で使用する水溶性切削液の自動希釈、自動供給のご提案。 / 切削液自動希釈、供給装置　クーラントサーバー　楽～ラントICS-3200 / 楽～ラントは金属加工で使用する水溶性切削液の手作業による補充作業（計量→希釈→機械への運搬→供給）を自動化する装置です。 / 配管をすれば自動化が可能なので、自動化のハードルが一段下がった装置といえます。</x:v>
      </x:c>
      <x:c r="K310" s="7" t="str">
        <x:v>原典記述の対照。個別機能の追加・性能差・初登場年は未判定。</x:v>
      </x:c>
      <x:c r="L310" s="7" t="str">
        <x:v>両年説明あり・機能差未判定</x:v>
      </x:c>
      <x:c r="M310" s="7" t="str">
        <x:v>出展説明の一次分類</x:v>
      </x:c>
      <x:c r="N310" s="7" t="str"/>
      <x:c r="O310" s="7" t="str">
        <x:v>承認・例外対応・停止・復帰の境界は未確認</x:v>
      </x:c>
      <x:c r="P310" s="7" t="str">
        <x:v>2026公式カタログ掲載・現地未確認
2026展示予定。既存製品・参考出展・構想等は原典で個別確認</x:v>
      </x:c>
      <x:c r="Q310" s="7" t="str">
        <x:v>AC023</x:v>
      </x:c>
      <x:c t="str" r="R310" s="21">
        <x:f>HYPERLINK("https://www.jimtof.org/search/jp/ESdetails?e=pOe5ZdiBMpc","JIMTOF2026 出展ページ")</x:f>
        <x:v>JIMTOF2026 出展ページ</x:v>
      </x:c>
      <x:c t="str" r="S310" s="21">
        <x:f>HYPERLINK("https://www.jimtof.org/2024/search/jp/ESdetails?e=v00WGZTd5xw","JIMTOF2024 出展ページ")</x:f>
        <x:v>JIMTOF2024 出展ページ</x:v>
      </x:c>
      <x:c r="T310" s="7" t="str">
        <x:v>EEX-EXH-2026-f1109e3463dd2ac3: https://www.jimtof.org/search/jp/ESdetails?e=pOe5ZdiBMpc
該当箇所: 出展紹介・主な出展物。追加カードの原典抜粋で検索
EEX-EXH-2024-ef2b91c5930ef5ca: https://www.jimtof.org/2024/search/jp/ESdetails?e=v00WGZTd5xw
該当箇所: 出展紹介・主な出展物。追加カードの原典抜粋で検索</x:v>
      </x:c>
    </x:row>
    <x:row r="311" ht="155" customHeight="1">
      <x:c r="A311" s="7" t="str">
        <x:v>段取り・物理作業</x:v>
      </x:c>
      <x:c r="B311" s="7" t="str">
        <x:v>クーラント・潤滑・清掃の省人化</x:v>
      </x:c>
      <x:c r="C311" s="20" t="str">
        <x:v>キソー株式会社</x:v>
      </x:c>
      <x:c r="D311" s="7" t="str">
        <x:v>ミストコレクター,オイルスキマー,自動洗浄機,簡易部品洗浄機</x:v>
      </x:c>
      <x:c r="E311" s="7" t="str">
        <x:v>S3092</x:v>
      </x:c>
      <x:c r="F311" s="7" t="str">
        <x:v>クーラント・潤滑・清掃の省人化</x:v>
      </x:c>
      <x:c r="G311" s="7" t="str">
        <x:v>原典抜粋：工作機械から発生したミストを回収するミストコレクター、悪臭発生の原因となるクーラントタンクの浮上油を回収するベルト式オイルスキマー、水溶性洗剤を使用する自動洗浄機、エアーの力で水を噴射する / ミストコレクター,オイルスキマー,自動洗浄機,簡易部品洗浄機</x:v>
      </x:c>
      <x:c r="H311" s="7" t="str">
        <x:v>補充・濃度管理・切粉処理などの保守作業で運転が途切れる。</x:v>
      </x:c>
      <x:c r="I311" s="7" t="str">
        <x:v>2024原典抜粋：工作機械から発生したミストを回収するミストコレクター、悪臭発生の原因となるクーラントタンクの浮上油を回収するベルト式オイルスキマー、水溶性洗剤を使用する自動洗浄機、エアーの力で水を噴射する電源不要の簡易部品洗浄機などを出展し、お客様の工場の改善・省力化を強力にサポートする機器を紹介致します。 自動洗浄機、簡易部品洗浄機、ミストコレクター、オイルスキマー</x:v>
      </x:c>
      <x:c r="J311" s="7" t="str">
        <x:v>2026原典抜粋：工作機械から発生したミストを回収するミストコレクター、悪臭発生の原因となるクーラントタンクの浮上油を回収するベルト式オイルスキマー、水溶性洗剤を使用する自動洗浄機、エアーの力で水を噴射する / ミストコレクター,オイルスキマー,自動洗浄機,簡易部品洗浄機</x:v>
      </x:c>
      <x:c r="K311" s="7" t="str">
        <x:v>原典記述の対照。個別機能の追加・性能差・初登場年は未判定。</x:v>
      </x:c>
      <x:c r="L311" s="7" t="str">
        <x:v>両年説明あり・機能差未判定</x:v>
      </x:c>
      <x:c r="M311" s="7" t="str">
        <x:v>出展説明の一次分類</x:v>
      </x:c>
      <x:c r="N311" s="7" t="str"/>
      <x:c r="O311" s="7" t="str">
        <x:v>承認・例外対応・停止・復帰の境界は未確認</x:v>
      </x:c>
      <x:c r="P311" s="7" t="str">
        <x:v>2026公式カタログ掲載・現地未確認
2026展示予定。既存製品・参考出展・構想等は原典で個別確認</x:v>
      </x:c>
      <x:c r="Q311" s="7" t="str">
        <x:v>AC056</x:v>
      </x:c>
      <x:c t="str" r="R311" s="21">
        <x:f>HYPERLINK("https://www.jimtof.org/search/jp/ESdetails?e=q16UKMJlnLI","JIMTOF2026 出展ページ")</x:f>
        <x:v>JIMTOF2026 出展ページ</x:v>
      </x:c>
      <x:c t="str" r="S311" s="21">
        <x:f>HYPERLINK("https://www.jimtof.org/2024/search/jp/ESdetails?e=Dx3Sm9DUyyA","JIMTOF2024 出展ページ")</x:f>
        <x:v>JIMTOF2024 出展ページ</x:v>
      </x:c>
      <x:c r="T311" s="7" t="str">
        <x:v>EEX-EXH-2026-4064c0e9220721ee: https://www.jimtof.org/search/jp/ESdetails?e=q16UKMJlnLI
該当箇所: 出展紹介・主な出展物。追加カードの原典抜粋で検索
EEX-EXH-2024-b944b1ce5739c1c2: https://www.jimtof.org/2024/search/jp/ESdetails?e=Dx3Sm9DUyyA
該当箇所: 出展紹介・主な出展物。追加カードの原典抜粋で検索</x:v>
      </x:c>
    </x:row>
    <x:row r="312" ht="155" customHeight="1">
      <x:c r="A312" s="7" t="str">
        <x:v>段取り・物理作業</x:v>
      </x:c>
      <x:c r="B312" s="7" t="str">
        <x:v>クーラント・潤滑・清掃の省人化</x:v>
      </x:c>
      <x:c r="C312" s="20" t="str">
        <x:v>住友精密工業株式会社</x:v>
      </x:c>
      <x:c r="D312" s="7" t="str">
        <x:v>クーラントポンプ構造部品及び製品ラインナップ紹介</x:v>
      </x:c>
      <x:c r="E312" s="7" t="str">
        <x:v>E2021</x:v>
      </x:c>
      <x:c r="F312" s="7" t="str">
        <x:v>クーラント・潤滑・清掃の省人化 ／ 安全監視・自動化を支える機器</x:v>
      </x:c>
      <x:c r="G312" s="7" t="str">
        <x:v>原典抜粋：〜高いシェアを誇る中・高圧クーラントポンプで、加工現場のチョコ停低減と自動化を強力に後押し〜 / 現場の切実な課題であるチョコ停の低減や自動化の促進に寄与するソリューションをご提案いたしますので、ぜひお気軽に当社ブースへお立ち寄りください。</x:v>
      </x:c>
      <x:c r="H312" s="7" t="str">
        <x:v>補充・濃度管理・切粉処理などの保守作業で運転が途切れる。 ／ 無人運転やロボット導入には、安全確保と機器・配線・力の伝達が必要。</x:v>
      </x:c>
      <x:c r="I312" s="7" t="str">
        <x:v>2024原典抜粋：～難削材加工の生産性UPに貢献～ 業界内で高いシェアを誇る高圧クーラントポンプCXシリーズの実機を展示。 ヒットしている訳をアニメーション動画や実機を用いてご紹介。 そして今回の目玉はクリーンタンクレスシステムの実機展示。 クーラント圧1.5～20MPa時に必要なクリーンタンク（または層）を不要とし、工作機1台あたりのクーラント液の総量ならびにメンテナンス費用・工数を低減する2次濾過用インラインシステム。 その他、新製品である超高圧(20MPa)クーラントポンプやセラミック等高硬度材加工用のクーラントポンプをご紹介</x:v>
      </x:c>
      <x:c r="J312" s="7" t="str">
        <x:v>2026原典抜粋：〜高いシェアを誇る中・高圧クーラントポンプで、加工現場のチョコ停低減と自動化を強力に後押し〜 / 現場の切実な課題であるチョコ停の低減や自動化の促進に寄与するソリューションをご提案いたしますので、ぜひお気軽に当社ブースへお立ち寄りください。</x:v>
      </x:c>
      <x:c r="K312" s="7" t="str">
        <x:v>原典記述の対照。個別機能の追加・性能差・初登場年は未判定。</x:v>
      </x:c>
      <x:c r="L312" s="7" t="str">
        <x:v>両年説明あり・機能差未判定</x:v>
      </x:c>
      <x:c r="M312" s="7" t="str">
        <x:v>出展説明の一次分類</x:v>
      </x:c>
      <x:c r="N312" s="7" t="str"/>
      <x:c r="O312" s="7" t="str">
        <x:v>承認・例外対応・停止・復帰の境界は未確認</x:v>
      </x:c>
      <x:c r="P312" s="7" t="str">
        <x:v>2026公式カタログ掲載・現地未確認
2026展示予定。既存製品・参考出展・構想等は原典で個別確認</x:v>
      </x:c>
      <x:c r="Q312" s="7" t="str">
        <x:v>AC113</x:v>
      </x:c>
      <x:c t="str" r="R312" s="21">
        <x:f>HYPERLINK("https://www.jimtof.org/search/jp/ESdetails?e=RUfUkmbjQf0","JIMTOF2026 出展ページ")</x:f>
        <x:v>JIMTOF2026 出展ページ</x:v>
      </x:c>
      <x:c t="str" r="S312" s="21">
        <x:f>HYPERLINK("https://www.jimtof.org/2024/search/jp/ESdetails?e=OgubGeea_Pg","JIMTOF2024 出展ページ")</x:f>
        <x:v>JIMTOF2024 出展ページ</x:v>
      </x:c>
      <x:c r="T312" s="7" t="str">
        <x:v>EEX-EXH-2026-a155e7aeaf9b66f3: https://www.jimtof.org/search/jp/ESdetails?e=RUfUkmbjQf0
該当箇所: 出展紹介・主な出展物。追加カードの原典抜粋で検索
EEX-EXH-2024-beed3f2fb43fd001: https://www.jimtof.org/2024/search/jp/ESdetails?e=OgubGeea_Pg
該当箇所: 出展紹介・主な出展物。追加カードの原典抜粋で検索</x:v>
      </x:c>
    </x:row>
    <x:row r="313" ht="155" customHeight="1">
      <x:c r="A313" s="7" t="str">
        <x:v>段取り・物理作業</x:v>
      </x:c>
      <x:c r="B313" s="7" t="str">
        <x:v>クーラント・潤滑・清掃の省人化</x:v>
      </x:c>
      <x:c r="C313" s="20" t="str">
        <x:v>ダイナミックツール株式会社</x:v>
      </x:c>
      <x:c r="D313" s="7" t="str">
        <x:v>【ダイナミックツール社】</x:v>
      </x:c>
      <x:c r="E313" s="7" t="str">
        <x:v>S2009</x:v>
      </x:c>
      <x:c r="F313" s="7" t="str">
        <x:v>認識を伴うピック・付帯加工・除去 ／ クーラント・潤滑・清掃の省人化</x:v>
      </x:c>
      <x:c r="G313" s="7" t="str">
        <x:v>原典抜粋：注目の新製品をはじめ、「掴む」「加工・回転」「自動化・搬送」「環境保全」「クーラント・冷却」の5つのソリューションで、モノづくりの課題を解決します。 / 【自動化・搬送】 / 生産現場に、止まらない“流れと自動化”を。 / 磁気浮上式搬送やバリ取り自動化で、省人化と生産性向上を支援。 / 高圧ノズル、ノズル自動制御、ウルトラファインバブルなどで、加工品質と生産性を高める。 / 熟練工の技を自動化 / リニアモータ式自動ドア</x:v>
      </x:c>
      <x:c r="H313" s="7" t="str">
        <x:v>形状や絡まりが変わる物理作業に固定手順で対応しにくい。 ／ 補充・濃度管理・切粉処理などの保守作業で運転が途切れる。</x:v>
      </x:c>
      <x:c r="I313" s="7" t="str">
        <x:v>2024原典抜粋：高精度加工・生産性向上・作業環境改善に寄与する機械の周辺設備をラインナップし、展示。 1.チャックは豊富なバリエーションを有し、これまでに培ってきたノウハウでお客様の様々な要望に適した内容で提案が可能。 2.スピンドルはJäger社、MYL社、KESSLER社と異なるメニューを持つ3社を取り扱いし、軽切削から難削材の高トルク加工や研削加工など、幅広い用途のスピンドルを提案。 3.バリ取りの熟練工レベルの自動化を実現する製品。 4.長年にわたり、オイルミスト/油煙/ダストの問題を解決する為に培った経験をいかした環境配</x:v>
      </x:c>
      <x:c r="J313" s="7" t="str">
        <x:v>2026原典抜粋：注目の新製品をはじめ、「掴む」「加工・回転」「自動化・搬送」「環境保全」「クーラント・冷却」の5つのソリューションで、モノづくりの課題を解決します。 / 【自動化・搬送】 / 生産現場に、止まらない“流れと自動化”を。 / 磁気浮上式搬送やバリ取り自動化で、省人化と生産性向上を支援。 / 高圧ノズル、ノズル自動制御、ウルトラファインバブルなどで、加工品質と生産性を高める。 / 熟練工の技を自動化 / リニアモータ式自動ドア</x:v>
      </x:c>
      <x:c r="K313" s="7" t="str">
        <x:v>原典記述の対照。個別機能の追加・性能差・初登場年は未判定。</x:v>
      </x:c>
      <x:c r="L313" s="7" t="str">
        <x:v>両年説明あり・機能差未判定</x:v>
      </x:c>
      <x:c r="M313" s="7" t="str">
        <x:v>出展説明の一次分類</x:v>
      </x:c>
      <x:c r="N313" s="7" t="str"/>
      <x:c r="O313" s="7" t="str">
        <x:v>承認・例外対応・停止・復帰の境界は未確認</x:v>
      </x:c>
      <x:c r="P313" s="7" t="str">
        <x:v>2026公式カタログ掲載・現地未確認
2026展示予定。既存製品・参考出展・構想等は原典で個別確認</x:v>
      </x:c>
      <x:c r="Q313" s="7" t="str">
        <x:v>AC127</x:v>
      </x:c>
      <x:c t="str" r="R313" s="21">
        <x:f>HYPERLINK("https://www.jimtof.org/search/jp/ESdetails?e=wAurYrCTgOs","JIMTOF2026 出展ページ")</x:f>
        <x:v>JIMTOF2026 出展ページ</x:v>
      </x:c>
      <x:c t="str" r="S313" s="21">
        <x:f>HYPERLINK("https://www.jimtof.org/2024/search/jp/ESdetails?e=bRKaw8mtvM4","JIMTOF2024 出展ページ")</x:f>
        <x:v>JIMTOF2024 出展ページ</x:v>
      </x:c>
      <x:c r="T313" s="7" t="str">
        <x:v>EEX-EXH-2026-d32daa7543b852bd: https://www.jimtof.org/search/jp/ESdetails?e=wAurYrCTgOs
該当箇所: 出展紹介・主な出展物。追加カードの原典抜粋で検索
EEX-EXH-2024-de51604541a0c776: https://www.jimtof.org/2024/search/jp/ESdetails?e=bRKaw8mtvM4
該当箇所: 出展紹介・主な出展物。追加カードの原典抜粋で検索</x:v>
      </x:c>
    </x:row>
    <x:row r="314" ht="155" customHeight="1">
      <x:c r="A314" s="7" t="str">
        <x:v>段取り・物理作業</x:v>
      </x:c>
      <x:c r="B314" s="7" t="str">
        <x:v>クーラント・潤滑・清掃の省人化</x:v>
      </x:c>
      <x:c r="C314" s="20" t="str">
        <x:v>中部クリーン株式会社</x:v>
      </x:c>
      <x:c r="D314" s="7" t="str">
        <x:v>『クーラント液自動希釈供給装置 FKM型』</x:v>
      </x:c>
      <x:c r="E314" s="7" t="str">
        <x:v>S4041</x:v>
      </x:c>
      <x:c r="F314" s="7" t="str">
        <x:v>クーラント・潤滑・清掃の省人化</x:v>
      </x:c>
      <x:c r="G314" s="7" t="str">
        <x:v>原典抜粋：『クーラント液自動希釈供給装置 FKM型』 / 弊社のクーラント液自動希釈供給装置FKM型は一定濃度での希釈と、適切な液量までの補給を自動で行います。 / クーラント希釈の自動化で原液の過剰使用を防ぐほか、補給動作は信頼性の高いレベルセンサでクーラント消費を検知し、工作機械ごとに供給の開始から完了まで確実に制御し、タンクから溢れる事故の心配がなく安全と安心を実現しています。 / FKM型は原液ドラム缶のセット以外はすべて自動で行うため、</x:v>
      </x:c>
      <x:c r="H314" s="7" t="str">
        <x:v>補充・濃度管理・切粉処理などの保守作業で運転が途切れる。</x:v>
      </x:c>
      <x:c r="I314" s="7" t="str">
        <x:v>同一正規化名称の2024詳細なし。新規出展・技術不存在とは判断しない。</x:v>
      </x:c>
      <x:c r="J314" s="7" t="str">
        <x:v>2026原典抜粋：『クーラント液自動希釈供給装置 FKM型』 / 弊社のクーラント液自動希釈供給装置FKM型は一定濃度での希釈と、適切な液量までの補給を自動で行います。 / クーラント希釈の自動化で原液の過剰使用を防ぐほか、補給動作は信頼性の高いレベルセンサでクーラント消費を検知し、工作機械ごとに供給の開始から完了まで確実に制御し、タンクから溢れる事故の心配がなく安全と安心を実現しています。 / FKM型は原液ドラム缶のセット以外はすべて自動で行うため、</x:v>
      </x:c>
      <x:c r="K314" s="7" t="str">
        <x:v>原典記述の対照。個別機能の追加・性能差・初登場年は未判定。</x:v>
      </x:c>
      <x:c r="L314" s="7" t="str">
        <x:v>年度資料不足・比較不能</x:v>
      </x:c>
      <x:c r="M314" s="7" t="str">
        <x:v>出展説明の一次分類</x:v>
      </x:c>
      <x:c r="N314" s="7" t="str"/>
      <x:c r="O314" s="7" t="str">
        <x:v>承認・例外対応・停止・復帰の境界は未確認</x:v>
      </x:c>
      <x:c r="P314" s="7" t="str">
        <x:v>2026公式カタログ掲載・現地未確認
2026展示予定。既存製品・参考出展・構想等は原典で個別確認</x:v>
      </x:c>
      <x:c r="Q314" s="7" t="str">
        <x:v>AC134</x:v>
      </x:c>
      <x:c t="str" r="R314" s="21">
        <x:f>HYPERLINK("https://www.jimtof.org/search/jp/ESdetails?e=R-pw3NRfUvI","JIMTOF2026 出展ページ")</x:f>
        <x:v>JIMTOF2026 出展ページ</x:v>
      </x:c>
      <x:c r="S314" s="21" t="str"/>
      <x:c r="T314" s="7" t="str">
        <x:v>EEX-EXH-2026-7b9e75a5fbf145a4: https://www.jimtof.org/search/jp/ESdetails?e=R-pw3NRfUvI
該当箇所: 出展紹介・主な出展物。追加カードの原典抜粋で検索</x:v>
      </x:c>
    </x:row>
    <x:row r="315" ht="155" customHeight="1">
      <x:c r="A315" s="7" t="str">
        <x:v>段取り・物理作業</x:v>
      </x:c>
      <x:c r="B315" s="7" t="str">
        <x:v>クーラント・潤滑・清掃の省人化</x:v>
      </x:c>
      <x:c r="C315" s="20" t="str">
        <x:v>ツールドインターナショナル株式会社</x:v>
      </x:c>
      <x:c r="D315" s="7" t="str">
        <x:v>7leaders</x:v>
      </x:c>
      <x:c r="E315" s="7" t="str">
        <x:v>W1101</x:v>
      </x:c>
      <x:c r="F315" s="7" t="str">
        <x:v>クーラント・潤滑・清掃の省人化 ／ 安全監視・自動化を支える機器</x:v>
      </x:c>
      <x:c r="G315" s="7" t="str">
        <x:v>原典抜粋：◆ロボット化・自動化ラインに最適！画期的な工具ソリューション / ◆自動車大手の量産ラインも採用！切粉を除去する最新クーラントテクノロジー / 自動化・省人化・生産性向上に貢献します。</x:v>
      </x:c>
      <x:c r="H315" s="7" t="str">
        <x:v>補充・濃度管理・切粉処理などの保守作業で運転が途切れる。 ／ 無人運転やロボット導入には、安全確保と機器・配線・力の伝達が必要。</x:v>
      </x:c>
      <x:c r="I315" s="7" t="str">
        <x:v>2024原典抜粋：工具を変える、工具de変える ～Be a game changer！～ こんな工具あるんだ！？知る人ぞ知る、多種多様な切削工具がここに！ 改善・革新につながるイノベーティブな切削工具。 それはまるでジャングルの生き物たちのように個性的。 そんなジャングルの中で新種を発見するかのごとく 個性的なブースで誰よりも先に価値ある新商品を発見してみませんか？ 『現場により良い変化をもたらすイノベーティブな工具』が 『現場を変える、明日を変える』 目指すのは現場の生産性向上！ ツールドインターナショナルでは、 特許工具やコスト</x:v>
      </x:c>
      <x:c r="J315" s="7" t="str">
        <x:v>2026原典抜粋：◆ロボット化・自動化ラインに最適！画期的な工具ソリューション / ◆自動車大手の量産ラインも採用！切粉を除去する最新クーラントテクノロジー / 自動化・省人化・生産性向上に貢献します。</x:v>
      </x:c>
      <x:c r="K315" s="7" t="str">
        <x:v>原典記述の対照。個別機能の追加・性能差・初登場年は未判定。</x:v>
      </x:c>
      <x:c r="L315" s="7" t="str">
        <x:v>両年説明あり・機能差未判定</x:v>
      </x:c>
      <x:c r="M315" s="7" t="str">
        <x:v>出展説明の一次分類</x:v>
      </x:c>
      <x:c r="N315" s="7" t="str"/>
      <x:c r="O315" s="7" t="str">
        <x:v>承認・例外対応・停止・復帰の境界は未確認</x:v>
      </x:c>
      <x:c r="P315" s="7" t="str">
        <x:v>2026公式カタログ掲載・現地未確認
2026展示予定。既存製品・参考出展・構想等は原典で個別確認</x:v>
      </x:c>
      <x:c r="Q315" s="7" t="str">
        <x:v>AC137</x:v>
      </x:c>
      <x:c t="str" r="R315" s="21">
        <x:f>HYPERLINK("https://www.jimtof.org/search/jp/ESdetails?e=UcTucUP9Fb4","JIMTOF2026 出展ページ")</x:f>
        <x:v>JIMTOF2026 出展ページ</x:v>
      </x:c>
      <x:c t="str" r="S315" s="21">
        <x:f>HYPERLINK("https://www.jimtof.org/2024/search/jp/ESdetails?e=IqIZPMUJlDY","JIMTOF2024 出展ページ")</x:f>
        <x:v>JIMTOF2024 出展ページ</x:v>
      </x:c>
      <x:c r="T315" s="7" t="str">
        <x:v>EEX-EXH-2026-fa987a1ed1bcec86: https://www.jimtof.org/search/jp/ESdetails?e=UcTucUP9Fb4
該当箇所: 出展紹介・主な出展物。追加カードの原典抜粋で検索
EEX-EXH-2024-236dc7e9806653fa: https://www.jimtof.org/2024/search/jp/ESdetails?e=IqIZPMUJlDY
該当箇所: 出展紹介・主な出展物。追加カードの原典抜粋で検索</x:v>
      </x:c>
    </x:row>
    <x:row r="316" ht="155" customHeight="1">
      <x:c r="A316" s="7" t="str">
        <x:v>段取り・物理作業</x:v>
      </x:c>
      <x:c r="B316" s="7" t="str">
        <x:v>クーラント・潤滑・清掃の省人化</x:v>
      </x:c>
      <x:c r="C316" s="20" t="str">
        <x:v>株式会社東陽</x:v>
      </x:c>
      <x:c r="D316" s="7" t="str">
        <x:v>西研｜深穴加工工具「クレアボーラー」</x:v>
      </x:c>
      <x:c r="E316" s="7" t="str">
        <x:v>S2016</x:v>
      </x:c>
      <x:c r="F316" s="7" t="str">
        <x:v>クーラント・潤滑・清掃の省人化</x:v>
      </x:c>
      <x:c r="G316" s="7" t="str">
        <x:v>原典抜粋：深穴加工の品質向上から自動化、液管理、環境改善まで、工場改善につながる８つのテーマを展示。 / 自動化・省人化・内製化を支援</x:v>
      </x:c>
      <x:c r="H316" s="7" t="str">
        <x:v>補充・濃度管理・切粉処理などの保守作業で運転が途切れる。</x:v>
      </x:c>
      <x:c r="I316" s="7" t="str">
        <x:v>2024原典抜粋：カーボンニュートラル関連と自動化製品を出展します。 花王製の新しい金属部品洗浄剤「ステイブライト」を展示します。洗浄とコーティングを同時に行うことで、洗浄工程のCO2削減を実現します。 CO2吸収・油脂洗浄・除菌・消臭が可能な多機能水溶液、セブンコーポレーションの「SEA'S7」を展示します。 グーテンベルク社製の「高速×高精度×高強度」現場を変革する3Ｄプリンターを展示します。 EPSON ROBOTSより手作業工程を低コストで自動化を実現するロボット＋カメラを展示いたします。 ■花王株式会社 防錆洗浄剤 「ステ</x:v>
      </x:c>
      <x:c r="J316" s="7" t="str">
        <x:v>2026原典抜粋：深穴加工の品質向上から自動化、液管理、環境改善まで、工場改善につながる８つのテーマを展示。 / 自動化・省人化・内製化を支援</x:v>
      </x:c>
      <x:c r="K316" s="7" t="str">
        <x:v>原典記述の対照。個別機能の追加・性能差・初登場年は未判定。</x:v>
      </x:c>
      <x:c r="L316" s="7" t="str">
        <x:v>両年説明あり・機能差未判定</x:v>
      </x:c>
      <x:c r="M316" s="7" t="str">
        <x:v>出展説明の一次分類</x:v>
      </x:c>
      <x:c r="N316" s="7" t="str"/>
      <x:c r="O316" s="7" t="str">
        <x:v>承認・例外対応・停止・復帰の境界は未確認</x:v>
      </x:c>
      <x:c r="P316" s="7" t="str">
        <x:v>2026公式カタログ掲載・現地未確認
2026展示予定。既存製品・参考出展・構想等は原典で個別確認</x:v>
      </x:c>
      <x:c r="Q316" s="7" t="str">
        <x:v>AC150</x:v>
      </x:c>
      <x:c t="str" r="R316" s="21">
        <x:f>HYPERLINK("https://www.jimtof.org/search/jp/ESdetails?e=E_004g97THo","JIMTOF2026 出展ページ")</x:f>
        <x:v>JIMTOF2026 出展ページ</x:v>
      </x:c>
      <x:c t="str" r="S316" s="21">
        <x:f>HYPERLINK("https://www.jimtof.org/2024/search/jp/ESdetails?e=lVCjvOcCBOA","JIMTOF2024 出展ページ")</x:f>
        <x:v>JIMTOF2024 出展ページ</x:v>
      </x:c>
      <x:c r="T316" s="7" t="str">
        <x:v>EEX-EXH-2026-3a8078c51f45a046: https://www.jimtof.org/search/jp/ESdetails?e=E_004g97THo
該当箇所: 出展紹介・主な出展物。追加カードの原典抜粋で検索
EEX-EXH-2024-ef070b6914636897: https://www.jimtof.org/2024/search/jp/ESdetails?e=lVCjvOcCBOA
該当箇所: 出展紹介・主な出展物。追加カードの原典抜粋で検索</x:v>
      </x:c>
    </x:row>
    <x:row r="317" ht="155" customHeight="1">
      <x:c r="A317" s="7" t="str">
        <x:v>段取り・物理作業</x:v>
      </x:c>
      <x:c r="B317" s="7" t="str">
        <x:v>クーラント・潤滑・清掃の省人化</x:v>
      </x:c>
      <x:c r="C317" s="20" t="str">
        <x:v>日東工器株式会社</x:v>
      </x:c>
      <x:c r="D317" s="7" t="str">
        <x:v>迅速流体継手（カプラ）、省力化機械工具、電動ねじ締めドライバ（デルボ）、リニア駆動ポンプとその応用製品、建築機器（ドアクローザ）</x:v>
      </x:c>
      <x:c r="E317" s="7" t="str">
        <x:v>W4049</x:v>
      </x:c>
      <x:c r="F317" s="7" t="str">
        <x:v>クーラント・潤滑・清掃の省人化 ／ 安全監視・自動化を支える機器</x:v>
      </x:c>
      <x:c r="G317" s="7" t="str">
        <x:v>原典抜粋：一回の操作で複数配管を同時に接続するマルチカプラをはじめ、回転する2色の羽根で冷却水の流れを目視で確認できるフローモニター、各種産業機器への組込み用として最適な真空ポンプ、切削液回収作業の省人化・省力化が可能な切削液回収装置、ロボットに確実に固定可能な自動機対応エアツールシリーズ、強力バッテリとブラシレスモータを搭載したコードレスタイプの手持ち工具、外部起動が可能な電動ドライバシリーズなどを展示します。</x:v>
      </x:c>
      <x:c r="H317" s="7" t="str">
        <x:v>補充・濃度管理・切粉処理などの保守作業で運転が途切れる。 ／ 無人運転やロボット導入には、安全確保と機器・配線・力の伝達が必要。</x:v>
      </x:c>
      <x:c r="I317" s="7" t="str">
        <x:v>2024原典抜粋：一回の操作で複数配管を同時に接続するマルチカプラをはじめ、回転する2色の羽根で冷却水の流れを目視で確認できるフローモニター、各種産業機器への組込み用として最適な真空ポンプ、切削液回収作業の省人化・省力化が可能な切削液回収装置、ロボットに確実に固定可能な自動機対応エアツールシリーズ、強力バッテリとブラシレスモータを搭載したコードレスタイプの手持ち工具、外部起動が可能な電動ドライバシリーズ、電気を使わずに静かにゆっくり閉まるスライディングクローザなどを展示します。 迅速流体継手（カプラ）、省力化機械工具、電動ねじ締めド</x:v>
      </x:c>
      <x:c r="J317" s="7" t="str">
        <x:v>2026原典抜粋：一回の操作で複数配管を同時に接続するマルチカプラをはじめ、回転する2色の羽根で冷却水の流れを目視で確認できるフローモニター、各種産業機器への組込み用として最適な真空ポンプ、切削液回収作業の省人化・省力化が可能な切削液回収装置、ロボットに確実に固定可能な自動機対応エアツールシリーズ、強力バッテリとブラシレスモータを搭載したコードレスタイプの手持ち工具、外部起動が可能な電動ドライバシリーズなどを展示します。</x:v>
      </x:c>
      <x:c r="K317" s="7" t="str">
        <x:v>原典記述の対照。個別機能の追加・性能差・初登場年は未判定。</x:v>
      </x:c>
      <x:c r="L317" s="7" t="str">
        <x:v>両年説明あり・機能差未判定</x:v>
      </x:c>
      <x:c r="M317" s="7" t="str">
        <x:v>出展説明の一次分類</x:v>
      </x:c>
      <x:c r="N317" s="7" t="str"/>
      <x:c r="O317" s="7" t="str">
        <x:v>承認・例外対応・停止・復帰の境界は未確認</x:v>
      </x:c>
      <x:c r="P317" s="7" t="str">
        <x:v>2026公式カタログ掲載・現地未確認
2026展示予定。既存製品・参考出展・構想等は原典で個別確認</x:v>
      </x:c>
      <x:c r="Q317" s="7" t="str">
        <x:v>AC169</x:v>
      </x:c>
      <x:c t="str" r="R317" s="21">
        <x:f>HYPERLINK("https://www.jimtof.org/search/jp/ESdetails?e=q1qxgLFfjjo","JIMTOF2026 出展ページ")</x:f>
        <x:v>JIMTOF2026 出展ページ</x:v>
      </x:c>
      <x:c t="str" r="S317" s="21">
        <x:f>HYPERLINK("https://www.jimtof.org/2024/search/jp/ESdetails?e=wBCJfxjpMoI","JIMTOF2024 出展ページ")</x:f>
        <x:v>JIMTOF2024 出展ページ</x:v>
      </x:c>
      <x:c r="T317" s="7" t="str">
        <x:v>EEX-EXH-2026-21553e90028cfc5e: https://www.jimtof.org/search/jp/ESdetails?e=q1qxgLFfjjo
該当箇所: 出展紹介・主な出展物。追加カードの原典抜粋で検索
EEX-EXH-2024-5ac60314619d5ea3: https://www.jimtof.org/2024/search/jp/ESdetails?e=wBCJfxjpMoI
該当箇所: 出展紹介・主な出展物。追加カードの原典抜粋で検索</x:v>
      </x:c>
    </x:row>
    <x:row r="318" ht="155" customHeight="1">
      <x:c r="A318" s="7" t="str">
        <x:v>段取り・物理作業</x:v>
      </x:c>
      <x:c r="B318" s="7" t="str">
        <x:v>クーラント・潤滑・清掃の省人化</x:v>
      </x:c>
      <x:c r="C318" s="20" t="str">
        <x:v>日本オイルポンプ株式会社</x:v>
      </x:c>
      <x:c r="D318" s="7" t="str">
        <x:v>クーラントタンクユニットTNC</x:v>
      </x:c>
      <x:c r="E318" s="7" t="str">
        <x:v>W2046</x:v>
      </x:c>
      <x:c r="F318" s="7" t="str">
        <x:v>クーラント・潤滑・清掃の省人化</x:v>
      </x:c>
      <x:c r="G318" s="7" t="str">
        <x:v>原典抜粋：クーラントタンク及び周辺機器のメンテナンス軽減、生産効率向上、省人化へ提案！ / ■BT30番マシニングセンター専用　全量ろ過機能付きクーラントタンクユニット『TNC』 / スケルトンデモ機による疑似切粉を使用したデモ実演。 / 普段見ることが出来ないクーラントタンク内のスラッジ堆積抑制状況をご覧頂けます。 / ■ろ過機能付きNOPフィルターポンプ『YTH-GCI』 / 疑似切粉を使用したデモ実演。 / 内蔵サイクロンフィルターによるろ</x:v>
      </x:c>
      <x:c r="H318" s="7" t="str">
        <x:v>補充・濃度管理・切粉処理などの保守作業で運転が途切れる。</x:v>
      </x:c>
      <x:c r="I318" s="7" t="str">
        <x:v>2024原典抜粋：■BT30番マシニングセンター専用クーラントユニット『TNC』と『シンプルTNC』のデモ機を展示 ・『TNC』は、スケルトンデモ機による疑似切粉を使用したデモ実演。 普段見ることが出来ないクーラントタンク内のスラッジ堆積抑制状況をご覧頂けます。 ・『シンプルTNC』は、参考出品にて初展示。 流体解析によるクーラントタンク内のスラッジ堆積抑制状況をご覧頂けます。 ～スラッジ堆積の抑制メカニズム～ ①加工機から排出される大きな切粉は、2段式スクレーパーコンベア上段で回収排出します。 ②2段スクレーパーコンベア上段で回収</x:v>
      </x:c>
      <x:c r="J318" s="7" t="str">
        <x:v>2026原典抜粋：クーラントタンク及び周辺機器のメンテナンス軽減、生産効率向上、省人化へ提案！ / ■BT30番マシニングセンター専用　全量ろ過機能付きクーラントタンクユニット『TNC』 / スケルトンデモ機による疑似切粉を使用したデモ実演。 / 普段見ることが出来ないクーラントタンク内のスラッジ堆積抑制状況をご覧頂けます。 / ■ろ過機能付きNOPフィルターポンプ『YTH-GCI』 / 疑似切粉を使用したデモ実演。 / 内蔵サイクロンフィルターによるろ</x:v>
      </x:c>
      <x:c r="K318" s="7" t="str">
        <x:v>原典記述の対照。個別機能の追加・性能差・初登場年は未判定。</x:v>
      </x:c>
      <x:c r="L318" s="7" t="str">
        <x:v>両年説明あり・機能差未判定</x:v>
      </x:c>
      <x:c r="M318" s="7" t="str">
        <x:v>出展説明の一次分類</x:v>
      </x:c>
      <x:c r="N318" s="7" t="str"/>
      <x:c r="O318" s="7" t="str">
        <x:v>承認・例外対応・停止・復帰の境界は未確認</x:v>
      </x:c>
      <x:c r="P318" s="7" t="str">
        <x:v>2026公式カタログ掲載・現地未確認
2026展示予定。既存製品・参考出展・構想等は原典で個別確認</x:v>
      </x:c>
      <x:c r="Q318" s="7" t="str">
        <x:v>AC173</x:v>
      </x:c>
      <x:c t="str" r="R318" s="21">
        <x:f>HYPERLINK("https://www.jimtof.org/search/jp/ESdetails?e=fHAxXsO-42I","JIMTOF2026 出展ページ")</x:f>
        <x:v>JIMTOF2026 出展ページ</x:v>
      </x:c>
      <x:c t="str" r="S318" s="21">
        <x:f>HYPERLINK("https://www.jimtof.org/2024/search/jp/ESdetails?e=QJX40Pc2NMI","JIMTOF2024 出展ページ")</x:f>
        <x:v>JIMTOF2024 出展ページ</x:v>
      </x:c>
      <x:c r="T318" s="7" t="str">
        <x:v>EEX-EXH-2026-6e7223502c4d3ca8: https://www.jimtof.org/search/jp/ESdetails?e=fHAxXsO-42I
該当箇所: 出展紹介・主な出展物。追加カードの原典抜粋で検索
EEX-EXH-2024-d408d6725e492acc: https://www.jimtof.org/2024/search/jp/ESdetails?e=QJX40Pc2NMI
該当箇所: 出展紹介・主な出展物。追加カードの原典抜粋で検索</x:v>
      </x:c>
    </x:row>
    <x:row r="319" ht="155" customHeight="1">
      <x:c r="A319" s="7" t="str">
        <x:v>段取り・物理作業</x:v>
      </x:c>
      <x:c r="B319" s="7" t="str">
        <x:v>クーラント・潤滑・清掃の省人化</x:v>
      </x:c>
      <x:c r="C319" s="20" t="str">
        <x:v>HAWEジャパン株式会社</x:v>
      </x:c>
      <x:c r="D319" s="7" t="str">
        <x:v>当社は、油圧技術と電子制御技術を融合した省エネルギー・高機能ソリューションを提案します。切削用工作機械向けでは、インバータ技術により従来型油圧システム</x:v>
      </x:c>
      <x:c r="E319" s="7" t="str">
        <x:v>E3005</x:v>
      </x:c>
      <x:c r="F319" s="7" t="str">
        <x:v>AIモデル作成・機器接続の基盤 ／ クーラント・潤滑・清掃の省人化</x:v>
      </x:c>
      <x:c r="G319" s="7" t="str">
        <x:v>原典抜粋：生産に関わる工程を、「切削用工作機械」「治具クランプ」「マテリアルハンドリング」「新製品」の4分野に分け、それぞれの分野において、省エネおよびIoT対応を実現するシステム・製品をご提案いたします。 / 切削用工作機械向けでは、インバータ技術により従来型油圧システム比で約70～80％の消費電力削減を実現する省エネ油圧システムや、IoTを活用した予防保全・メンテナンス効率向上ソリューションを紹介します。 / 治具クランプ向けには、FA化に対</x:v>
      </x:c>
      <x:c r="H319" s="7" t="str">
        <x:v>データの意味づけと、作ったAIを現場へつなぐ負担。 ／ 補充・濃度管理・切粉処理などの保守作業で運転が途切れる。</x:v>
      </x:c>
      <x:c r="I319" s="7" t="str">
        <x:v>2024原典抜粋：生産に関わる工程を、切削用工作機械、治具クランプ、マテリアルハンドリング、およびプレスブレーキシステム4つの分野に分けてそれぞれへ省エネ、IoT対応の提案に関するシステム、製品をご提案いたします。 1.切削用工作機械に従来型油圧システム対比で約70%の消費電力を削減する油圧システム、IoTで予防保全、メンテナンス効率向上にデモ機を展示します。 2.FA化の推進に、治具クランプ力の自動変更およびインバータ技術による省エネ化の実現をご提案します。 3.マテリアルハンドリングには、リフターやAGVへの高精度同調油圧昇降シ</x:v>
      </x:c>
      <x:c r="J319" s="7" t="str">
        <x:v>2026原典抜粋：生産に関わる工程を、「切削用工作機械」「治具クランプ」「マテリアルハンドリング」「新製品」の4分野に分け、それぞれの分野において、省エネおよびIoT対応を実現するシステム・製品をご提案いたします。 / 切削用工作機械向けでは、インバータ技術により従来型油圧システム比で約70～80％の消費電力削減を実現する省エネ油圧システムや、IoTを活用した予防保全・メンテナンス効率向上ソリューションを紹介します。 / 治具クランプ向けには、FA化に対</x:v>
      </x:c>
      <x:c r="K319" s="7" t="str">
        <x:v>原典記述の対照。個別機能の追加・性能差・初登場年は未判定。</x:v>
      </x:c>
      <x:c r="L319" s="7" t="str">
        <x:v>両年説明あり・機能差未判定</x:v>
      </x:c>
      <x:c r="M319" s="7" t="str">
        <x:v>出展説明の一次分類</x:v>
      </x:c>
      <x:c r="N319" s="7" t="str"/>
      <x:c r="O319" s="7" t="str">
        <x:v>承認・例外対応・停止・復帰の境界は未確認</x:v>
      </x:c>
      <x:c r="P319" s="7" t="str">
        <x:v>2026公式カタログ掲載・現地未確認
2026展示予定。既存製品・参考出展・構想等は原典で個別確認</x:v>
      </x:c>
      <x:c r="Q319" s="7" t="str">
        <x:v>AC185</x:v>
      </x:c>
      <x:c t="str" r="R319" s="21">
        <x:f>HYPERLINK("https://www.jimtof.org/search/jp/ESdetails?e=uvRSrTznX5g","JIMTOF2026 出展ページ")</x:f>
        <x:v>JIMTOF2026 出展ページ</x:v>
      </x:c>
      <x:c t="str" r="S319" s="21">
        <x:f>HYPERLINK("https://www.jimtof.org/2024/search/jp/ESdetails?e=3QIyVEg479A","JIMTOF2024 出展ページ")</x:f>
        <x:v>JIMTOF2024 出展ページ</x:v>
      </x:c>
      <x:c r="T319" s="7" t="str">
        <x:v>EEX-EXH-2026-9f03016f633961ce: https://www.jimtof.org/search/jp/ESdetails?e=uvRSrTznX5g
該当箇所: 出展紹介・主な出展物。追加カードの原典抜粋で検索
EEX-EXH-2024-d67a87c8bad0b9c4: https://www.jimtof.org/2024/search/jp/ESdetails?e=3QIyVEg479A
該当箇所: 出展紹介・主な出展物。追加カードの原典抜粋で検索</x:v>
      </x:c>
    </x:row>
    <x:row r="320" ht="155" customHeight="1">
      <x:c r="A320" s="7" t="str">
        <x:v>段取り・物理作業</x:v>
      </x:c>
      <x:c r="B320" s="7" t="str">
        <x:v>クーラント・潤滑・清掃の省人化</x:v>
      </x:c>
      <x:c r="C320" s="20" t="str">
        <x:v>ブリンクマン・ポンプ・ジャパン株式会社</x:v>
      </x:c>
      <x:c r="D320" s="7" t="str">
        <x:v>クーラントポンプ</x:v>
      </x:c>
      <x:c r="E320" s="7" t="str">
        <x:v>W4091</x:v>
      </x:c>
      <x:c r="F320" s="7" t="str">
        <x:v>クーラント・潤滑・清掃の省人化</x:v>
      </x:c>
      <x:c r="G320" s="7" t="str">
        <x:v>原典抜粋：自動化・省人化を実現するためには、工作機械だけでなく安定したクーラント供給が欠かせません。</x:v>
      </x:c>
      <x:c r="H320" s="7" t="str">
        <x:v>補充・濃度管理・切粉処理などの保守作業で運転が途切れる。</x:v>
      </x:c>
      <x:c r="I320" s="7" t="str">
        <x:v>同一正規化名称の2024詳細なし。新規出展・技術不存在とは判断しない。</x:v>
      </x:c>
      <x:c r="J320" s="7" t="str">
        <x:v>2026原典抜粋：自動化・省人化を実現するためには、工作機械だけでなく安定したクーラント供給が欠かせません。</x:v>
      </x:c>
      <x:c r="K320" s="7" t="str">
        <x:v>原典記述の対照。個別機能の追加・性能差・初登場年は未判定。</x:v>
      </x:c>
      <x:c r="L320" s="7" t="str">
        <x:v>年度資料不足・比較不能</x:v>
      </x:c>
      <x:c r="M320" s="7" t="str">
        <x:v>出展説明の一次分類</x:v>
      </x:c>
      <x:c r="N320" s="7" t="str"/>
      <x:c r="O320" s="7" t="str">
        <x:v>承認・例外対応・停止・復帰の境界は未確認</x:v>
      </x:c>
      <x:c r="P320" s="7" t="str">
        <x:v>2026公式カタログ掲載・現地未確認
2026展示予定。既存製品・参考出展・構想等は原典で個別確認</x:v>
      </x:c>
      <x:c r="Q320" s="7" t="str">
        <x:v>AC203</x:v>
      </x:c>
      <x:c t="str" r="R320" s="21">
        <x:f>HYPERLINK("https://www.jimtof.org/search/jp/ESdetails?e=DtPO9o9IY_4","JIMTOF2026 出展ページ")</x:f>
        <x:v>JIMTOF2026 出展ページ</x:v>
      </x:c>
      <x:c r="S320" s="21" t="str"/>
      <x:c r="T320" s="7" t="str">
        <x:v>EEX-EXH-2026-69c2d824f043f816: https://www.jimtof.org/search/jp/ESdetails?e=DtPO9o9IY_4
該当箇所: 出展紹介・主な出展物。追加カードの原典抜粋で検索</x:v>
      </x:c>
    </x:row>
    <x:row r="321" ht="155" customHeight="1">
      <x:c r="A321" s="7" t="str">
        <x:v>段取り・物理作業</x:v>
      </x:c>
      <x:c r="B321" s="7" t="str">
        <x:v>クーラント・潤滑・清掃の省人化</x:v>
      </x:c>
      <x:c r="C321" s="20" t="str">
        <x:v>株式会社ブンリ</x:v>
      </x:c>
      <x:c r="D321" s="7" t="str">
        <x:v>マグネティックセパレーター フェニックスNEO 『PXH』</x:v>
      </x:c>
      <x:c r="E321" s="7" t="str">
        <x:v>W4086</x:v>
      </x:c>
      <x:c r="F321" s="7" t="str">
        <x:v>クーラント・潤滑・清掃の省人化</x:v>
      </x:c>
      <x:c r="G321" s="7" t="str">
        <x:v>原典抜粋：『資源も人も限られる時代に、生産を止めない。 / 』 / 現代の生産現場では、資源の有効活用・省人化の対応が課題です。 / 今回のJIMTOF2026では、弊社のクーラント濾過装置が「生産を止めない」ためにどのようにお手伝いできるかご提案いたします。 / 『濾過装置総合メーカーとしての提案』 / 弊社の特徴は、幅広い製品ラインナップ。 / オーダーメイドも可能で、あらゆる工作機械に設置可能です。 / 磁性体・非磁性体問わず、現場にとって</x:v>
      </x:c>
      <x:c r="H321" s="7" t="str">
        <x:v>補充・濃度管理・切粉処理などの保守作業で運転が途切れる。</x:v>
      </x:c>
      <x:c r="I321" s="7" t="str">
        <x:v>2024原典抜粋：『濾過装置総合メーカーとしての提案』 当社の特徴は幅広い製品ラインナップです。 オーダーメイドも可能で、あらゆる工作機械に設置可能です。 磁性体・非磁性体問わず、総合的なご提案をいたします。 『労働環境への配慮』 当社は労働環境へ配慮した製品づくりを行っています。 スラッジ処理の負担軽減をお手伝いいたします。 『New Release』 今回のJIMTOF2024では、初公開になる製品を2機種展示いたします。 JIMTOF2022で初披露し、ご好評のフェニックスNEOと研削用ユニット「RTG」も展示いたします。 ●</x:v>
      </x:c>
      <x:c r="J321" s="7" t="str">
        <x:v>2026原典抜粋：『資源も人も限られる時代に、生産を止めない。 / 』 / 現代の生産現場では、資源の有効活用・省人化の対応が課題です。 / 今回のJIMTOF2026では、弊社のクーラント濾過装置が「生産を止めない」ためにどのようにお手伝いできるかご提案いたします。 / 『濾過装置総合メーカーとしての提案』 / 弊社の特徴は、幅広い製品ラインナップ。 / オーダーメイドも可能で、あらゆる工作機械に設置可能です。 / 磁性体・非磁性体問わず、現場にとって</x:v>
      </x:c>
      <x:c r="K321" s="7" t="str">
        <x:v>原典記述の対照。個別機能の追加・性能差・初登場年は未判定。</x:v>
      </x:c>
      <x:c r="L321" s="7" t="str">
        <x:v>両年説明あり・機能差未判定</x:v>
      </x:c>
      <x:c r="M321" s="7" t="str">
        <x:v>出展説明の一次分類</x:v>
      </x:c>
      <x:c r="N321" s="7" t="str"/>
      <x:c r="O321" s="7" t="str">
        <x:v>承認・例外対応・停止・復帰の境界は未確認</x:v>
      </x:c>
      <x:c r="P321" s="7" t="str">
        <x:v>2026公式カタログ掲載・現地未確認
2026展示予定。既存製品・参考出展・構想等は原典で個別確認</x:v>
      </x:c>
      <x:c r="Q321" s="7" t="str">
        <x:v>AC205</x:v>
      </x:c>
      <x:c t="str" r="R321" s="21">
        <x:f>HYPERLINK("https://www.jimtof.org/search/jp/ESdetails?e=r-Kxnh9Ctzg","JIMTOF2026 出展ページ")</x:f>
        <x:v>JIMTOF2026 出展ページ</x:v>
      </x:c>
      <x:c t="str" r="S321" s="21">
        <x:f>HYPERLINK("https://www.jimtof.org/2024/search/jp/ESdetails?e=vPG0XMiBzgY","JIMTOF2024 出展ページ")</x:f>
        <x:v>JIMTOF2024 出展ページ</x:v>
      </x:c>
      <x:c r="T321" s="7" t="str">
        <x:v>EEX-EXH-2026-5453132e0eec20bd: https://www.jimtof.org/search/jp/ESdetails?e=r-Kxnh9Ctzg
該当箇所: 出展紹介・主な出展物。追加カードの原典抜粋で検索
EEX-EXH-2024-eb77af6d244f80e9: https://www.jimtof.org/2024/search/jp/ESdetails?e=vPG0XMiBzgY
該当箇所: 出展紹介・主な出展物。追加カードの原典抜粋で検索</x:v>
      </x:c>
    </x:row>
    <x:row r="322" ht="155" customHeight="1">
      <x:c r="A322" s="7" t="str">
        <x:v>段取り・物理作業</x:v>
      </x:c>
      <x:c r="B322" s="7" t="str">
        <x:v>クーラント・潤滑・清掃の省人化</x:v>
      </x:c>
      <x:c r="C322" s="20" t="str">
        <x:v>山口産業株式会社</x:v>
      </x:c>
      <x:c r="D322" s="7" t="str">
        <x:v>【RDI】</x:v>
      </x:c>
      <x:c r="E322" s="7" t="str">
        <x:v>E7032</x:v>
      </x:c>
      <x:c r="F322" s="7" t="str">
        <x:v>設備・刃具の異常検知と保全 ／ クーラント・潤滑・清掃の省人化</x:v>
      </x:c>
      <x:c r="G322" s="7" t="str">
        <x:v>原典抜粋：非接触振動可視化システム Iris aiONE / 振動状態監視用カメラ Iris EDGE / 振動状態監視用サーバ Iris CM / 自動潤滑システム LUBExpert ON-GUARD / 状態監視システム VIGILANT / モーター状態監視モジュール PdMA EYE / 回転機状態監視システム e-MCM / 2D計測機能付きデジタルマイクロスコープ Omni3 / 人工知能搭載デジタルマイクロスコープ ACUMEN </x:v>
      </x:c>
      <x:c r="H322" s="7" t="str">
        <x:v>故障や工具破損の兆候を捉え、点検・交換につなぐ負担。 ／ 補充・濃度管理・切粉処理などの保守作業で運転が途切れる。</x:v>
      </x:c>
      <x:c r="I322" s="7" t="str">
        <x:v>2024原典抜粋：機械設備の予知保全やメンテナンスに関する機器をご紹介します。 機械の状態を知り、予期せぬダウンタイムやメンテナンスにかかるコストを削減するための機器を多数取り扱っています。貴社の設備を最大限有効活用できるよう、メンテナンス方法の改善や作業時間短縮に有効な機器をご提案いたします。 【RDI】 次世代振動測定装置 Iris M 高周波用オプションカメラ Iris MX 振動監視用オプションカメラ Iris EDGE SPOT積載用遠隔操作システム Iris Explorer その他振動測定システム、オプション 【SDT</x:v>
      </x:c>
      <x:c r="J322" s="7" t="str">
        <x:v>2026原典抜粋：非接触振動可視化システム Iris aiONE / 振動状態監視用カメラ Iris EDGE / 振動状態監視用サーバ Iris CM / 自動潤滑システム LUBExpert ON-GUARD / 状態監視システム VIGILANT / モーター状態監視モジュール PdMA EYE / 回転機状態監視システム e-MCM / 2D計測機能付きデジタルマイクロスコープ Omni3 / 人工知能搭載デジタルマイクロスコープ ACUMEN </x:v>
      </x:c>
      <x:c r="K322" s="7" t="str">
        <x:v>原典記述の対照。個別機能の追加・性能差・初登場年は未判定。</x:v>
      </x:c>
      <x:c r="L322" s="7" t="str">
        <x:v>両年説明あり・機能差未判定</x:v>
      </x:c>
      <x:c r="M322" s="7" t="str">
        <x:v>出展説明の一次分類</x:v>
      </x:c>
      <x:c r="N322" s="7" t="str"/>
      <x:c r="O322" s="7" t="str">
        <x:v>承認・例外対応・停止・復帰の境界は未確認</x:v>
      </x:c>
      <x:c r="P322" s="7" t="str">
        <x:v>2026公式カタログ掲載・現地未確認
2026展示予定。既存製品・参考出展・構想等は原典で個別確認</x:v>
      </x:c>
      <x:c r="Q322" s="7" t="str">
        <x:v>AC231</x:v>
      </x:c>
      <x:c t="str" r="R322" s="21">
        <x:f>HYPERLINK("https://www.jimtof.org/search/jp/ESdetails?e=swNETGQjKXM","JIMTOF2026 出展ページ")</x:f>
        <x:v>JIMTOF2026 出展ページ</x:v>
      </x:c>
      <x:c t="str" r="S322" s="21">
        <x:f>HYPERLINK("https://www.jimtof.org/2024/search/jp/ESdetails?e=4DzCn6Z5EGw","JIMTOF2024 出展ページ")</x:f>
        <x:v>JIMTOF2024 出展ページ</x:v>
      </x:c>
      <x:c r="T322" s="7" t="str">
        <x:v>EEX-EXH-2026-b6977c805d302165: https://www.jimtof.org/search/jp/ESdetails?e=swNETGQjKXM
該当箇所: 出展紹介・主な出展物。追加カードの原典抜粋で検索
EEX-EXH-2024-4e79e2f65ee27f6c: https://www.jimtof.org/2024/search/jp/ESdetails?e=4DzCn6Z5EGw
該当箇所: 出展紹介・主な出展物。追加カードの原典抜粋で検索</x:v>
      </x:c>
    </x:row>
    <x:row r="323" ht="155" customHeight="1">
      <x:c r="A323" s="7" t="str">
        <x:v>段取り・物理作業</x:v>
      </x:c>
      <x:c r="B323" s="7" t="str">
        <x:v>クーラント・潤滑・清掃の省人化</x:v>
      </x:c>
      <x:c r="C323" s="20" t="str">
        <x:v>株式会社ユシロ</x:v>
      </x:c>
      <x:c r="D323" s="7" t="str">
        <x:v>ALFRED：クーラント濃度・pH監視</x:v>
      </x:c>
      <x:c r="E323" s="7" t="str">
        <x:v>S3093</x:v>
      </x:c>
      <x:c r="F323" s="7" t="str">
        <x:v>クーラント・潤滑・清掃の省人化</x:v>
      </x:c>
      <x:c r="G323" s="7" t="str">
        <x:v>状態監視・可視化を説明。AI異常判定・補給量の自動決定は確認できない</x:v>
      </x:c>
      <x:c r="H323" s="7" t="str">
        <x:v>補充・濃度管理・切粉処理などの保守作業で運転が途切れる。</x:v>
      </x:c>
      <x:c r="I323" s="7" t="str">
        <x:v>公式社名変更告知で旧社名ユシロ化学工業と照合。2024のE1005ではクーラントのリモート監視システムとフレキシブル濃度補給装置を掲載。</x:v>
      </x:c>
      <x:c r="J323" s="7" t="str">
        <x:v>濃度・pHをリアルタイム監視し、会場ではコントローラーと管理画面を展示予定。</x:v>
      </x:c>
      <x:c r="K323" s="7" t="str">
        <x:v>2025/4/1の社名変更を公式確認。ALFREDの初公開と、監視・濃度補給方式の初登場を分離。2024装置と同じ製品か、濃度補給機能を継承したか、AI利用は未確認。</x:v>
      </x:c>
      <x:c r="L323" s="7" t="str">
        <x:v>両年説明あり・機能差未判定</x:v>
      </x:c>
      <x:c r="M323" s="7" t="str">
        <x:v>出展説明の一次分類</x:v>
      </x:c>
      <x:c r="N323" s="7" t="str"/>
      <x:c r="O323" s="7" t="str">
        <x:v>事前準備：未記載：液種設定・センサ校正・洗浄方法／承認：未記載：濃度基準・警報後の補給／液交換の決定者／例外対応：未記載：センサ汚れ・校正ずれ・通信断・異常液の扱い</x:v>
      </x:c>
      <x:c r="P323" s="7" t="str">
        <x:v>2026はコントローラーと管理画面の展示予定
2026展示予定。既存製品・参考出展・構想等は原典で個別確認</x:v>
      </x:c>
      <x:c r="Q323" s="7" t="str">
        <x:v>AC234</x:v>
      </x:c>
      <x:c t="str" r="R323" s="21">
        <x:f>HYPERLINK("https://www.jimtof.org/search/jp/ESdetails?e=-U1GqEJcgSM","JIMTOF2026 出展ページ")</x:f>
        <x:v>JIMTOF2026 出展ページ</x:v>
      </x:c>
      <x:c t="str" r="S323" s="21">
        <x:f>HYPERLINK("https://www.jimtof.org/2024/search/jp/ESdetails?e=He5z-J4NQm8","JIMTOF2024 出展ページ")</x:f>
        <x:v>JIMTOF2024 出展ページ</x:v>
      </x:c>
      <x:c r="T323" s="7" t="str">
        <x:v>EEX-EXH-2026-1fb607fd5307c2fa: https://www.jimtof.org/search/jp/ESdetails?e=-U1GqEJcgSM
該当箇所: 出展紹介・主な出展物。追加カードの原典抜粋で検索
ERF-10: https://www.yushiro.co.jp/news/社名変更のお知らせ
該当箇所: 旧：ユシロ化学工業株式会社→新：株式会社ユシロ；2025/4/1変更
ERF-11: https://www.jimtof.org/2024/search/jp/ESdetails?e=He5z-J4NQm8
該当箇所: 出展説明・主な出展物／クーラントのリモート監視とフレキシブル濃度補給装置</x:v>
      </x:c>
    </x:row>
    <x:row r="324" ht="155" customHeight="1">
      <x:c r="A324" s="7" t="str">
        <x:v>段取り・物理作業</x:v>
      </x:c>
      <x:c r="B324" s="7" t="str">
        <x:v>クーラント・潤滑・清掃の省人化</x:v>
      </x:c>
      <x:c r="C324" s="20" t="str">
        <x:v>リックス株式会社</x:v>
      </x:c>
      <x:c r="D324" s="7" t="str">
        <x:v>ロータリージョイント</x:v>
      </x:c>
      <x:c r="E324" s="7" t="str">
        <x:v>E3024</x:v>
      </x:c>
      <x:c r="F324" s="7" t="str">
        <x:v>クーラント・潤滑・清掃の省人化</x:v>
      </x:c>
      <x:c r="G324" s="7" t="str">
        <x:v>原典抜粋：ロータリージョイントをはじめとした工作機械の自動化・省エネを推進する注目製品をご紹介します。 / ■クーラント自動希釈装置</x:v>
      </x:c>
      <x:c r="H324" s="7" t="str">
        <x:v>補充・濃度管理・切粉処理などの保守作業で運転が途切れる。</x:v>
      </x:c>
      <x:c r="I324" s="7" t="str">
        <x:v>2024原典抜粋：今回は各テーマに沿った弊社製品をご紹介いたします。 ①半導体産業への貢献 セラミック加工・長時間連続加工・ワンチャック加工時のロータリージョイントのご紹介 精密微細洗浄を可能とするマイクロアイスジェット ②医療機器産業への貢献 難削材(チタン合金、コバルト合金等)の加工・ドライエア加工時のロータリージョイント Fusionシステム(超臨界CO²発生装置)で難削材加工における生産性向上（刃物寿命向上）を提案 ③SDGs（EV化）への貢献 エア消費量削減・省エネ・環境・SDGsに沿った製品の提案 オイルスキマー、パルス</x:v>
      </x:c>
      <x:c r="J324" s="7" t="str">
        <x:v>2026原典抜粋：ロータリージョイントをはじめとした工作機械の自動化・省エネを推進する注目製品をご紹介します。 / ■クーラント自動希釈装置</x:v>
      </x:c>
      <x:c r="K324" s="7" t="str">
        <x:v>原典記述の対照。個別機能の追加・性能差・初登場年は未判定。</x:v>
      </x:c>
      <x:c r="L324" s="7" t="str">
        <x:v>両年説明あり・機能差未判定</x:v>
      </x:c>
      <x:c r="M324" s="7" t="str">
        <x:v>出展説明の一次分類</x:v>
      </x:c>
      <x:c r="N324" s="7" t="str"/>
      <x:c r="O324" s="7" t="str">
        <x:v>承認・例外対応・停止・復帰の境界は未確認</x:v>
      </x:c>
      <x:c r="P324" s="7" t="str">
        <x:v>2026公式カタログ掲載・現地未確認
2026展示予定。既存製品・参考出展・構想等は原典で個別確認</x:v>
      </x:c>
      <x:c r="Q324" s="7" t="str">
        <x:v>AC241</x:v>
      </x:c>
      <x:c t="str" r="R324" s="21">
        <x:f>HYPERLINK("https://www.jimtof.org/search/jp/ESdetails?e=ym7ttKJCHb4","JIMTOF2026 出展ページ")</x:f>
        <x:v>JIMTOF2026 出展ページ</x:v>
      </x:c>
      <x:c t="str" r="S324" s="21">
        <x:f>HYPERLINK("https://www.jimtof.org/2024/search/jp/ESdetails?e=pNPnTS5-vOI","JIMTOF2024 出展ページ")</x:f>
        <x:v>JIMTOF2024 出展ページ</x:v>
      </x:c>
      <x:c r="T324" s="7" t="str">
        <x:v>EEX-EXH-2026-fbf9f0b05c61b8ad: https://www.jimtof.org/search/jp/ESdetails?e=ym7ttKJCHb4
該当箇所: 出展紹介・主な出展物。追加カードの原典抜粋で検索
EEX-EXH-2024-68836db8cd056da8: https://www.jimtof.org/2024/search/jp/ESdetails?e=pNPnTS5-vOI
該当箇所: 出展紹介・主な出展物。追加カードの原典抜粋で検索</x:v>
      </x:c>
    </x:row>
    <x:row r="325" ht="155" customHeight="1">
      <x:c r="A325" s="7" t="str">
        <x:v>段取り・物理作業</x:v>
      </x:c>
      <x:c r="B325" s="7" t="str">
        <x:v>クーラント・潤滑・清掃の省人化</x:v>
      </x:c>
      <x:c r="C325" s="20" t="str">
        <x:v>LNS Management SA</x:v>
      </x:c>
      <x:c r="D325" s="7" t="str">
        <x:v>Turbo MH : 濾過機能付きヒンジコンベア</x:v>
      </x:c>
      <x:c r="E325" s="7" t="str">
        <x:v>S4016</x:v>
      </x:c>
      <x:c r="F325" s="7" t="str">
        <x:v>ワーク・パレット・切粉の搬送 ／ クーラント・潤滑・清掃の省人化</x:v>
      </x:c>
      <x:c r="G325" s="7" t="str">
        <x:v>原典抜粋：● GT 565（新製品）：材料径5～67mmまで対応可能な長尺材用のオイル式自動給材機 / ● EL 65：材料径5～65mmまで対応可能な短尺材用の自動給材機 / ● Turbo MH（スケルトンモデル）：自動清掃機能を備えた濾過機能付きヒンジコンベア / LNSの長年の経験に基づく独自技術を採用したこれらの製品は、工場の自動化、生産性向上、作業環境の改善などの課題解決に貢献します。 / ● GT 565: 小径～大径の長尺材に対応</x:v>
      </x:c>
      <x:c r="H325" s="7" t="str">
        <x:v>品種・量の変化に合わせて人の供給往復を減らす。 ／ 補充・濃度管理・切粉処理などの保守作業で運転が途切れる。</x:v>
      </x:c>
      <x:c r="I325" s="7" t="str">
        <x:v>2024原典抜粋：LNSは50年以上にわたり、工作機械の周辺装置の開発・販売に特化して取り組んできました。この長年の経験をもとに開発された給材機、チップコンベア、ミストコレクター、クーラントマネージメントシステムなどの製品は、世界中の工作機械市場で幅広く利用され、多くのお客様から高い評価をいただいています。 JIMTOF 2024の展示ブースでは、新製品を含む以下の製品をご紹介いたします。 ● GT 342（新製品）：材料径3～42mmまで対応可能な長尺材用のオイル式自動給材機 ● Turbo MH（スケルトンモデル）：自動清掃機能</x:v>
      </x:c>
      <x:c r="J325" s="7" t="str">
        <x:v>2026原典抜粋：● GT 565（新製品）：材料径5～67mmまで対応可能な長尺材用のオイル式自動給材機 / ● EL 65：材料径5～65mmまで対応可能な短尺材用の自動給材機 / ● Turbo MH（スケルトンモデル）：自動清掃機能を備えた濾過機能付きヒンジコンベア / LNSの長年の経験に基づく独自技術を採用したこれらの製品は、工場の自動化、生産性向上、作業環境の改善などの課題解決に貢献します。 / ● GT 565: 小径～大径の長尺材に対応</x:v>
      </x:c>
      <x:c r="K325" s="7" t="str">
        <x:v>原典記述の対照。個別機能の追加・性能差・初登場年は未判定。</x:v>
      </x:c>
      <x:c r="L325" s="7" t="str">
        <x:v>両年説明あり・機能差未判定</x:v>
      </x:c>
      <x:c r="M325" s="7" t="str">
        <x:v>出展説明の一次分類</x:v>
      </x:c>
      <x:c r="N325" s="7" t="str"/>
      <x:c r="O325" s="7" t="str">
        <x:v>承認・例外対応・停止・復帰の境界は未確認</x:v>
      </x:c>
      <x:c r="P325" s="7" t="str">
        <x:v>2026公式カタログ掲載・現地未確認
2026展示予定。既存製品・参考出展・構想等は原典で個別確認</x:v>
      </x:c>
      <x:c r="Q325" s="7" t="str">
        <x:v>AC269</x:v>
      </x:c>
      <x:c t="str" r="R325" s="21">
        <x:f>HYPERLINK("https://www.jimtof.org/search/jp/ESdetails?e=MWu_r3zjcLw","JIMTOF2026 出展ページ")</x:f>
        <x:v>JIMTOF2026 出展ページ</x:v>
      </x:c>
      <x:c t="str" r="S325" s="21">
        <x:f>HYPERLINK("https://www.jimtof.org/2024/search/jp/ESdetails?e=5jQ0DlhlPKY","JIMTOF2024 出展ページ")</x:f>
        <x:v>JIMTOF2024 出展ページ</x:v>
      </x:c>
      <x:c r="T325" s="7" t="str">
        <x:v>EEX-EXH-2026-ba7a51db7c150816: https://www.jimtof.org/search/jp/ESdetails?e=MWu_r3zjcLw
該当箇所: 出展紹介・主な出展物。追加カードの原典抜粋で検索
EEX-EXH-2024-bfd31e3ca03c1b78: https://www.jimtof.org/2024/search/jp/ESdetails?e=5jQ0DlhlPKY
該当箇所: 出展紹介・主な出展物。追加カードの原典抜粋で検索</x:v>
      </x:c>
    </x:row>
    <x:row r="326" ht="155" customHeight="1">
      <x:c r="A326" s="7" t="str">
        <x:v>段取り・物理作業</x:v>
      </x:c>
      <x:c r="B326" s="7" t="str">
        <x:v>クーラント・潤滑・清掃の省人化</x:v>
      </x:c>
      <x:c r="C326" s="20" t="str">
        <x:v>WALRUS PUMP Co., Ltd.</x:v>
      </x:c>
      <x:c r="D326" s="7" t="str">
        <x:v>• ポンプ運転、可変速制御、冷却、切りくず除去、フラッシング、潤滑の実演。</x:v>
      </x:c>
      <x:c r="E326" s="7" t="str">
        <x:v>W4075</x:v>
      </x:c>
      <x:c r="F326" s="7" t="str">
        <x:v>クーラント・潤滑・清掃の省人化</x:v>
      </x:c>
      <x:c r="G326" s="7" t="str">
        <x:v>原典抜粋：• 特許取得のドレンバックタンク設計により、漏れた液体をタンクへ自動的に戻し、プロセスを止めずに運転可能。</x:v>
      </x:c>
      <x:c r="H326" s="7" t="str">
        <x:v>補充・濃度管理・切粉処理などの保守作業で運転が途切れる。</x:v>
      </x:c>
      <x:c r="I326" s="7" t="str">
        <x:v>2024原典抜粋：WALRUS PUMPは57年の経験を持ち、工作機械市場に深く根ざしています。さまざまな液体、圧力、排出ニーズに対応し、産業プロセスのために包括的なポンプソリューションを提供しています。 ■ 高品質: 各ポンプは、当社の国際的に認証された水ポンプおよびモーターパワー研究所で検証されており、これらの研究所はTAF、TUV、ILACの国際認証を取得しており、グローバル市場の高い基準を満たしています。 ■ エネルギー効率: IE3-4モーターを搭載し、高効率で運転することでエネルギー消費を削減し、エネルギー節約を実現しま</x:v>
      </x:c>
      <x:c r="J326" s="7" t="str">
        <x:v>2026原典抜粋：• 特許取得のドレンバックタンク設計により、漏れた液体をタンクへ自動的に戻し、プロセスを止めずに運転可能。</x:v>
      </x:c>
      <x:c r="K326" s="7" t="str">
        <x:v>原典記述の対照。個別機能の追加・性能差・初登場年は未判定。</x:v>
      </x:c>
      <x:c r="L326" s="7" t="str">
        <x:v>両年説明あり・機能差未判定</x:v>
      </x:c>
      <x:c r="M326" s="7" t="str">
        <x:v>出展説明の一次分類</x:v>
      </x:c>
      <x:c r="N326" s="7" t="str"/>
      <x:c r="O326" s="7" t="str">
        <x:v>承認・例外対応・停止・復帰の境界は未確認</x:v>
      </x:c>
      <x:c r="P326" s="7" t="str">
        <x:v>2026公式カタログ掲載・現地未確認
2026展示予定。既存製品・参考出展・構想等は原典で個別確認</x:v>
      </x:c>
      <x:c r="Q326" s="7" t="str">
        <x:v>AC293</x:v>
      </x:c>
      <x:c t="str" r="R326" s="21">
        <x:f>HYPERLINK("https://www.jimtof.org/search/jp/ESdetails?e=WiKj9N3VZzI","JIMTOF2026 出展ページ")</x:f>
        <x:v>JIMTOF2026 出展ページ</x:v>
      </x:c>
      <x:c t="str" r="S326" s="21">
        <x:f>HYPERLINK("https://www.jimtof.org/2024/search/jp/ESdetails?e=G_Eeg2HvvrA","JIMTOF2024 出展ページ")</x:f>
        <x:v>JIMTOF2024 出展ページ</x:v>
      </x:c>
      <x:c r="T326" s="7" t="str">
        <x:v>EEX-EXH-2026-703ff3fd652e4672: https://www.jimtof.org/search/jp/ESdetails?e=WiKj9N3VZzI
該当箇所: 出展紹介・主な出展物。追加カードの原典抜粋で検索
EEX-EXH-2024-a8461aeb157b22b5: https://www.jimtof.org/2024/search/jp/ESdetails?e=G_Eeg2HvvrA
該当箇所: 出展紹介・主な出展物。追加カードの原典抜粋で検索</x:v>
      </x:c>
    </x:row>
    <x:row r="327" ht="155" customHeight="1">
      <x:c r="A327" s="7" t="str">
        <x:v>共通基盤</x:v>
      </x:c>
      <x:c r="B327" s="7" t="str">
        <x:v>安全監視・自動化を支える機器</x:v>
      </x:c>
      <x:c r="C327" s="20" t="str">
        <x:v>エヌティーツール</x:v>
      </x:c>
      <x:c r="D327" s="7" t="str">
        <x:v>マテハンホルダ</x:v>
      </x:c>
      <x:c r="E327" s="7" t="str">
        <x:v>W2019</x:v>
      </x:c>
      <x:c r="F327" s="7" t="str">
        <x:v>ワーク搬入出</x:v>
      </x:c>
      <x:c r="G327" s="7" t="str">
        <x:v>既存の圧力源を利用したワーク搬送</x:v>
      </x:c>
      <x:c r="H327" s="7" t="str">
        <x:v>素材・加工品の受渡し作業と機械の待ち時間</x:v>
      </x:c>
      <x:c r="I327" s="7" t="str">
        <x:v>高圧洗浄と自動プリセットを掲載</x:v>
      </x:c>
      <x:c r="J327" s="7" t="str">
        <x:v>マテハンホルダを具体紹介</x:v>
      </x:c>
      <x:c r="K327" s="7" t="str">
        <x:v>出展説明・公式資料の記載比較。初発明年・実演成功・性能向上を証明するものではない。</x:v>
      </x:c>
      <x:c r="L327" s="7" t="str">
        <x:v>比較記録あり</x:v>
      </x:c>
      <x:c r="M327" s="7" t="str">
        <x:v>個別タスク整理</x:v>
      </x:c>
      <x:c r="N327" s="7" t="str"/>
      <x:c r="O327" s="7" t="str">
        <x:v>形状・重量・機種・搬送経路の適合条件は未確認</x:v>
      </x:c>
      <x:c r="P327" s="7" t="str">
        <x:v>JIMTOF2026公式カタログ掲載・現地未確認
2026展示予定・提供段階未確認</x:v>
      </x:c>
      <x:c r="Q327" s="7" t="str">
        <x:v>FC044</x:v>
      </x:c>
      <x:c t="str" r="R327" s="21">
        <x:f>HYPERLINK("https://www.jimtof.org/search/jp/ESdetails?e=iW3vesxy4DU","JIMTOF2026 出展ページ")</x:f>
        <x:v>JIMTOF2026 出展ページ</x:v>
      </x:c>
      <x:c t="str" r="S327" s="21">
        <x:f>HYPERLINK("https://www.jimtof.org/2024/search/jp/ESdetails?e=pYGmVz5GC1c","JIMTOF2024 出展ページ")</x:f>
        <x:v>JIMTOF2024 出展ページ</x:v>
      </x:c>
      <x:c r="T327" s="7" t="str">
        <x:v>EOV-V026-2024-1: https://www.jimtof.org/2024/search/jp/ESdetails?e=pYGmVz5GC1c
該当箇所: main &gt; div.col-md-8.mb-5 の出展紹介、見出し「主な出展物」直後
EOV-V026-2026-1: https://www.jimtof.org/search/jp/ESdetails?e=iW3vesxy4DU
該当箇所: main &gt; div.col-md-8.mb-5 の出展紹介、見出し「主な出展物」直後</x:v>
      </x:c>
    </x:row>
    <x:row r="328" ht="155" customHeight="1">
      <x:c r="A328" s="7" t="str">
        <x:v>共通基盤</x:v>
      </x:c>
      <x:c r="B328" s="7" t="str">
        <x:v>安全監視・自動化を支える機器</x:v>
      </x:c>
      <x:c r="C328" s="20" t="str">
        <x:v>ケーメックス・オートメーション</x:v>
      </x:c>
      <x:c r="D328" s="7" t="str">
        <x:v>産業用IPC／VARIO-X・分散I/O</x:v>
      </x:c>
      <x:c r="E328" s="7" t="str">
        <x:v>S3024</x:v>
      </x:c>
      <x:c r="F328" s="7" t="str">
        <x:v>IPC・分散I/O基盤</x:v>
      </x:c>
      <x:c r="G328" s="7" t="str">
        <x:v>省配線・省スペース化とデータ収集・処理環境を構成</x:v>
      </x:c>
      <x:c r="H328" s="7" t="str">
        <x:v>配線・制御盤の工数や空間、現場データ処理環境の実装負担</x:v>
      </x:c>
      <x:c r="I328" s="7" t="str">
        <x:v>Vario-X・IIoT省配線・安全I/Oと協働ロボットのケーブル保護展示</x:v>
      </x:c>
      <x:c r="J328" s="7" t="str">
        <x:v>2026はIPCとVARIO-XをAI活用基盤として説明</x:v>
      </x:c>
      <x:c r="K328" s="7" t="str">
        <x:v>出展説明・公式資料の記載比較。初発明年・実演成功・性能向上を証明するものではない。</x:v>
      </x:c>
      <x:c r="L328" s="7" t="str">
        <x:v>比較記録あり</x:v>
      </x:c>
      <x:c r="M328" s="7" t="str">
        <x:v>個別タスク整理</x:v>
      </x:c>
      <x:c r="N328" s="7" t="str"/>
      <x:c r="O328" s="7" t="str">
        <x:v>AIモデル・タスク・実機判断は今回記載なし</x:v>
      </x:c>
      <x:c r="P328" s="7" t="str">
        <x:v>JIMTOF2026公式カタログ掲載・現地未確認
実装基盤の展示予定・AI応用そのものは未特定</x:v>
      </x:c>
      <x:c r="Q328" s="7" t="str">
        <x:v>FC068</x:v>
      </x:c>
      <x:c t="str" r="R328" s="21">
        <x:f>HYPERLINK("https://www.jimtof.org/search/jp/ESdetails?e=bz4bGc4T6ag","JIMTOF2026 出展ページ")</x:f>
        <x:v>JIMTOF2026 出展ページ</x:v>
      </x:c>
      <x:c t="str" r="S328" s="21">
        <x:f>HYPERLINK("https://www.jimtof.org/2024/search/jp/ESdetails?e=tvCG3p0xThA","JIMTOF2024 出展ページ")</x:f>
        <x:v>JIMTOF2024 出展ページ</x:v>
      </x:c>
      <x:c r="T328" s="7" t="str">
        <x:v>EAT-V045-2024-1: https://www.jimtof.org/2024/search/jp/ESdetails?e=tvCG3p0xThA
該当箇所: 出展紹介・主な出展物（カードの製品名・機能語で検索）
EAT-V045-2026-1: https://www.jimtof.org/search/jp/ESdetails?e=bz4bGc4T6ag
該当箇所: 出展紹介・主な出展物（カードの製品名・機能語で検索）</x:v>
      </x:c>
    </x:row>
    <x:row r="329" ht="155" customHeight="1">
      <x:c r="A329" s="7" t="str">
        <x:v>共通基盤</x:v>
      </x:c>
      <x:c r="B329" s="7" t="str">
        <x:v>安全監視・自動化を支える機器</x:v>
      </x:c>
      <x:c r="C329" s="20" t="str">
        <x:v>テクノダイナミックス</x:v>
      </x:c>
      <x:c r="D329" s="7" t="str">
        <x:v>歳差ローラカム式減速機</x:v>
      </x:c>
      <x:c r="E329" s="7" t="str">
        <x:v>W3036</x:v>
      </x:c>
      <x:c r="F329" s="7" t="str">
        <x:v>駆動・動力伝達要素</x:v>
      </x:c>
      <x:c r="G329" s="7" t="str">
        <x:v>動力伝達の機械要素。フィジカルAIに最適とのメーカー訴求</x:v>
      </x:c>
      <x:c r="H329" s="7" t="str">
        <x:v>要求トルク・精度・剛性等に合う動力伝達要素の選択</x:v>
      </x:c>
      <x:c r="I329" s="7" t="str">
        <x:v>DSR・DM9・GTB減速機等を掲載</x:v>
      </x:c>
      <x:c r="J329" s="7" t="str">
        <x:v>歳差ローラカム式減速機を初公開と記載</x:v>
      </x:c>
      <x:c r="K329" s="7" t="str">
        <x:v>出展説明・公式資料の記載比較。初発明年・実演成功・性能向上を証明するものではない。</x:v>
      </x:c>
      <x:c r="L329" s="7" t="str">
        <x:v>比較記録あり</x:v>
      </x:c>
      <x:c r="M329" s="7" t="str">
        <x:v>個別タスク整理</x:v>
      </x:c>
      <x:c r="N329" s="7" t="str"/>
      <x:c r="O329" s="7" t="str">
        <x:v>認識・判断・タスク生成のAI機能を備えるとは記載なし</x:v>
      </x:c>
      <x:c r="P329" s="7" t="str">
        <x:v>JIMTOF2026公式カタログ掲載・現地未確認
機構部品の新製品展示予定・AI搭載実績未確認</x:v>
      </x:c>
      <x:c r="Q329" s="7" t="str">
        <x:v>FC069</x:v>
      </x:c>
      <x:c t="str" r="R329" s="21">
        <x:f>HYPERLINK("https://www.jimtof.org/search/jp/ESdetails?e=2X8A1y5c4A8","JIMTOF2026 出展ページ")</x:f>
        <x:v>JIMTOF2026 出展ページ</x:v>
      </x:c>
      <x:c t="str" r="S329" s="21">
        <x:f>HYPERLINK("https://www.jimtof.org/2024/search/jp/ESdetails?e=7pg5I7Dvfkc","JIMTOF2024 出展ページ")</x:f>
        <x:v>JIMTOF2024 出展ページ</x:v>
      </x:c>
      <x:c r="T329" s="7" t="str">
        <x:v>EAT-V046-2024-1: https://www.jimtof.org/2024/search/jp/ESdetails?e=7pg5I7Dvfkc
該当箇所: 出展紹介・主な出展物（カードの製品名・機能語で検索）
EAT-V046-2026-1: https://www.jimtof.org/search/jp/ESdetails?e=2X8A1y5c4A8
該当箇所: 出展紹介・主な出展物（カードの製品名・機能語で検索）</x:v>
      </x:c>
    </x:row>
    <x:row r="330" ht="155" customHeight="1">
      <x:c r="A330" s="7" t="str">
        <x:v>共通基盤</x:v>
      </x:c>
      <x:c r="B330" s="7" t="str">
        <x:v>安全監視・自動化を支える機器</x:v>
      </x:c>
      <x:c r="C330" s="20" t="str">
        <x:v>IDEC株式会社</x:v>
      </x:c>
      <x:c r="D330" s="7" t="str">
        <x:v>IDECブースでは、「安全が支える止まらない現場」をテーマに、</x:v>
      </x:c>
      <x:c r="E330" s="7" t="str">
        <x:v>W4090</x:v>
      </x:c>
      <x:c r="F330" s="7" t="str">
        <x:v>安全監視・自動化を支える機器</x:v>
      </x:c>
      <x:c r="G330" s="7" t="str">
        <x:v>原典抜粋：近年、工作機械の現場では、自動化や無人運転の拡大に伴い、 / 非接触方式によるガード扉監視を実現し、高い耐久性と設置自由度で工作機械の安全性向上をサポートします。</x:v>
      </x:c>
      <x:c r="H330" s="7" t="str">
        <x:v>無人運転やロボット導入には、安全確保と機器・配線・力の伝達が必要。</x:v>
      </x:c>
      <x:c r="I330" s="7" t="str">
        <x:v>2024原典抜粋：IDECは工作機械の安全において最も重要な部品であるインターロック装置において国際安全規格の要求事項を満たし、工作機械の使用環境において特に要求される十分な堅牢性・耐久性を持つ製品を取り揃えています。また工作機械の周辺機器も含めた自動化のトレンドに合わせ、安全機器、HMIコンポーネンツ等、新しいニーズに適合した製品を提供し、工作機械の安全性の向上に貢献してまいります。 ・重量物搬送の負荷を軽減する Assist Wheel Drive ・安心安全なAGV/AMRを簡単につくれる Safety Wheel Drive</x:v>
      </x:c>
      <x:c r="J330" s="7" t="str">
        <x:v>2026原典抜粋：近年、工作機械の現場では、自動化や無人運転の拡大に伴い、 / 非接触方式によるガード扉監視を実現し、高い耐久性と設置自由度で工作機械の安全性向上をサポートします。</x:v>
      </x:c>
      <x:c r="K330" s="7" t="str">
        <x:v>原典記述の対照。個別機能の追加・性能差・初登場年は未判定。</x:v>
      </x:c>
      <x:c r="L330" s="7" t="str">
        <x:v>両年説明あり・機能差未判定</x:v>
      </x:c>
      <x:c r="M330" s="7" t="str">
        <x:v>出展説明の一次分類</x:v>
      </x:c>
      <x:c r="N330" s="7" t="str"/>
      <x:c r="O330" s="7" t="str">
        <x:v>承認・例外対応・停止・復帰の境界は未確認</x:v>
      </x:c>
      <x:c r="P330" s="7" t="str">
        <x:v>2026公式カタログ掲載・現地未確認
2026展示予定。既存製品・参考出展・構想等は原典で個別確認</x:v>
      </x:c>
      <x:c r="Q330" s="7" t="str">
        <x:v>AC002</x:v>
      </x:c>
      <x:c t="str" r="R330" s="21">
        <x:f>HYPERLINK("https://www.jimtof.org/search/jp/ESdetails?e=26-u-N6DHfQ","JIMTOF2026 出展ページ")</x:f>
        <x:v>JIMTOF2026 出展ページ</x:v>
      </x:c>
      <x:c t="str" r="S330" s="21">
        <x:f>HYPERLINK("https://www.jimtof.org/2024/search/jp/ESdetails?e=v8v8EXXpRXM","JIMTOF2024 出展ページ")</x:f>
        <x:v>JIMTOF2024 出展ページ</x:v>
      </x:c>
      <x:c r="T330" s="7" t="str">
        <x:v>EEX-EXH-2026-7d2e05044c8b6788: https://www.jimtof.org/search/jp/ESdetails?e=26-u-N6DHfQ
該当箇所: 出展紹介・主な出展物。追加カードの原典抜粋で検索
EEX-EXH-2024-4ae441a189083735: https://www.jimtof.org/2024/search/jp/ESdetails?e=v8v8EXXpRXM
該当箇所: 出展紹介・主な出展物。追加カードの原典抜粋で検索</x:v>
      </x:c>
    </x:row>
    <x:row r="331" ht="155" customHeight="1">
      <x:c r="A331" s="7" t="str">
        <x:v>共通基盤</x:v>
      </x:c>
      <x:c r="B331" s="7" t="str">
        <x:v>安全監視・自動化を支える機器</x:v>
      </x:c>
      <x:c r="C331" s="20" t="str">
        <x:v>アズビルTACO株式会社</x:v>
      </x:c>
      <x:c r="D331" s="7" t="str">
        <x:v>アズビルTACO</x:v>
      </x:c>
      <x:c r="E331" s="7" t="str">
        <x:v>W4070</x:v>
      </x:c>
      <x:c r="F331" s="7" t="str">
        <x:v>設備・刃具の異常検知と保全 ／ 安全監視・自動化を支える機器</x:v>
      </x:c>
      <x:c r="G331" s="7" t="str">
        <x:v>原典抜粋：① 工作機械の自動扉に合わせた形状で、確実に挟まれを検知する、セーフティエッジスイッチ。 / ・工作機械の自動扉の挟まれ検知に最適なエッジスイッチ / ・自動扉の形状に合わせて設置可能。 / ② 状態監視用振動・温度センサ　形:QM30VT3 / ・3軸振動・温度監視と自動しきい値設定機能を搭載したコンパクトな状態監視センサ。</x:v>
      </x:c>
      <x:c r="H331" s="7" t="str">
        <x:v>故障や工具破損の兆候を捉え、点検・交換につなぐ負担。 ／ 無人運転やロボット導入には、安全確保と機器・配線・力の伝達が必要。</x:v>
      </x:c>
      <x:c r="I331" s="7" t="str">
        <x:v>2024原典抜粋：工作機械など各種機械要素の潤滑課題に対応したフォグ潤滑装置「ミクロンルブ™潤滑ユニット」を展示しております。 ミクロンルブ™潤滑ユニットは、工作機械のパフォーマンスの最適化や運用コストを削減するために非常に重要な役割を果たしています。 ミクロンルブ™潤滑ユニット</x:v>
      </x:c>
      <x:c r="J331" s="7" t="str">
        <x:v>2026原典抜粋：① 工作機械の自動扉に合わせた形状で、確実に挟まれを検知する、セーフティエッジスイッチ。 / ・工作機械の自動扉の挟まれ検知に最適なエッジスイッチ / ・自動扉の形状に合わせて設置可能。 / ② 状態監視用振動・温度センサ　形:QM30VT3 / ・3軸振動・温度監視と自動しきい値設定機能を搭載したコンパクトな状態監視センサ。</x:v>
      </x:c>
      <x:c r="K331" s="7" t="str">
        <x:v>原典記述の対照。個別機能の追加・性能差・初登場年は未判定。</x:v>
      </x:c>
      <x:c r="L331" s="7" t="str">
        <x:v>両年説明あり・機能差未判定</x:v>
      </x:c>
      <x:c r="M331" s="7" t="str">
        <x:v>出展説明の一次分類</x:v>
      </x:c>
      <x:c r="N331" s="7" t="str"/>
      <x:c r="O331" s="7" t="str">
        <x:v>承認・例外対応・停止・復帰の境界は未確認</x:v>
      </x:c>
      <x:c r="P331" s="7" t="str">
        <x:v>2026公式カタログ掲載・現地未確認
2026展示予定。既存製品・参考出展・構想等は原典で個別確認</x:v>
      </x:c>
      <x:c r="Q331" s="7" t="str">
        <x:v>AC007</x:v>
      </x:c>
      <x:c t="str" r="R331" s="21">
        <x:f>HYPERLINK("https://www.jimtof.org/search/jp/ESdetails?e=x6DdroBnfSA","JIMTOF2026 出展ページ")</x:f>
        <x:v>JIMTOF2026 出展ページ</x:v>
      </x:c>
      <x:c t="str" r="S331" s="21">
        <x:f>HYPERLINK("https://www.jimtof.org/2024/search/jp/ESdetails?e=vJBoIDNEQPQ","JIMTOF2024 出展ページ")</x:f>
        <x:v>JIMTOF2024 出展ページ</x:v>
      </x:c>
      <x:c r="T331" s="7" t="str">
        <x:v>EEX-EXH-2026-2c48cf1373cedc75: https://www.jimtof.org/search/jp/ESdetails?e=x6DdroBnfSA
該当箇所: 出展紹介・主な出展物。追加カードの原典抜粋で検索
EEX-EXH-2024-88a3ebaf12d0b049: https://www.jimtof.org/2024/search/jp/ESdetails?e=vJBoIDNEQPQ
該当箇所: 出展紹介・主な出展物。追加カードの原典抜粋で検索</x:v>
      </x:c>
    </x:row>
    <x:row r="332" ht="155" customHeight="1">
      <x:c r="A332" s="7" t="str">
        <x:v>共通基盤</x:v>
      </x:c>
      <x:c r="B332" s="7" t="str">
        <x:v>安全監視・自動化を支える機器</x:v>
      </x:c>
      <x:c r="C332" s="20" t="str">
        <x:v>アナログ・デバイセズ株式会社</x:v>
      </x:c>
      <x:c r="D332" s="7" t="str">
        <x:v>長距離、省配線を実現する産業用イーサーネット</x:v>
      </x:c>
      <x:c r="E332" s="7" t="str">
        <x:v>S3003</x:v>
      </x:c>
      <x:c r="F332" s="7" t="str">
        <x:v>AIモデル作成・機器接続の基盤 ／ 安全監視・自動化を支える機器</x:v>
      </x:c>
      <x:c r="G332" s="7" t="str">
        <x:v>原典抜粋：- AIを、確実な制御へ - / AIを現場価値へ変えるために必要な全てを、ADIの技術でつなぐ</x:v>
      </x:c>
      <x:c r="H332" s="7" t="str">
        <x:v>データの意味づけと、作ったAIを現場へつなぐ負担。 ／ 無人運転やロボット導入には、安全確保と機器・配線・力の伝達が必要。</x:v>
      </x:c>
      <x:c r="I332" s="7" t="str">
        <x:v>同一正規化名称の2024詳細なし。新規出展・技術不存在とは判断しない。</x:v>
      </x:c>
      <x:c r="J332" s="7" t="str">
        <x:v>2026原典抜粋：- AIを、確実な制御へ - / AIを現場価値へ変えるために必要な全てを、ADIの技術でつなぐ</x:v>
      </x:c>
      <x:c r="K332" s="7" t="str">
        <x:v>原典記述の対照。個別機能の追加・性能差・初登場年は未判定。</x:v>
      </x:c>
      <x:c r="L332" s="7" t="str">
        <x:v>年度資料不足・比較不能</x:v>
      </x:c>
      <x:c r="M332" s="7" t="str">
        <x:v>出展説明の一次分類</x:v>
      </x:c>
      <x:c r="N332" s="7" t="str"/>
      <x:c r="O332" s="7" t="str">
        <x:v>承認・例外対応・停止・復帰の境界は未確認</x:v>
      </x:c>
      <x:c r="P332" s="7" t="str">
        <x:v>2026公式カタログ掲載・現地未確認
2026展示予定。既存製品・参考出展・構想等は原典で個別確認</x:v>
      </x:c>
      <x:c r="Q332" s="7" t="str">
        <x:v>AC008</x:v>
      </x:c>
      <x:c t="str" r="R332" s="21">
        <x:f>HYPERLINK("https://www.jimtof.org/search/jp/ESdetails?e=KmFutdwRdo0","JIMTOF2026 出展ページ")</x:f>
        <x:v>JIMTOF2026 出展ページ</x:v>
      </x:c>
      <x:c r="S332" s="21" t="str"/>
      <x:c r="T332" s="7" t="str">
        <x:v>EEX-EXH-2026-5fe4f7b65e7b1d1b: https://www.jimtof.org/search/jp/ESdetails?e=KmFutdwRdo0
該当箇所: 出展紹介・主な出展物。追加カードの原典抜粋で検索</x:v>
      </x:c>
    </x:row>
    <x:row r="333" ht="155" customHeight="1">
      <x:c r="A333" s="7" t="str">
        <x:v>共通基盤</x:v>
      </x:c>
      <x:c r="B333" s="7" t="str">
        <x:v>安全監視・自動化を支える機器</x:v>
      </x:c>
      <x:c r="C333" s="20" t="str">
        <x:v>株式会社ヴィクストリン</x:v>
      </x:c>
      <x:c r="D333" s="7" t="str">
        <x:v>自動ツールチェンジャー／手動ツールチェンジャー／衝突センサー「QuickSTOP™」／</x:v>
      </x:c>
      <x:c r="E333" s="7" t="str">
        <x:v>W4098</x:v>
      </x:c>
      <x:c r="F333" s="7" t="str">
        <x:v>爪・治具・ハンドと位置の段取り ／ 安全監視・自動化を支える機器</x:v>
      </x:c>
      <x:c r="G333" s="7" t="str">
        <x:v>原典抜粋：以来、高度な産業用ロボットやオートメーションのエンジニアリング分野で、50年以上の実績を重ねてまいりました。 / 自動ツールチェンジャー／手動ツールチェンジャー／衝突センサー「QuickSTOP™」／</x:v>
      </x:c>
      <x:c r="H333" s="7" t="str">
        <x:v>多品種で繰り返す機械的交換と再教示の負担。 ／ 無人運転やロボット導入には、安全確保と機器・配線・力の伝達が必要。</x:v>
      </x:c>
      <x:c r="I333" s="7" t="str">
        <x:v>同一正規化名称の2024詳細なし。新規出展・技術不存在とは判断しない。</x:v>
      </x:c>
      <x:c r="J333" s="7" t="str">
        <x:v>2026原典抜粋：以来、高度な産業用ロボットやオートメーションのエンジニアリング分野で、50年以上の実績を重ねてまいりました。 / 自動ツールチェンジャー／手動ツールチェンジャー／衝突センサー「QuickSTOP™」／</x:v>
      </x:c>
      <x:c r="K333" s="7" t="str">
        <x:v>原典記述の対照。個別機能の追加・性能差・初登場年は未判定。</x:v>
      </x:c>
      <x:c r="L333" s="7" t="str">
        <x:v>年度資料不足・比較不能</x:v>
      </x:c>
      <x:c r="M333" s="7" t="str">
        <x:v>出展説明の一次分類</x:v>
      </x:c>
      <x:c r="N333" s="7" t="str"/>
      <x:c r="O333" s="7" t="str">
        <x:v>承認・例外対応・停止・復帰の境界は未確認</x:v>
      </x:c>
      <x:c r="P333" s="7" t="str">
        <x:v>2026公式カタログ掲載・現地未確認
2026展示予定。既存製品・参考出展・構想等は原典で個別確認</x:v>
      </x:c>
      <x:c r="Q333" s="7" t="str">
        <x:v>AC027</x:v>
      </x:c>
      <x:c t="str" r="R333" s="21">
        <x:f>HYPERLINK("https://www.jimtof.org/search/jp/ESdetails?e=aO10VG4tnUs","JIMTOF2026 出展ページ")</x:f>
        <x:v>JIMTOF2026 出展ページ</x:v>
      </x:c>
      <x:c r="S333" s="21" t="str"/>
      <x:c r="T333" s="7" t="str">
        <x:v>EEX-EXH-2026-3884a355dc068f08: https://www.jimtof.org/search/jp/ESdetails?e=aO10VG4tnUs
該当箇所: 出展紹介・主な出展物。追加カードの原典抜粋で検索</x:v>
      </x:c>
    </x:row>
    <x:row r="334" ht="155" customHeight="1">
      <x:c r="A334" s="7" t="str">
        <x:v>共通基盤</x:v>
      </x:c>
      <x:c r="B334" s="7" t="str">
        <x:v>安全監視・自動化を支える機器</x:v>
      </x:c>
      <x:c r="C334" s="20" t="str">
        <x:v>永興電機工業株式会社</x:v>
      </x:c>
      <x:c r="D334" s="7" t="str">
        <x:v>精密電動マイクログラインダE-FOFCE、多種多様な先端工具と専用工具</x:v>
      </x:c>
      <x:c r="E334" s="7" t="str">
        <x:v>W3057</x:v>
      </x:c>
      <x:c r="F334" s="7" t="str">
        <x:v>認識を伴うピック・付帯加工・除去 ／ 安全監視・自動化を支える機器</x:v>
      </x:c>
      <x:c r="G334" s="7" t="str">
        <x:v>原典抜粋：アタッチメントは9種類、モータはブラシレスモータを採用でスピードタイプとトルクタイプの2種類、高トルク作業用の減速機を用意し、ロボットや設備への搭載も可能。</x:v>
      </x:c>
      <x:c r="H334" s="7" t="str">
        <x:v>形状や絡まりが変わる物理作業に固定手順で対応しにくい。 ／ 無人運転やロボット導入には、安全確保と機器・配線・力の伝達が必要。</x:v>
      </x:c>
      <x:c r="I334" s="7" t="str">
        <x:v>2024原典抜粋：約3,000種類の先端工具・専用工具、多彩なアタッチメントとハイパワーモータの組合せで、あらゆるバリ取り、切削、研磨作業に対応します。アタッチメントは9種類、モータはブラシレスモータを採用でスピードタイプとトルクタイプの2種類、高トルク作業用の減速機を用意し、ロボットや設備への搭載も可能。問題解決に向けた工具が必ず見つかります。 静粛性・低振動のブラシレスモータを採用しています。手元操作でスピードコントロールが可能。作業に合わせて複数のアタッチメントを用意、クイックチェンジ機能でワンタッチ着脱ができます。インターロ</x:v>
      </x:c>
      <x:c r="J334" s="7" t="str">
        <x:v>2026原典抜粋：アタッチメントは9種類、モータはブラシレスモータを採用でスピードタイプとトルクタイプの2種類、高トルク作業用の減速機を用意し、ロボットや設備への搭載も可能。</x:v>
      </x:c>
      <x:c r="K334" s="7" t="str">
        <x:v>原典記述の対照。個別機能の追加・性能差・初登場年は未判定。</x:v>
      </x:c>
      <x:c r="L334" s="7" t="str">
        <x:v>両年説明あり・機能差未判定</x:v>
      </x:c>
      <x:c r="M334" s="7" t="str">
        <x:v>出展説明の一次分類</x:v>
      </x:c>
      <x:c r="N334" s="7" t="str"/>
      <x:c r="O334" s="7" t="str">
        <x:v>承認・例外対応・停止・復帰の境界は未確認</x:v>
      </x:c>
      <x:c r="P334" s="7" t="str">
        <x:v>2026公式カタログ掲載・現地未確認
2026展示予定。既存製品・参考出展・構想等は原典で個別確認</x:v>
      </x:c>
      <x:c r="Q334" s="7" t="str">
        <x:v>AC030</x:v>
      </x:c>
      <x:c t="str" r="R334" s="21">
        <x:f>HYPERLINK("https://www.jimtof.org/search/jp/ESdetails?e=rF_cWwycdK4","JIMTOF2026 出展ページ")</x:f>
        <x:v>JIMTOF2026 出展ページ</x:v>
      </x:c>
      <x:c t="str" r="S334" s="21">
        <x:f>HYPERLINK("https://www.jimtof.org/2024/search/jp/ESdetails?e=_EZZDjiQlR0","JIMTOF2024 出展ページ")</x:f>
        <x:v>JIMTOF2024 出展ページ</x:v>
      </x:c>
      <x:c r="T334" s="7" t="str">
        <x:v>EEX-EXH-2026-6ef0e5bdfc35158c: https://www.jimtof.org/search/jp/ESdetails?e=rF_cWwycdK4
該当箇所: 出展紹介・主な出展物。追加カードの原典抜粋で検索
EEX-EXH-2024-2f2d6c1de650755e: https://www.jimtof.org/2024/search/jp/ESdetails?e=_EZZDjiQlR0
該当箇所: 出展紹介・主な出展物。追加カードの原典抜粋で検索</x:v>
      </x:c>
    </x:row>
    <x:row r="335" ht="155" customHeight="1">
      <x:c r="A335" s="7" t="str">
        <x:v>共通基盤</x:v>
      </x:c>
      <x:c r="B335" s="7" t="str">
        <x:v>安全監視・自動化を支える機器</x:v>
      </x:c>
      <x:c r="C335" s="20" t="str">
        <x:v>Quod6株式会社</x:v>
      </x:c>
      <x:c r="D335" s="7" t="str">
        <x:v>• Element SixのダイヤモンドおよびCBN</x:v>
      </x:c>
      <x:c r="E335" s="7" t="str">
        <x:v>W4017</x:v>
      </x:c>
      <x:c r="F335" s="7" t="str">
        <x:v>安全監視・自動化を支える機器</x:v>
      </x:c>
      <x:c r="G335" s="7" t="str">
        <x:v>原典抜粋：o 自動化された効率的な高品質ろう付け</x:v>
      </x:c>
      <x:c r="H335" s="7" t="str">
        <x:v>無人運転やロボット導入には、安全確保と機器・配線・力の伝達が必要。</x:v>
      </x:c>
      <x:c r="I335" s="7" t="str">
        <x:v>同一正規化名称の2024詳細なし。新規出展・技術不存在とは判断しない。</x:v>
      </x:c>
      <x:c r="J335" s="7" t="str">
        <x:v>2026原典抜粋：o 自動化された効率的な高品質ろう付け</x:v>
      </x:c>
      <x:c r="K335" s="7" t="str">
        <x:v>原典記述の対照。個別機能の追加・性能差・初登場年は未判定。</x:v>
      </x:c>
      <x:c r="L335" s="7" t="str">
        <x:v>年度資料不足・比較不能</x:v>
      </x:c>
      <x:c r="M335" s="7" t="str">
        <x:v>出展説明の一次分類</x:v>
      </x:c>
      <x:c r="N335" s="7" t="str"/>
      <x:c r="O335" s="7" t="str">
        <x:v>承認・例外対応・停止・復帰の境界は未確認</x:v>
      </x:c>
      <x:c r="P335" s="7" t="str">
        <x:v>2026公式カタログ掲載・現地未確認
2026展示予定。既存製品・参考出展・構想等は原典で個別確認</x:v>
      </x:c>
      <x:c r="Q335" s="7" t="str">
        <x:v>AC064</x:v>
      </x:c>
      <x:c t="str" r="R335" s="21">
        <x:f>HYPERLINK("https://www.jimtof.org/search/jp/ESdetails?e=ecnhDTVp2uU","JIMTOF2026 出展ページ")</x:f>
        <x:v>JIMTOF2026 出展ページ</x:v>
      </x:c>
      <x:c r="S335" s="21" t="str"/>
      <x:c r="T335" s="7" t="str">
        <x:v>EEX-EXH-2026-7b1312c50474d3b9: https://www.jimtof.org/search/jp/ESdetails?e=ecnhDTVp2uU
該当箇所: 出展紹介・主な出展物。追加カードの原典抜粋で検索</x:v>
      </x:c>
    </x:row>
    <x:row r="336" ht="155" customHeight="1">
      <x:c r="A336" s="7" t="str">
        <x:v>共通基盤</x:v>
      </x:c>
      <x:c r="B336" s="7" t="str">
        <x:v>安全監視・自動化を支える機器</x:v>
      </x:c>
      <x:c r="C336" s="20" t="str">
        <x:v>株式会社国盛化学</x:v>
      </x:c>
      <x:c r="D336" s="7" t="str">
        <x:v>サイルベア（低発塵・低振動・低発塵・低摩耗）のリンクレスケーブルチェーン）</x:v>
      </x:c>
      <x:c r="E336" s="7" t="str">
        <x:v>S3039</x:v>
      </x:c>
      <x:c r="F336" s="7" t="str">
        <x:v>安全監視・自動化を支える機器</x:v>
      </x:c>
      <x:c r="G336" s="7" t="str">
        <x:v>原典抜粋：中でも、多関節ロボット対応の サイルベアフレックス は、</x:v>
      </x:c>
      <x:c r="H336" s="7" t="str">
        <x:v>無人運転やロボット導入には、安全確保と機器・配線・力の伝達が必要。</x:v>
      </x:c>
      <x:c r="I336" s="7" t="str">
        <x:v>同一正規化名称の2024詳細なし。新規出展・技術不存在とは判断しない。</x:v>
      </x:c>
      <x:c r="J336" s="7" t="str">
        <x:v>2026原典抜粋：中でも、多関節ロボット対応の サイルベアフレックス は、</x:v>
      </x:c>
      <x:c r="K336" s="7" t="str">
        <x:v>原典記述の対照。個別機能の追加・性能差・初登場年は未判定。</x:v>
      </x:c>
      <x:c r="L336" s="7" t="str">
        <x:v>年度資料不足・比較不能</x:v>
      </x:c>
      <x:c r="M336" s="7" t="str">
        <x:v>出展説明の一次分類</x:v>
      </x:c>
      <x:c r="N336" s="7" t="str"/>
      <x:c r="O336" s="7" t="str">
        <x:v>承認・例外対応・停止・復帰の境界は未確認</x:v>
      </x:c>
      <x:c r="P336" s="7" t="str">
        <x:v>2026公式カタログ掲載・現地未確認
2026展示予定。既存製品・参考出展・構想等は原典で個別確認</x:v>
      </x:c>
      <x:c r="Q336" s="7" t="str">
        <x:v>AC065</x:v>
      </x:c>
      <x:c t="str" r="R336" s="21">
        <x:f>HYPERLINK("https://www.jimtof.org/search/jp/ESdetails?e=27tfI7tHVRI","JIMTOF2026 出展ページ")</x:f>
        <x:v>JIMTOF2026 出展ページ</x:v>
      </x:c>
      <x:c r="S336" s="21" t="str"/>
      <x:c r="T336" s="7" t="str">
        <x:v>EEX-EXH-2026-494539b75342b5a9: https://www.jimtof.org/search/jp/ESdetails?e=27tfI7tHVRI
該当箇所: 出展紹介・主な出展物。追加カードの原典抜粋で検索</x:v>
      </x:c>
    </x:row>
    <x:row r="337" ht="155" customHeight="1">
      <x:c r="A337" s="7" t="str">
        <x:v>共通基盤</x:v>
      </x:c>
      <x:c r="B337" s="7" t="str">
        <x:v>安全監視・自動化を支える機器</x:v>
      </x:c>
      <x:c r="C337" s="20" t="str">
        <x:v>株式会社クロイツ</x:v>
      </x:c>
      <x:c r="D337" s="7" t="str">
        <x:v>N-バイト</x:v>
      </x:c>
      <x:c r="E337" s="7" t="str">
        <x:v>E3025</x:v>
      </x:c>
      <x:c r="F337" s="7" t="str">
        <x:v>認識を伴うピック・付帯加工・除去 ／ 安全監視・自動化を支える機器</x:v>
      </x:c>
      <x:c r="G337" s="7" t="str">
        <x:v>原典抜粋：ロボット向けフローチングツーリング</x:v>
      </x:c>
      <x:c r="H337" s="7" t="str">
        <x:v>形状や絡まりが変わる物理作業に固定手順で対応しにくい。 ／ 無人運転やロボット導入には、安全確保と機器・配線・力の伝達が必要。</x:v>
      </x:c>
      <x:c r="I337" s="7" t="str">
        <x:v>2024原典抜粋：今回は新機種として、NCコアユニット NCR-D5H を搭載したバリ取り機を展示致します。 ツイストドライブ方式による5軸が天吊型の構成で、弊社のロボットユニットであるRBR-D5N とメカ互換を実現しました。 バリ取り設備として、NCで制御したい、ロボットで動かしたいなどユーザーの選択を広げた展開 でニーズに答えます。 また、Z軸負荷軽減ユニットも展示致します。研削などで使用できる高出力のモータースピンドルで負荷軽減できるモーションユニットです。 他には、NC旋盤やマシニングセンタ向けのバリ取り工具を多数展示致し</x:v>
      </x:c>
      <x:c r="J337" s="7" t="str">
        <x:v>2026原典抜粋：ロボット向けフローチングツーリング</x:v>
      </x:c>
      <x:c r="K337" s="7" t="str">
        <x:v>原典記述の対照。個別機能の追加・性能差・初登場年は未判定。</x:v>
      </x:c>
      <x:c r="L337" s="7" t="str">
        <x:v>両年説明あり・機能差未判定</x:v>
      </x:c>
      <x:c r="M337" s="7" t="str">
        <x:v>出展説明の一次分類</x:v>
      </x:c>
      <x:c r="N337" s="7" t="str"/>
      <x:c r="O337" s="7" t="str">
        <x:v>承認・例外対応・停止・復帰の境界は未確認</x:v>
      </x:c>
      <x:c r="P337" s="7" t="str">
        <x:v>2026公式カタログ掲載・現地未確認
2026展示予定。既存製品・参考出展・構想等は原典で個別確認</x:v>
      </x:c>
      <x:c r="Q337" s="7" t="str">
        <x:v>AC066</x:v>
      </x:c>
      <x:c t="str" r="R337" s="21">
        <x:f>HYPERLINK("https://www.jimtof.org/search/jp/ESdetails?e=pKhtGg5AXLc","JIMTOF2026 出展ページ")</x:f>
        <x:v>JIMTOF2026 出展ページ</x:v>
      </x:c>
      <x:c t="str" r="S337" s="21">
        <x:f>HYPERLINK("https://www.jimtof.org/2024/search/jp/ESdetails?e=1GQBhZ1T3X0","JIMTOF2024 出展ページ")</x:f>
        <x:v>JIMTOF2024 出展ページ</x:v>
      </x:c>
      <x:c r="T337" s="7" t="str">
        <x:v>EEX-EXH-2026-65a684118b48bdf2: https://www.jimtof.org/search/jp/ESdetails?e=pKhtGg5AXLc
該当箇所: 出展紹介・主な出展物。追加カードの原典抜粋で検索
EEX-EXH-2024-96fda1ff323f21a0: https://www.jimtof.org/2024/search/jp/ESdetails?e=1GQBhZ1T3X0
該当箇所: 出展紹介・主な出展物。追加カードの原典抜粋で検索</x:v>
      </x:c>
    </x:row>
    <x:row r="338" ht="155" customHeight="1">
      <x:c r="A338" s="7" t="str">
        <x:v>共通基盤</x:v>
      </x:c>
      <x:c r="B338" s="7" t="str">
        <x:v>安全監視・自動化を支える機器</x:v>
      </x:c>
      <x:c r="C338" s="20" t="str">
        <x:v>株式会社グローバル・パーツ</x:v>
      </x:c>
      <x:c r="D338" s="7" t="str">
        <x:v>精密ロックナット、主軸周辺の高精度加工部品、軸力測定センサー、ATCマガジン、汎用クーラントホースシステム、高圧専用ノズル、スピンドル、パワーチャック</x:v>
      </x:c>
      <x:c r="E338" s="7" t="str">
        <x:v>S3045</x:v>
      </x:c>
      <x:c r="F338" s="7" t="str">
        <x:v>安全監視・自動化を支える機器</x:v>
      </x:c>
      <x:c r="G338" s="7" t="str">
        <x:v>原典抜粋：ATCマガジンやロータリーテーブル、APCといった自動化に関連する装置や、消費電力削減が図れるインバータ付き油圧ユニット、サーボモーター付き油圧ユニットも製造・販売しております。 / 精密ロックナット、主軸周辺の高精度加工部品、軸力測定センサー、ATCマガジン、汎用クーラントホースシステム、高圧専用ノズル、スピンドル、パワーチャック、回転シリンダー、ハースカップリング、インバータータイプ油圧ポンプ、サーボタイプ油圧ポンプ、ロータリーテー</x:v>
      </x:c>
      <x:c r="H338" s="7" t="str">
        <x:v>無人運転やロボット導入には、安全確保と機器・配線・力の伝達が必要。</x:v>
      </x:c>
      <x:c r="I338" s="7" t="str">
        <x:v>2024原典抜粋：精密ロックナットと高精度特殊部品は図面で仕様を指定頂ければ2個からでも生産致します。高精度部品は主に丸物を得意にしており『直角度：0.002mm、平行度：0.002mm、平面度：0.002mm等』の精度で加工し、最新鋭の検査設備で測定した結果と共に提供致します。 ATCマガジンやロータリーテーブル、APCといった自動化に関連する装置や、消費電力削減が図れるインバータ付き油圧ユニット、サーボモーター付き油圧ユニットも製造・販売しております。 実機の実演も行っていますので、当日はブースへお越し頂けます様お願い申し上げま</x:v>
      </x:c>
      <x:c r="J338" s="7" t="str">
        <x:v>2026原典抜粋：ATCマガジンやロータリーテーブル、APCといった自動化に関連する装置や、消費電力削減が図れるインバータ付き油圧ユニット、サーボモーター付き油圧ユニットも製造・販売しております。 / 精密ロックナット、主軸周辺の高精度加工部品、軸力測定センサー、ATCマガジン、汎用クーラントホースシステム、高圧専用ノズル、スピンドル、パワーチャック、回転シリンダー、ハースカップリング、インバータータイプ油圧ポンプ、サーボタイプ油圧ポンプ、ロータリーテー</x:v>
      </x:c>
      <x:c r="K338" s="7" t="str">
        <x:v>原典記述の対照。個別機能の追加・性能差・初登場年は未判定。</x:v>
      </x:c>
      <x:c r="L338" s="7" t="str">
        <x:v>両年説明あり・機能差未判定</x:v>
      </x:c>
      <x:c r="M338" s="7" t="str">
        <x:v>出展説明の一次分類</x:v>
      </x:c>
      <x:c r="N338" s="7" t="str"/>
      <x:c r="O338" s="7" t="str">
        <x:v>承認・例外対応・停止・復帰の境界は未確認</x:v>
      </x:c>
      <x:c r="P338" s="7" t="str">
        <x:v>2026公式カタログ掲載・現地未確認
2026展示予定。既存製品・参考出展・構想等は原典で個別確認</x:v>
      </x:c>
      <x:c r="Q338" s="7" t="str">
        <x:v>AC067</x:v>
      </x:c>
      <x:c t="str" r="R338" s="21">
        <x:f>HYPERLINK("https://www.jimtof.org/search/jp/ESdetails?e=7pg5I7Dvfkc","JIMTOF2026 出展ページ")</x:f>
        <x:v>JIMTOF2026 出展ページ</x:v>
      </x:c>
      <x:c t="str" r="S338" s="21">
        <x:f>HYPERLINK("https://www.jimtof.org/2024/search/jp/ESdetails?e=6gt3alVsSgs","JIMTOF2024 出展ページ")</x:f>
        <x:v>JIMTOF2024 出展ページ</x:v>
      </x:c>
      <x:c r="T338" s="7" t="str">
        <x:v>EEX-EXH-2026-52c126c6f3c4371e: https://www.jimtof.org/search/jp/ESdetails?e=7pg5I7Dvfkc
該当箇所: 出展紹介・主な出展物。追加カードの原典抜粋で検索
EEX-EXH-2024-b2a774439c818c66: https://www.jimtof.org/2024/search/jp/ESdetails?e=6gt3alVsSgs
該当箇所: 出展紹介・主な出展物。追加カードの原典抜粋で検索</x:v>
      </x:c>
    </x:row>
    <x:row r="339" ht="155" customHeight="1">
      <x:c r="A339" s="7" t="str">
        <x:v>共通基盤</x:v>
      </x:c>
      <x:c r="B339" s="7" t="str">
        <x:v>安全監視・自動化を支える機器</x:v>
      </x:c>
      <x:c r="C339" s="20" t="str">
        <x:v>コアーテック株式会社</x:v>
      </x:c>
      <x:c r="D339" s="7" t="str">
        <x:v>電動ねじ式多段伸縮ポール『ロボポール』は新開発の特許製品です。今まで世の中に無かった電動モータによるねじ駆動方式です。</x:v>
      </x:c>
      <x:c r="E339" s="7" t="str">
        <x:v>E7018</x:v>
      </x:c>
      <x:c r="F339" s="7" t="str">
        <x:v>安全監視・自動化を支える機器</x:v>
      </x:c>
      <x:c r="G339" s="7" t="str">
        <x:v>原典抜粋：・エルゴ社、ボーゲン社、プレシジカ社のリニアエンコーダ，回転エンコーダ，電池電源位置測定表示器、長尺ノギス，デジタル巻き尺（10ｍ）を展示いたします。 / パラレルリンク、ＸZθ軸ロボットへの応用が可能です。</x:v>
      </x:c>
      <x:c r="H339" s="7" t="str">
        <x:v>無人運転やロボット導入には、安全確保と機器・配線・力の伝達が必要。</x:v>
      </x:c>
      <x:c r="I339" s="7" t="str">
        <x:v>同一正規化名称の2024詳細なし。新規出展・技術不存在とは判断しない。</x:v>
      </x:c>
      <x:c r="J339" s="7" t="str">
        <x:v>2026原典抜粋：・エルゴ社、ボーゲン社、プレシジカ社のリニアエンコーダ，回転エンコーダ，電池電源位置測定表示器、長尺ノギス，デジタル巻き尺（10ｍ）を展示いたします。 / パラレルリンク、ＸZθ軸ロボットへの応用が可能です。</x:v>
      </x:c>
      <x:c r="K339" s="7" t="str">
        <x:v>原典記述の対照。個別機能の追加・性能差・初登場年は未判定。</x:v>
      </x:c>
      <x:c r="L339" s="7" t="str">
        <x:v>年度資料不足・比較不能</x:v>
      </x:c>
      <x:c r="M339" s="7" t="str">
        <x:v>出展説明の一次分類</x:v>
      </x:c>
      <x:c r="N339" s="7" t="str"/>
      <x:c r="O339" s="7" t="str">
        <x:v>承認・例外対応・停止・復帰の境界は未確認</x:v>
      </x:c>
      <x:c r="P339" s="7" t="str">
        <x:v>2026公式カタログ掲載・現地未確認
2026展示予定。既存製品・参考出展・構想等は原典で個別確認</x:v>
      </x:c>
      <x:c r="Q339" s="7" t="str">
        <x:v>AC072</x:v>
      </x:c>
      <x:c t="str" r="R339" s="21">
        <x:f>HYPERLINK("https://www.jimtof.org/search/jp/ESdetails?e=TfkhiNP60VQ","JIMTOF2026 出展ページ")</x:f>
        <x:v>JIMTOF2026 出展ページ</x:v>
      </x:c>
      <x:c r="S339" s="21" t="str"/>
      <x:c r="T339" s="7" t="str">
        <x:v>EEX-EXH-2026-01761b7d0056c58f: https://www.jimtof.org/search/jp/ESdetails?e=TfkhiNP60VQ
該当箇所: 出展紹介・主な出展物。追加カードの原典抜粋で検索</x:v>
      </x:c>
    </x:row>
    <x:row r="340" ht="155" customHeight="1">
      <x:c r="A340" s="7" t="str">
        <x:v>共通基盤</x:v>
      </x:c>
      <x:c r="B340" s="7" t="str">
        <x:v>安全監視・自動化を支える機器</x:v>
      </x:c>
      <x:c r="C340" s="20" t="str">
        <x:v>株式会社Cominix</x:v>
      </x:c>
      <x:c r="D340" s="7" t="str">
        <x:v>New Century(ニューセンチュリー) HSS及び超硬合金製エンドミルシリーズ、NCスポッティングドリル、面取り工具</x:v>
      </x:c>
      <x:c r="E340" s="7" t="str">
        <x:v>W1094</x:v>
      </x:c>
      <x:c r="F340" s="7" t="str">
        <x:v>安全監視・自動化を支える機器</x:v>
      </x:c>
      <x:c r="G340" s="7" t="str">
        <x:v>原典抜粋：1945年創業の当社は昨年80周年を迎えた。 / 「生産性向上を通じた社会の発展への寄与」を基本方針に掲げ、日本のものづくり産業を支える切削・耐摩工具の販売に特化し貢献してきた。 / 近年はM&amp;Aや有望な海外メーカーの発掘に加え、光システム製品、鉱物資源、EC、工作機械販売などの新規事業展開により、業界内で独自のポジションを築き順調に事業を拡大している。 / JIMTOF2026のブースコンセプトは『生産性向上で未来を創るCominix</x:v>
      </x:c>
      <x:c r="H340" s="7" t="str">
        <x:v>無人運転やロボット導入には、安全確保と機器・配線・力の伝達が必要。</x:v>
      </x:c>
      <x:c r="I340" s="7" t="str">
        <x:v>2024原典抜粋：当社は1945年の創業以来、お客様の生産性向上に寄与することで社会の発展に寄与することを基本方針に掲げ、日本のものづくり産業の根幹に関わる切削工具と耐摩工具の販売に特化し、ものづくり産業の発展に貢献してきた。またM＆Aを軸とした事業規模の拡大、有力な海外メーカーの発掘、映像伝送分野・マシンビジョン分野の光システム製品の取り扱いや鉱物資源ビジネス・eコマースビジネス・工作機械販売ビジネスといった新規事業の展開により、業界内での差別化を進め順調に拡大してきた。 今回のJIMTOFでは、従来よりの画期的なねじ切り工具のア</x:v>
      </x:c>
      <x:c r="J340" s="7" t="str">
        <x:v>2026原典抜粋：1945年創業の当社は昨年80周年を迎えた。 / 「生産性向上を通じた社会の発展への寄与」を基本方針に掲げ、日本のものづくり産業を支える切削・耐摩工具の販売に特化し貢献してきた。 / 近年はM&amp;Aや有望な海外メーカーの発掘に加え、光システム製品、鉱物資源、EC、工作機械販売などの新規事業展開により、業界内で独自のポジションを築き順調に事業を拡大している。 / JIMTOF2026のブースコンセプトは『生産性向上で未来を創るCominix</x:v>
      </x:c>
      <x:c r="K340" s="7" t="str">
        <x:v>原典記述の対照。個別機能の追加・性能差・初登場年は未判定。</x:v>
      </x:c>
      <x:c r="L340" s="7" t="str">
        <x:v>両年説明あり・機能差未判定</x:v>
      </x:c>
      <x:c r="M340" s="7" t="str">
        <x:v>出展説明の一次分類</x:v>
      </x:c>
      <x:c r="N340" s="7" t="str"/>
      <x:c r="O340" s="7" t="str">
        <x:v>承認・例外対応・停止・復帰の境界は未確認</x:v>
      </x:c>
      <x:c r="P340" s="7" t="str">
        <x:v>2026公式カタログ掲載・現地未確認
2026展示予定。既存製品・参考出展・構想等は原典で個別確認</x:v>
      </x:c>
      <x:c r="Q340" s="7" t="str">
        <x:v>AC078</x:v>
      </x:c>
      <x:c t="str" r="R340" s="21">
        <x:f>HYPERLINK("https://www.jimtof.org/search/jp/ESdetails?e=HppbBVVl0EY","JIMTOF2026 出展ページ")</x:f>
        <x:v>JIMTOF2026 出展ページ</x:v>
      </x:c>
      <x:c t="str" r="S340" s="21">
        <x:f>HYPERLINK("https://www.jimtof.org/2024/search/jp/ESdetails?e=RFZbEhJ7OQ4","JIMTOF2024 出展ページ")</x:f>
        <x:v>JIMTOF2024 出展ページ</x:v>
      </x:c>
      <x:c r="T340" s="7" t="str">
        <x:v>EEX-EXH-2026-63e31a243d5f56e1: https://www.jimtof.org/search/jp/ESdetails?e=HppbBVVl0EY
該当箇所: 出展紹介・主な出展物。追加カードの原典抜粋で検索
EEX-EXH-2024-c4ca9927b38bcc7b: https://www.jimtof.org/2024/search/jp/ESdetails?e=RFZbEhJ7OQ4
該当箇所: 出展紹介・主な出展物。追加カードの原典抜粋で検索</x:v>
      </x:c>
    </x:row>
    <x:row r="341" ht="155" customHeight="1">
      <x:c r="A341" s="7" t="str">
        <x:v>共通基盤</x:v>
      </x:c>
      <x:c r="B341" s="7" t="str">
        <x:v>安全監視・自動化を支える機器</x:v>
      </x:c>
      <x:c r="C341" s="20" t="str">
        <x:v>株式会社小森安全機研究所</x:v>
      </x:c>
      <x:c r="D341" s="7" t="str">
        <x:v>停止性能測定装置　KBM-5</x:v>
      </x:c>
      <x:c r="E341" s="7" t="str">
        <x:v>E1039</x:v>
      </x:c>
      <x:c r="F341" s="7" t="str">
        <x:v>安全監視・自動化を支える機器</x:v>
      </x:c>
      <x:c r="G341" s="7" t="str">
        <x:v>原典抜粋：人体検知AIカメラ：居残り災害防止用AIカメラ見守りシステム　KAG （Komori Area Guardman） / AIの属性分析が命です。 / KAGのAI知能は数万件の人の姿形・動作・骨格を認識させアルゴリズムを構築していますので、的確に作業場で人の認識を行います。 / 停止性能（距離、時間）のグラフ表示でブレーキ性能を可視化 測定結果を自動集計・グラフ化</x:v>
      </x:c>
      <x:c r="H341" s="7" t="str">
        <x:v>無人運転やロボット導入には、安全確保と機器・配線・力の伝達が必要。</x:v>
      </x:c>
      <x:c r="I341" s="7" t="str">
        <x:v>2024原典抜粋：■3Dレーダーを使用した安全システム:SRD 3Dの安全レーダー装置で、危険なエリアへの人の侵入や存在を検知、作業者の安全を守ります。 ■レーザーセーフティフェンス:LSF レーザー溶接などレーザーを用いた作業に最適なレーザー遮光用パネルを採用した安全柵。ハンディタイプや協働ロボットタイプでのファイバーレーザー溶接作業などに最適なレーザー遮光用の安全柵です。 ■3Dレーダーを使用した安全システム:SRD ■レーザーセーフティフェンス:LSF ■製造現場監視用AIカメラシステム</x:v>
      </x:c>
      <x:c r="J341" s="7" t="str">
        <x:v>2026原典抜粋：人体検知AIカメラ：居残り災害防止用AIカメラ見守りシステム　KAG （Komori Area Guardman） / AIの属性分析が命です。 / KAGのAI知能は数万件の人の姿形・動作・骨格を認識させアルゴリズムを構築していますので、的確に作業場で人の認識を行います。 / 停止性能（距離、時間）のグラフ表示でブレーキ性能を可視化 測定結果を自動集計・グラフ化</x:v>
      </x:c>
      <x:c r="K341" s="7" t="str">
        <x:v>原典記述の対照。個別機能の追加・性能差・初登場年は未判定。</x:v>
      </x:c>
      <x:c r="L341" s="7" t="str">
        <x:v>両年説明あり・機能差未判定</x:v>
      </x:c>
      <x:c r="M341" s="7" t="str">
        <x:v>出展説明の一次分類</x:v>
      </x:c>
      <x:c r="N341" s="7" t="str"/>
      <x:c r="O341" s="7" t="str">
        <x:v>承認・例外対応・停止・復帰の境界は未確認</x:v>
      </x:c>
      <x:c r="P341" s="7" t="str">
        <x:v>2026公式カタログ掲載・現地未確認
2026展示予定。既存製品・参考出展・構想等は原典で個別確認</x:v>
      </x:c>
      <x:c r="Q341" s="7" t="str">
        <x:v>AC079</x:v>
      </x:c>
      <x:c t="str" r="R341" s="21">
        <x:f>HYPERLINK("https://www.jimtof.org/search/jp/ESdetails?e=utVc5A88Bgw","JIMTOF2026 出展ページ")</x:f>
        <x:v>JIMTOF2026 出展ページ</x:v>
      </x:c>
      <x:c t="str" r="S341" s="21">
        <x:f>HYPERLINK("https://www.jimtof.org/2024/search/jp/ESdetails?e=QaMQqCgkpPI","JIMTOF2024 出展ページ")</x:f>
        <x:v>JIMTOF2024 出展ページ</x:v>
      </x:c>
      <x:c r="T341" s="7" t="str">
        <x:v>EEX-EXH-2026-7dc74545d7cf35a3: https://www.jimtof.org/search/jp/ESdetails?e=utVc5A88Bgw
該当箇所: 出展紹介・主な出展物。追加カードの原典抜粋で検索
EEX-EXH-2024-19b117789b4ef74b: https://www.jimtof.org/2024/search/jp/ESdetails?e=QaMQqCgkpPI
該当箇所: 出展紹介・主な出展物。追加カードの原典抜粋で検索</x:v>
      </x:c>
    </x:row>
    <x:row r="342" ht="155" customHeight="1">
      <x:c r="A342" s="7" t="str">
        <x:v>共通基盤</x:v>
      </x:c>
      <x:c r="B342" s="7" t="str">
        <x:v>安全監視・自動化を支える機器</x:v>
      </x:c>
      <x:c r="C342" s="20" t="str">
        <x:v>埼玉精機株式会社</x:v>
      </x:c>
      <x:c r="D342" s="7" t="str">
        <x:v>〇空気工具（ラチェットレンチ、インパクトドライバー、スクリュードライバー、ドリル、ベルトサンダー、エアソー、インパクトレンチ、グラインダー、ダイグライ</x:v>
      </x:c>
      <x:c r="E342" s="7" t="str">
        <x:v>W1002</x:v>
      </x:c>
      <x:c r="F342" s="7" t="str">
        <x:v>認識を伴うピック・付帯加工・除去 ／ 安全監視・自動化を支える機器</x:v>
      </x:c>
      <x:c r="G342" s="7" t="str">
        <x:v>原典抜粋：今後需要が増えていくと考えられるロボットアーム向け製品もご紹介いたします。 / 〇ロボット用先端工具</x:v>
      </x:c>
      <x:c r="H342" s="7" t="str">
        <x:v>形状や絡まりが変わる物理作業に固定手順で対応しにくい。 ／ 無人運転やロボット導入には、安全確保と機器・配線・力の伝達が必要。</x:v>
      </x:c>
      <x:c r="I342" s="7" t="str">
        <x:v>同一正規化名称の2024詳細なし。新規出展・技術不存在とは判断しない。</x:v>
      </x:c>
      <x:c r="J342" s="7" t="str">
        <x:v>2026原典抜粋：今後需要が増えていくと考えられるロボットアーム向け製品もご紹介いたします。 / 〇ロボット用先端工具</x:v>
      </x:c>
      <x:c r="K342" s="7" t="str">
        <x:v>原典記述の対照。個別機能の追加・性能差・初登場年は未判定。</x:v>
      </x:c>
      <x:c r="L342" s="7" t="str">
        <x:v>年度資料不足・比較不能</x:v>
      </x:c>
      <x:c r="M342" s="7" t="str">
        <x:v>出展説明の一次分類</x:v>
      </x:c>
      <x:c r="N342" s="7" t="str"/>
      <x:c r="O342" s="7" t="str">
        <x:v>承認・例外対応・停止・復帰の境界は未確認</x:v>
      </x:c>
      <x:c r="P342" s="7" t="str">
        <x:v>2026公式カタログ掲載・現地未確認
2026展示予定。既存製品・参考出展・構想等は原典で個別確認</x:v>
      </x:c>
      <x:c r="Q342" s="7" t="str">
        <x:v>AC083</x:v>
      </x:c>
      <x:c t="str" r="R342" s="21">
        <x:f>HYPERLINK("https://www.jimtof.org/search/jp/ESdetails?e=eKJZ035sC1A","JIMTOF2026 出展ページ")</x:f>
        <x:v>JIMTOF2026 出展ページ</x:v>
      </x:c>
      <x:c r="S342" s="21" t="str"/>
      <x:c r="T342" s="7" t="str">
        <x:v>EEX-EXH-2026-08030dcd82b4b70e: https://www.jimtof.org/search/jp/ESdetails?e=eKJZ035sC1A
該当箇所: 出展紹介・主な出展物。追加カードの原典抜粋で検索</x:v>
      </x:c>
    </x:row>
    <x:row r="343" ht="155" customHeight="1">
      <x:c r="A343" s="7" t="str">
        <x:v>共通基盤</x:v>
      </x:c>
      <x:c r="B343" s="7" t="str">
        <x:v>安全監視・自動化を支える機器</x:v>
      </x:c>
      <x:c r="C343" s="20" t="str">
        <x:v>住友精密工業株式会社</x:v>
      </x:c>
      <x:c r="D343" s="7" t="str">
        <x:v>クーラントポンプ構造部品及び製品ラインナップ紹介</x:v>
      </x:c>
      <x:c r="E343" s="7" t="str">
        <x:v>E2021</x:v>
      </x:c>
      <x:c r="F343" s="7" t="str">
        <x:v>クーラント・潤滑・清掃の省人化 ／ 安全監視・自動化を支える機器</x:v>
      </x:c>
      <x:c r="G343" s="7" t="str">
        <x:v>原典抜粋：〜高いシェアを誇る中・高圧クーラントポンプで、加工現場のチョコ停低減と自動化を強力に後押し〜 / 現場の切実な課題であるチョコ停の低減や自動化の促進に寄与するソリューションをご提案いたしますので、ぜひお気軽に当社ブースへお立ち寄りください。</x:v>
      </x:c>
      <x:c r="H343" s="7" t="str">
        <x:v>補充・濃度管理・切粉処理などの保守作業で運転が途切れる。 ／ 無人運転やロボット導入には、安全確保と機器・配線・力の伝達が必要。</x:v>
      </x:c>
      <x:c r="I343" s="7" t="str">
        <x:v>2024原典抜粋：～難削材加工の生産性UPに貢献～ 業界内で高いシェアを誇る高圧クーラントポンプCXシリーズの実機を展示。 ヒットしている訳をアニメーション動画や実機を用いてご紹介。 そして今回の目玉はクリーンタンクレスシステムの実機展示。 クーラント圧1.5～20MPa時に必要なクリーンタンク（または層）を不要とし、工作機1台あたりのクーラント液の総量ならびにメンテナンス費用・工数を低減する2次濾過用インラインシステム。 その他、新製品である超高圧(20MPa)クーラントポンプやセラミック等高硬度材加工用のクーラントポンプをご紹介</x:v>
      </x:c>
      <x:c r="J343" s="7" t="str">
        <x:v>2026原典抜粋：〜高いシェアを誇る中・高圧クーラントポンプで、加工現場のチョコ停低減と自動化を強力に後押し〜 / 現場の切実な課題であるチョコ停の低減や自動化の促進に寄与するソリューションをご提案いたしますので、ぜひお気軽に当社ブースへお立ち寄りください。</x:v>
      </x:c>
      <x:c r="K343" s="7" t="str">
        <x:v>原典記述の対照。個別機能の追加・性能差・初登場年は未判定。</x:v>
      </x:c>
      <x:c r="L343" s="7" t="str">
        <x:v>両年説明あり・機能差未判定</x:v>
      </x:c>
      <x:c r="M343" s="7" t="str">
        <x:v>出展説明の一次分類</x:v>
      </x:c>
      <x:c r="N343" s="7" t="str"/>
      <x:c r="O343" s="7" t="str">
        <x:v>承認・例外対応・停止・復帰の境界は未確認</x:v>
      </x:c>
      <x:c r="P343" s="7" t="str">
        <x:v>2026公式カタログ掲載・現地未確認
2026展示予定。既存製品・参考出展・構想等は原典で個別確認</x:v>
      </x:c>
      <x:c r="Q343" s="7" t="str">
        <x:v>AC113</x:v>
      </x:c>
      <x:c t="str" r="R343" s="21">
        <x:f>HYPERLINK("https://www.jimtof.org/search/jp/ESdetails?e=RUfUkmbjQf0","JIMTOF2026 出展ページ")</x:f>
        <x:v>JIMTOF2026 出展ページ</x:v>
      </x:c>
      <x:c t="str" r="S343" s="21">
        <x:f>HYPERLINK("https://www.jimtof.org/2024/search/jp/ESdetails?e=OgubGeea_Pg","JIMTOF2024 出展ページ")</x:f>
        <x:v>JIMTOF2024 出展ページ</x:v>
      </x:c>
      <x:c r="T343" s="7" t="str">
        <x:v>EEX-EXH-2026-a155e7aeaf9b66f3: https://www.jimtof.org/search/jp/ESdetails?e=RUfUkmbjQf0
該当箇所: 出展紹介・主な出展物。追加カードの原典抜粋で検索
EEX-EXH-2024-beed3f2fb43fd001: https://www.jimtof.org/2024/search/jp/ESdetails?e=OgubGeea_Pg
該当箇所: 出展紹介・主な出展物。追加カードの原典抜粋で検索</x:v>
      </x:c>
    </x:row>
    <x:row r="344" ht="155" customHeight="1">
      <x:c r="A344" s="7" t="str">
        <x:v>共通基盤</x:v>
      </x:c>
      <x:c r="B344" s="7" t="str">
        <x:v>安全監視・自動化を支える機器</x:v>
      </x:c>
      <x:c r="C344" s="20" t="str">
        <x:v>ツールドインターナショナル株式会社</x:v>
      </x:c>
      <x:c r="D344" s="7" t="str">
        <x:v>7leaders</x:v>
      </x:c>
      <x:c r="E344" s="7" t="str">
        <x:v>W1101</x:v>
      </x:c>
      <x:c r="F344" s="7" t="str">
        <x:v>クーラント・潤滑・清掃の省人化 ／ 安全監視・自動化を支える機器</x:v>
      </x:c>
      <x:c r="G344" s="7" t="str">
        <x:v>原典抜粋：◆ロボット化・自動化ラインに最適！画期的な工具ソリューション / ◆自動車大手の量産ラインも採用！切粉を除去する最新クーラントテクノロジー / 自動化・省人化・生産性向上に貢献します。</x:v>
      </x:c>
      <x:c r="H344" s="7" t="str">
        <x:v>補充・濃度管理・切粉処理などの保守作業で運転が途切れる。 ／ 無人運転やロボット導入には、安全確保と機器・配線・力の伝達が必要。</x:v>
      </x:c>
      <x:c r="I344" s="7" t="str">
        <x:v>2024原典抜粋：工具を変える、工具de変える ～Be a game changer！～ こんな工具あるんだ！？知る人ぞ知る、多種多様な切削工具がここに！ 改善・革新につながるイノベーティブな切削工具。 それはまるでジャングルの生き物たちのように個性的。 そんなジャングルの中で新種を発見するかのごとく 個性的なブースで誰よりも先に価値ある新商品を発見してみませんか？ 『現場により良い変化をもたらすイノベーティブな工具』が 『現場を変える、明日を変える』 目指すのは現場の生産性向上！ ツールドインターナショナルでは、 特許工具やコスト</x:v>
      </x:c>
      <x:c r="J344" s="7" t="str">
        <x:v>2026原典抜粋：◆ロボット化・自動化ラインに最適！画期的な工具ソリューション / ◆自動車大手の量産ラインも採用！切粉を除去する最新クーラントテクノロジー / 自動化・省人化・生産性向上に貢献します。</x:v>
      </x:c>
      <x:c r="K344" s="7" t="str">
        <x:v>原典記述の対照。個別機能の追加・性能差・初登場年は未判定。</x:v>
      </x:c>
      <x:c r="L344" s="7" t="str">
        <x:v>両年説明あり・機能差未判定</x:v>
      </x:c>
      <x:c r="M344" s="7" t="str">
        <x:v>出展説明の一次分類</x:v>
      </x:c>
      <x:c r="N344" s="7" t="str"/>
      <x:c r="O344" s="7" t="str">
        <x:v>承認・例外対応・停止・復帰の境界は未確認</x:v>
      </x:c>
      <x:c r="P344" s="7" t="str">
        <x:v>2026公式カタログ掲載・現地未確認
2026展示予定。既存製品・参考出展・構想等は原典で個別確認</x:v>
      </x:c>
      <x:c r="Q344" s="7" t="str">
        <x:v>AC137</x:v>
      </x:c>
      <x:c t="str" r="R344" s="21">
        <x:f>HYPERLINK("https://www.jimtof.org/search/jp/ESdetails?e=UcTucUP9Fb4","JIMTOF2026 出展ページ")</x:f>
        <x:v>JIMTOF2026 出展ページ</x:v>
      </x:c>
      <x:c t="str" r="S344" s="21">
        <x:f>HYPERLINK("https://www.jimtof.org/2024/search/jp/ESdetails?e=IqIZPMUJlDY","JIMTOF2024 出展ページ")</x:f>
        <x:v>JIMTOF2024 出展ページ</x:v>
      </x:c>
      <x:c r="T344" s="7" t="str">
        <x:v>EEX-EXH-2026-fa987a1ed1bcec86: https://www.jimtof.org/search/jp/ESdetails?e=UcTucUP9Fb4
該当箇所: 出展紹介・主な出展物。追加カードの原典抜粋で検索
EEX-EXH-2024-236dc7e9806653fa: https://www.jimtof.org/2024/search/jp/ESdetails?e=IqIZPMUJlDY
該当箇所: 出展紹介・主な出展物。追加カードの原典抜粋で検索</x:v>
      </x:c>
    </x:row>
    <x:row r="345" ht="155" customHeight="1">
      <x:c r="A345" s="7" t="str">
        <x:v>共通基盤</x:v>
      </x:c>
      <x:c r="B345" s="7" t="str">
        <x:v>安全監視・自動化を支える機器</x:v>
      </x:c>
      <x:c r="C345" s="20" t="str">
        <x:v>THK株式会社</x:v>
      </x:c>
      <x:c r="D345" s="7" t="str">
        <x:v>【高精度化・高速化・省人化】機械要素部品</x:v>
      </x:c>
      <x:c r="E345" s="7" t="str">
        <x:v>W2018</x:v>
      </x:c>
      <x:c r="F345" s="7" t="str">
        <x:v>展示段階と自律化の境界 ／ 安全監視・自動化を支える機器</x:v>
      </x:c>
      <x:c r="G345" s="7" t="str">
        <x:v>原典抜粋：・人と一緒に働くヒト型ロボット「NEXTAGE」</x:v>
      </x:c>
      <x:c r="H345" s="7" t="str">
        <x:v>人型やAIという名称だけでは任せられる仕事を判断できない。 ／ 無人運転やロボット導入には、安全確保と機器・配線・力の伝達が必要。</x:v>
      </x:c>
      <x:c r="I345" s="7" t="str">
        <x:v>2024原典抜粋：私たちTHKは、直線運動案内（Linear Motion Guide-LMガイド）を世界で初めて製品化し、要素部品からモジュール製品、FAソリューションまでご提案するものづくり企業です。「ものづくりサービス業」をビジョンに掲げ、独創的な発想と蓄積したノウハウ、独自技術により開発した製品サービスで、お客様のものづくりに関する課題解決と生産性向上に貢献します。 今回は「最先端の自働化～あらゆる動きを技術とサービスでサポート～」をブーステーマに、工作機械の高性能化を実現する要素部品をはじめ、調達・設計・組立工程の負荷軽減</x:v>
      </x:c>
      <x:c r="J345" s="7" t="str">
        <x:v>2026原典抜粋：・人と一緒に働くヒト型ロボット「NEXTAGE」</x:v>
      </x:c>
      <x:c r="K345" s="7" t="str">
        <x:v>原典記述の対照。個別機能の追加・性能差・初登場年は未判定。</x:v>
      </x:c>
      <x:c r="L345" s="7" t="str">
        <x:v>両年説明あり・機能差未判定</x:v>
      </x:c>
      <x:c r="M345" s="7" t="str">
        <x:v>出展説明の一次分類</x:v>
      </x:c>
      <x:c r="N345" s="7" t="str"/>
      <x:c r="O345" s="7" t="str">
        <x:v>承認・例外対応・停止・復帰の境界は未確認</x:v>
      </x:c>
      <x:c r="P345" s="7" t="str">
        <x:v>2026公式カタログ掲載・現地未確認
2026展示予定。既存製品・参考出展・構想等は原典で個別確認</x:v>
      </x:c>
      <x:c r="Q345" s="7" t="str">
        <x:v>AC143</x:v>
      </x:c>
      <x:c t="str" r="R345" s="21">
        <x:f>HYPERLINK("https://www.jimtof.org/search/jp/ESdetails?e=z-lVfqtvgVM","JIMTOF2026 出展ページ")</x:f>
        <x:v>JIMTOF2026 出展ページ</x:v>
      </x:c>
      <x:c t="str" r="S345" s="21">
        <x:f>HYPERLINK("https://www.jimtof.org/2024/search/jp/ESdetails?e=25HOX5M84N0","JIMTOF2024 出展ページ")</x:f>
        <x:v>JIMTOF2024 出展ページ</x:v>
      </x:c>
      <x:c r="T345" s="7" t="str">
        <x:v>EEX-EXH-2026-45c22ca4a91150f4: https://www.jimtof.org/search/jp/ESdetails?e=z-lVfqtvgVM
該当箇所: 出展紹介・主な出展物。追加カードの原典抜粋で検索
EEX-EXH-2024-bb78fa3798d657cd: https://www.jimtof.org/2024/search/jp/ESdetails?e=25HOX5M84N0
該当箇所: 出展紹介・主な出展物。追加カードの原典抜粋で検索</x:v>
      </x:c>
    </x:row>
    <x:row r="346" ht="155" customHeight="1">
      <x:c r="A346" s="7" t="str">
        <x:v>共通基盤</x:v>
      </x:c>
      <x:c r="B346" s="7" t="str">
        <x:v>安全監視・自動化を支える機器</x:v>
      </x:c>
      <x:c r="C346" s="20" t="str">
        <x:v>有限会社デュブリン・ジャパン・リミテッド</x:v>
      </x:c>
      <x:c r="D346" s="7" t="str">
        <x:v>工作機械向けロータリーユニオンおよび産業用スリップリングの最新技術を展示します。</x:v>
      </x:c>
      <x:c r="E346" s="7" t="str">
        <x:v>WA024</x:v>
      </x:c>
      <x:c r="F346" s="7" t="str">
        <x:v>AIモデル作成・機器接続の基盤 ／ 安全監視・自動化を支える機器</x:v>
      </x:c>
      <x:c r="G346" s="7" t="str">
        <x:v>原典抜粋：使用する流体を自動的に感知し、最適なシール状態へ切り替える独自技術です。 / 工作機械、自動化設備、ロボット、回転テーブルなど幅広い用途に対応します。 / スリップリングでは、電力・信号・産業用ネットワーク・高速データ通信に対応した各種製品を展示し、自動化設備や回転機器における安定したデータ伝送ソリューションをご提案します。</x:v>
      </x:c>
      <x:c r="H346" s="7" t="str">
        <x:v>データの意味づけと、作ったAIを現場へつなぐ負担。 ／ 無人運転やロボット導入には、安全確保と機器・配線・力の伝達が必要。</x:v>
      </x:c>
      <x:c r="I346" s="7" t="str">
        <x:v>2024原典抜粋：・AutoSense®： メカニカルシールは、流体を自動的に感知し最適のシールを適用します。 潤滑性流体に対してはシール面が接触しシール性を発揮する一方、非潤滑性流体や流体なしの場合はシール面に微小のスキマを持たせた非接触状態を維持し、シール面を保護します。 ・SpindleShield®： メカニカルシールは時間の経過とともに摩耗し、保守担当者が観察するのが困難になる可能性があります。 Deublinのテクノロジーは、スピンドルの向きに依存しない方法で回転ユニオンに統合されており、機械の他の部分への漏れを防ぐため</x:v>
      </x:c>
      <x:c r="J346" s="7" t="str">
        <x:v>2026原典抜粋：使用する流体を自動的に感知し、最適なシール状態へ切り替える独自技術です。 / 工作機械、自動化設備、ロボット、回転テーブルなど幅広い用途に対応します。 / スリップリングでは、電力・信号・産業用ネットワーク・高速データ通信に対応した各種製品を展示し、自動化設備や回転機器における安定したデータ伝送ソリューションをご提案します。</x:v>
      </x:c>
      <x:c r="K346" s="7" t="str">
        <x:v>原典記述の対照。個別機能の追加・性能差・初登場年は未判定。</x:v>
      </x:c>
      <x:c r="L346" s="7" t="str">
        <x:v>両年説明あり・機能差未判定</x:v>
      </x:c>
      <x:c r="M346" s="7" t="str">
        <x:v>出展説明の一次分類</x:v>
      </x:c>
      <x:c r="N346" s="7" t="str"/>
      <x:c r="O346" s="7" t="str">
        <x:v>承認・例外対応・停止・復帰の境界は未確認</x:v>
      </x:c>
      <x:c r="P346" s="7" t="str">
        <x:v>2026公式カタログ掲載・現地未確認
2026展示予定。既存製品・参考出展・構想等は原典で個別確認</x:v>
      </x:c>
      <x:c r="Q346" s="7" t="str">
        <x:v>AC145</x:v>
      </x:c>
      <x:c t="str" r="R346" s="21">
        <x:f>HYPERLINK("https://www.jimtof.org/search/jp/ESdetails?e=PjO1_W-zmqI","JIMTOF2026 出展ページ")</x:f>
        <x:v>JIMTOF2026 出展ページ</x:v>
      </x:c>
      <x:c t="str" r="S346" s="21">
        <x:f>HYPERLINK("https://www.jimtof.org/2024/search/jp/ESdetails?e=8ealehgmk8o","JIMTOF2024 出展ページ")</x:f>
        <x:v>JIMTOF2024 出展ページ</x:v>
      </x:c>
      <x:c r="T346" s="7" t="str">
        <x:v>EEX-EXH-2026-c9f3df91b8488aae: https://www.jimtof.org/search/jp/ESdetails?e=PjO1_W-zmqI
該当箇所: 出展紹介・主な出展物。追加カードの原典抜粋で検索
EEX-EXH-2024-c7e56519e3bd21bf: https://www.jimtof.org/2024/search/jp/ESdetails?e=8ealehgmk8o
該当箇所: 出展紹介・主な出展物。追加カードの原典抜粋で検索</x:v>
      </x:c>
    </x:row>
    <x:row r="347" ht="155" customHeight="1">
      <x:c r="A347" s="7" t="str">
        <x:v>共通基盤</x:v>
      </x:c>
      <x:c r="B347" s="7" t="str">
        <x:v>安全監視・自動化を支える機器</x:v>
      </x:c>
      <x:c r="C347" s="20" t="str">
        <x:v>鍋屋バイテック会社</x:v>
      </x:c>
      <x:c r="D347" s="7" t="str">
        <x:v>ロボットハンド</x:v>
      </x:c>
      <x:c r="E347" s="7" t="str">
        <x:v>W2068</x:v>
      </x:c>
      <x:c r="F347" s="7" t="str">
        <x:v>安全監視・自動化を支える機器</x:v>
      </x:c>
      <x:c r="G347" s="7" t="str">
        <x:v>原典抜粋：・ロボットハンド / NBKのロボットハンドは、小型・軽量なのに高把持力。 / 把持力をそのままにロボットハンドを小型化・軽量化ができます。</x:v>
      </x:c>
      <x:c r="H347" s="7" t="str">
        <x:v>無人運転やロボット導入には、安全確保と機器・配線・力の伝達が必要。</x:v>
      </x:c>
      <x:c r="I347" s="7" t="str">
        <x:v>同一正規化名称の2024詳細なし。新規出展・技術不存在とは判断しない。</x:v>
      </x:c>
      <x:c r="J347" s="7" t="str">
        <x:v>2026原典抜粋：・ロボットハンド / NBKのロボットハンドは、小型・軽量なのに高把持力。 / 把持力をそのままにロボットハンドを小型化・軽量化ができます。</x:v>
      </x:c>
      <x:c r="K347" s="7" t="str">
        <x:v>原典記述の対照。個別機能の追加・性能差・初登場年は未判定。</x:v>
      </x:c>
      <x:c r="L347" s="7" t="str">
        <x:v>年度資料不足・比較不能</x:v>
      </x:c>
      <x:c r="M347" s="7" t="str">
        <x:v>出展説明の一次分類</x:v>
      </x:c>
      <x:c r="N347" s="7" t="str"/>
      <x:c r="O347" s="7" t="str">
        <x:v>承認・例外対応・停止・復帰の境界は未確認</x:v>
      </x:c>
      <x:c r="P347" s="7" t="str">
        <x:v>2026公式カタログ掲載・現地未確認
2026展示予定。既存製品・参考出展・構想等は原典で個別確認</x:v>
      </x:c>
      <x:c r="Q347" s="7" t="str">
        <x:v>AC158</x:v>
      </x:c>
      <x:c t="str" r="R347" s="21">
        <x:f>HYPERLINK("https://www.jimtof.org/search/jp/ESdetails?e=oAJf-RFYInA","JIMTOF2026 出展ページ")</x:f>
        <x:v>JIMTOF2026 出展ページ</x:v>
      </x:c>
      <x:c r="S347" s="21" t="str"/>
      <x:c r="T347" s="7" t="str">
        <x:v>EEX-EXH-2026-18f3d6af15ce3d5c: https://www.jimtof.org/search/jp/ESdetails?e=oAJf-RFYInA
該当箇所: 出展紹介・主な出展物。追加カードの原典抜粋で検索</x:v>
      </x:c>
    </x:row>
    <x:row r="348" ht="155" customHeight="1">
      <x:c r="A348" s="7" t="str">
        <x:v>共通基盤</x:v>
      </x:c>
      <x:c r="B348" s="7" t="str">
        <x:v>安全監視・自動化を支える機器</x:v>
      </x:c>
      <x:c r="C348" s="20" t="str">
        <x:v>株式会社日研工作所</x:v>
      </x:c>
      <x:c r="D348" s="7" t="str">
        <x:v>防錆メンテナンスに費やす現場の負担を軽減し自動化に寄与する黒のホルダを中心に、切削工具の長寿命化に寄与する振れ調整機構内蔵ツールホルダ、独自の振動減衰</x:v>
      </x:c>
      <x:c r="E348" s="7" t="str">
        <x:v>W2039</x:v>
      </x:c>
      <x:c r="F348" s="7" t="str">
        <x:v>安全監視・自動化を支える機器</x:v>
      </x:c>
      <x:c r="G348" s="7" t="str">
        <x:v>原典抜粋：人手不足の製造現場に向けた自動化・省人化を加速させる様々なアイデア、需要が急拡大する中でもっと賢く・もっと早く・もっと沢山削れるツーリング技術、半導体・航空宇宙産業など新しいユーザ様への新技術など、３つのソリューションを核に、日研ならではの提案を行わせていただきます。 / 防錆メンテナンスに費やす現場の負担を軽減し自動化に寄与する黒のホルダを中心に、切削工具の長寿命化に寄与する振れ調整機構内蔵ツールホルダ、独自の振動減衰機構内蔵ツールホ</x:v>
      </x:c>
      <x:c r="H348" s="7" t="str">
        <x:v>無人運転やロボット導入には、安全確保と機器・配線・力の伝達が必要。</x:v>
      </x:c>
      <x:c r="I348" s="7" t="str">
        <x:v>2024原典抜粋：省エネや人手不足といった社会課題の解決のために、NIKKENはこれまで培ってきたツーリング技術とロータリテーブル技術のデュアルテクノロジーで、ユーザの皆様に最適かつ多様なソリューションを提供したいと考えております。本展示会では「MULTI SOLUTION with NIKKEN DUAL TECHNOLOGY」というテーマにあわせ、ツーリング＆ロータリテーブルの二刀流を貫くNIKKENならでは様々なご提案をブースにてご覧いただけます。 高剛性・高耐久力を誇る超硬ウォームシステム搭載機、新機構ローラーエボリューショ</x:v>
      </x:c>
      <x:c r="J348" s="7" t="str">
        <x:v>2026原典抜粋：人手不足の製造現場に向けた自動化・省人化を加速させる様々なアイデア、需要が急拡大する中でもっと賢く・もっと早く・もっと沢山削れるツーリング技術、半導体・航空宇宙産業など新しいユーザ様への新技術など、３つのソリューションを核に、日研ならではの提案を行わせていただきます。 / 防錆メンテナンスに費やす現場の負担を軽減し自動化に寄与する黒のホルダを中心に、切削工具の長寿命化に寄与する振れ調整機構内蔵ツールホルダ、独自の振動減衰機構内蔵ツールホ</x:v>
      </x:c>
      <x:c r="K348" s="7" t="str">
        <x:v>原典記述の対照。個別機能の追加・性能差・初登場年は未判定。</x:v>
      </x:c>
      <x:c r="L348" s="7" t="str">
        <x:v>両年説明あり・機能差未判定</x:v>
      </x:c>
      <x:c r="M348" s="7" t="str">
        <x:v>出展説明の一次分類</x:v>
      </x:c>
      <x:c r="N348" s="7" t="str"/>
      <x:c r="O348" s="7" t="str">
        <x:v>承認・例外対応・停止・復帰の境界は未確認</x:v>
      </x:c>
      <x:c r="P348" s="7" t="str">
        <x:v>2026公式カタログ掲載・現地未確認
2026展示予定。既存製品・参考出展・構想等は原典で個別確認</x:v>
      </x:c>
      <x:c r="Q348" s="7" t="str">
        <x:v>AC165</x:v>
      </x:c>
      <x:c t="str" r="R348" s="21">
        <x:f>HYPERLINK("https://www.jimtof.org/search/jp/ESdetails?e=efMi0oAzay8","JIMTOF2026 出展ページ")</x:f>
        <x:v>JIMTOF2026 出展ページ</x:v>
      </x:c>
      <x:c t="str" r="S348" s="21">
        <x:f>HYPERLINK("https://www.jimtof.org/2024/search/jp/ESdetails?e=o9Xdkg4BLBc","JIMTOF2024 出展ページ")</x:f>
        <x:v>JIMTOF2024 出展ページ</x:v>
      </x:c>
      <x:c r="T348" s="7" t="str">
        <x:v>EEX-EXH-2026-1afd1df5c219afb2: https://www.jimtof.org/search/jp/ESdetails?e=efMi0oAzay8
該当箇所: 出展紹介・主な出展物。追加カードの原典抜粋で検索
EEX-EXH-2024-33d449cefc894596: https://www.jimtof.org/2024/search/jp/ESdetails?e=o9Xdkg4BLBc
該当箇所: 出展紹介・主な出展物。追加カードの原典抜粋で検索</x:v>
      </x:c>
    </x:row>
    <x:row r="349" ht="155" customHeight="1">
      <x:c r="A349" s="7" t="str">
        <x:v>共通基盤</x:v>
      </x:c>
      <x:c r="B349" s="7" t="str">
        <x:v>安全監視・自動化を支える機器</x:v>
      </x:c>
      <x:c r="C349" s="20" t="str">
        <x:v>株式会社ニッセイ</x:v>
      </x:c>
      <x:c r="D349" s="7" t="str">
        <x:v>高剛性減速機は、生産性向上のニーズにあらゆる角度から応える機能・性能を備えています。産業用ロボットやFA機器において、高精度でパワフルかつスピーディな</x:v>
      </x:c>
      <x:c r="E349" s="7" t="str">
        <x:v>W3031</x:v>
      </x:c>
      <x:c r="F349" s="7" t="str">
        <x:v>安全監視・自動化を支える機器</x:v>
      </x:c>
      <x:c r="G349" s="7" t="str">
        <x:v>原典抜粋：産業用ロボットやFA機器において、高精度でパワフルかつスピーディな駆動を実現させます。</x:v>
      </x:c>
      <x:c r="H349" s="7" t="str">
        <x:v>無人運転やロボット導入には、安全確保と機器・配線・力の伝達が必要。</x:v>
      </x:c>
      <x:c r="I349" s="7" t="str">
        <x:v>同一正規化名称の2024詳細なし。新規出展・技術不存在とは判断しない。</x:v>
      </x:c>
      <x:c r="J349" s="7" t="str">
        <x:v>2026原典抜粋：産業用ロボットやFA機器において、高精度でパワフルかつスピーディな駆動を実現させます。</x:v>
      </x:c>
      <x:c r="K349" s="7" t="str">
        <x:v>原典記述の対照。個別機能の追加・性能差・初登場年は未判定。</x:v>
      </x:c>
      <x:c r="L349" s="7" t="str">
        <x:v>年度資料不足・比較不能</x:v>
      </x:c>
      <x:c r="M349" s="7" t="str">
        <x:v>出展説明の一次分類</x:v>
      </x:c>
      <x:c r="N349" s="7" t="str"/>
      <x:c r="O349" s="7" t="str">
        <x:v>承認・例外対応・停止・復帰の境界は未確認</x:v>
      </x:c>
      <x:c r="P349" s="7" t="str">
        <x:v>2026公式カタログ掲載・現地未確認
2026展示予定。既存製品・参考出展・構想等は原典で個別確認</x:v>
      </x:c>
      <x:c r="Q349" s="7" t="str">
        <x:v>AC168</x:v>
      </x:c>
      <x:c t="str" r="R349" s="21">
        <x:f>HYPERLINK("https://www.jimtof.org/search/jp/ESdetails?e=E6552CzYMDI","JIMTOF2026 出展ページ")</x:f>
        <x:v>JIMTOF2026 出展ページ</x:v>
      </x:c>
      <x:c r="S349" s="21" t="str"/>
      <x:c r="T349" s="7" t="str">
        <x:v>EEX-EXH-2026-c3ddb256e8eb1f0b: https://www.jimtof.org/search/jp/ESdetails?e=E6552CzYMDI
該当箇所: 出展紹介・主な出展物。追加カードの原典抜粋で検索</x:v>
      </x:c>
    </x:row>
    <x:row r="350" ht="155" customHeight="1">
      <x:c r="A350" s="7" t="str">
        <x:v>共通基盤</x:v>
      </x:c>
      <x:c r="B350" s="7" t="str">
        <x:v>安全監視・自動化を支える機器</x:v>
      </x:c>
      <x:c r="C350" s="20" t="str">
        <x:v>日東工器株式会社</x:v>
      </x:c>
      <x:c r="D350" s="7" t="str">
        <x:v>迅速流体継手（カプラ）、省力化機械工具、電動ねじ締めドライバ（デルボ）、リニア駆動ポンプとその応用製品、建築機器（ドアクローザ）</x:v>
      </x:c>
      <x:c r="E350" s="7" t="str">
        <x:v>W4049</x:v>
      </x:c>
      <x:c r="F350" s="7" t="str">
        <x:v>クーラント・潤滑・清掃の省人化 ／ 安全監視・自動化を支える機器</x:v>
      </x:c>
      <x:c r="G350" s="7" t="str">
        <x:v>原典抜粋：一回の操作で複数配管を同時に接続するマルチカプラをはじめ、回転する2色の羽根で冷却水の流れを目視で確認できるフローモニター、各種産業機器への組込み用として最適な真空ポンプ、切削液回収作業の省人化・省力化が可能な切削液回収装置、ロボットに確実に固定可能な自動機対応エアツールシリーズ、強力バッテリとブラシレスモータを搭載したコードレスタイプの手持ち工具、外部起動が可能な電動ドライバシリーズなどを展示します。</x:v>
      </x:c>
      <x:c r="H350" s="7" t="str">
        <x:v>補充・濃度管理・切粉処理などの保守作業で運転が途切れる。 ／ 無人運転やロボット導入には、安全確保と機器・配線・力の伝達が必要。</x:v>
      </x:c>
      <x:c r="I350" s="7" t="str">
        <x:v>2024原典抜粋：一回の操作で複数配管を同時に接続するマルチカプラをはじめ、回転する2色の羽根で冷却水の流れを目視で確認できるフローモニター、各種産業機器への組込み用として最適な真空ポンプ、切削液回収作業の省人化・省力化が可能な切削液回収装置、ロボットに確実に固定可能な自動機対応エアツールシリーズ、強力バッテリとブラシレスモータを搭載したコードレスタイプの手持ち工具、外部起動が可能な電動ドライバシリーズ、電気を使わずに静かにゆっくり閉まるスライディングクローザなどを展示します。 迅速流体継手（カプラ）、省力化機械工具、電動ねじ締めド</x:v>
      </x:c>
      <x:c r="J350" s="7" t="str">
        <x:v>2026原典抜粋：一回の操作で複数配管を同時に接続するマルチカプラをはじめ、回転する2色の羽根で冷却水の流れを目視で確認できるフローモニター、各種産業機器への組込み用として最適な真空ポンプ、切削液回収作業の省人化・省力化が可能な切削液回収装置、ロボットに確実に固定可能な自動機対応エアツールシリーズ、強力バッテリとブラシレスモータを搭載したコードレスタイプの手持ち工具、外部起動が可能な電動ドライバシリーズなどを展示します。</x:v>
      </x:c>
      <x:c r="K350" s="7" t="str">
        <x:v>原典記述の対照。個別機能の追加・性能差・初登場年は未判定。</x:v>
      </x:c>
      <x:c r="L350" s="7" t="str">
        <x:v>両年説明あり・機能差未判定</x:v>
      </x:c>
      <x:c r="M350" s="7" t="str">
        <x:v>出展説明の一次分類</x:v>
      </x:c>
      <x:c r="N350" s="7" t="str"/>
      <x:c r="O350" s="7" t="str">
        <x:v>承認・例外対応・停止・復帰の境界は未確認</x:v>
      </x:c>
      <x:c r="P350" s="7" t="str">
        <x:v>2026公式カタログ掲載・現地未確認
2026展示予定。既存製品・参考出展・構想等は原典で個別確認</x:v>
      </x:c>
      <x:c r="Q350" s="7" t="str">
        <x:v>AC169</x:v>
      </x:c>
      <x:c t="str" r="R350" s="21">
        <x:f>HYPERLINK("https://www.jimtof.org/search/jp/ESdetails?e=q1qxgLFfjjo","JIMTOF2026 出展ページ")</x:f>
        <x:v>JIMTOF2026 出展ページ</x:v>
      </x:c>
      <x:c t="str" r="S350" s="21">
        <x:f>HYPERLINK("https://www.jimtof.org/2024/search/jp/ESdetails?e=wBCJfxjpMoI","JIMTOF2024 出展ページ")</x:f>
        <x:v>JIMTOF2024 出展ページ</x:v>
      </x:c>
      <x:c r="T350" s="7" t="str">
        <x:v>EEX-EXH-2026-21553e90028cfc5e: https://www.jimtof.org/search/jp/ESdetails?e=q1qxgLFfjjo
該当箇所: 出展紹介・主な出展物。追加カードの原典抜粋で検索
EEX-EXH-2024-5ac60314619d5ea3: https://www.jimtof.org/2024/search/jp/ESdetails?e=wBCJfxjpMoI
該当箇所: 出展紹介・主な出展物。追加カードの原典抜粋で検索</x:v>
      </x:c>
    </x:row>
    <x:row r="351" ht="155" customHeight="1">
      <x:c r="A351" s="7" t="str">
        <x:v>共通基盤</x:v>
      </x:c>
      <x:c r="B351" s="7" t="str">
        <x:v>安全監視・自動化を支える機器</x:v>
      </x:c>
      <x:c r="C351" s="20" t="str">
        <x:v>日本キスラー合同会社</x:v>
      </x:c>
      <x:c r="D351" s="7" t="str">
        <x:v>【水晶圧電式ワイヤレス回転式動力計9171B】</x:v>
      </x:c>
      <x:c r="E351" s="7" t="str">
        <x:v>S4031</x:v>
      </x:c>
      <x:c r="F351" s="7" t="str">
        <x:v>NC送り最適化・加工中の適応制御 ／ 安全監視・自動化を支える機器</x:v>
      </x:c>
      <x:c r="G351" s="7" t="str">
        <x:v>原典抜粋：タレット旋盤、多軸加工機、ロボット、組立ラインなどの稼働構造部での連続的な測定を実現します。 / ・自動分析ソフトウェア（Piezo Tool System）</x:v>
      </x:c>
      <x:c r="H351" s="7" t="str">
        <x:v>負荷変動による過負荷と、余裕のある区間の加工時間。 ／ 無人運転やロボット導入には、安全確保と機器・配線・力の伝達が必要。</x:v>
      </x:c>
      <x:c r="I351" s="7" t="str">
        <x:v>2024原典抜粋：キスラーは切削・研削加工向けに 2 つの製品を展示します。 【水晶圧電式ワイヤレス回転式動力計】 水晶圧電式素子を内蔵したワイヤレス回転式動力計 は 3 軸（Fx,Fy,Fz）の力とトルク（Mz）を最高の精度で測定します。 無線でデータを送信するため、加工機側に一切の変更を加えずに、容易にご利用いただけます。特に、複数の加工機を用いる量産工程で効果的です。 【ピエゾツールシステムPTS App.】 ワイヤレス回転式動力計と産業用と向けに開発されたソフトウェアPTS App.を組み合わせることで、高度な測定やプロセス</x:v>
      </x:c>
      <x:c r="J351" s="7" t="str">
        <x:v>2026原典抜粋：タレット旋盤、多軸加工機、ロボット、組立ラインなどの稼働構造部での連続的な測定を実現します。 / ・自動分析ソフトウェア（Piezo Tool System）</x:v>
      </x:c>
      <x:c r="K351" s="7" t="str">
        <x:v>原典記述の対照。個別機能の追加・性能差・初登場年は未判定。</x:v>
      </x:c>
      <x:c r="L351" s="7" t="str">
        <x:v>両年説明あり・機能差未判定</x:v>
      </x:c>
      <x:c r="M351" s="7" t="str">
        <x:v>出展説明の一次分類</x:v>
      </x:c>
      <x:c r="N351" s="7" t="str"/>
      <x:c r="O351" s="7" t="str">
        <x:v>承認・例外対応・停止・復帰の境界は未確認</x:v>
      </x:c>
      <x:c r="P351" s="7" t="str">
        <x:v>2026公式カタログ掲載・現地未確認
2026展示予定。既存製品・参考出展・構想等は原典で個別確認</x:v>
      </x:c>
      <x:c r="Q351" s="7" t="str">
        <x:v>AC175</x:v>
      </x:c>
      <x:c t="str" r="R351" s="21">
        <x:f>HYPERLINK("https://www.jimtof.org/search/jp/ESdetails?e=7Gt1ylw_a8s","JIMTOF2026 出展ページ")</x:f>
        <x:v>JIMTOF2026 出展ページ</x:v>
      </x:c>
      <x:c t="str" r="S351" s="21">
        <x:f>HYPERLINK("https://www.jimtof.org/2024/search/jp/ESdetails?e=OdShO16iijA","JIMTOF2024 出展ページ")</x:f>
        <x:v>JIMTOF2024 出展ページ</x:v>
      </x:c>
      <x:c r="T351" s="7" t="str">
        <x:v>EEX-EXH-2026-e0340858cb52d52f: https://www.jimtof.org/search/jp/ESdetails?e=7Gt1ylw_a8s
該当箇所: 出展紹介・主な出展物。追加カードの原典抜粋で検索
EEX-EXH-2024-a947d5bb3582cb0e: https://www.jimtof.org/2024/search/jp/ESdetails?e=OdShO16iijA
該当箇所: 出展紹介・主な出展物。追加カードの原典抜粋で検索</x:v>
      </x:c>
    </x:row>
    <x:row r="352" ht="155" customHeight="1">
      <x:c r="A352" s="7" t="str">
        <x:v>共通基盤</x:v>
      </x:c>
      <x:c r="B352" s="7" t="str">
        <x:v>安全監視・自動化を支える機器</x:v>
      </x:c>
      <x:c r="C352" s="20" t="str">
        <x:v>株式会社ネオフレックス</x:v>
      </x:c>
      <x:c r="D352" s="7" t="str">
        <x:v>1.フレキシブル電線保護管（金属製・樹脂製）</x:v>
      </x:c>
      <x:c r="E352" s="7" t="str">
        <x:v>S3039</x:v>
      </x:c>
      <x:c r="F352" s="7" t="str">
        <x:v>安全監視・自動化を支える機器</x:v>
      </x:c>
      <x:c r="G352" s="7" t="str">
        <x:v>原典抜粋：当社は、工作機械、産業機械、船舶、鉄道車両、建設機械、プラント建設、トンネル工事、ロボット、自動機、工場設備など、幅広い用途向けのフレキシブル電線保護管およびコネクターを製造・販売しています。</x:v>
      </x:c>
      <x:c r="H352" s="7" t="str">
        <x:v>無人運転やロボット導入には、安全確保と機器・配線・力の伝達が必要。</x:v>
      </x:c>
      <x:c r="I352" s="7" t="str">
        <x:v>2024原典抜粋：工作機械、産業機械をはじめ鉄道、船舶、車輌、建機、プラント工事、トンネル工事及び工場設備等に関わるフレキシブル電線保護管＆接続コネクターは、多くのお客様からご支持をいただいている品質重視で作られた製品群です。 ワンタッチで取り付け可能な樹脂製コネクター(FLEXA Quick System) は必見です。 1.電線保護管・接続コネクター 2.プラスチック製ワンタッチコネクター 3.ケーブルグランド</x:v>
      </x:c>
      <x:c r="J352" s="7" t="str">
        <x:v>2026原典抜粋：当社は、工作機械、産業機械、船舶、鉄道車両、建設機械、プラント建設、トンネル工事、ロボット、自動機、工場設備など、幅広い用途向けのフレキシブル電線保護管およびコネクターを製造・販売しています。</x:v>
      </x:c>
      <x:c r="K352" s="7" t="str">
        <x:v>原典記述の対照。個別機能の追加・性能差・初登場年は未判定。</x:v>
      </x:c>
      <x:c r="L352" s="7" t="str">
        <x:v>両年説明あり・機能差未判定</x:v>
      </x:c>
      <x:c r="M352" s="7" t="str">
        <x:v>出展説明の一次分類</x:v>
      </x:c>
      <x:c r="N352" s="7" t="str"/>
      <x:c r="O352" s="7" t="str">
        <x:v>承認・例外対応・停止・復帰の境界は未確認</x:v>
      </x:c>
      <x:c r="P352" s="7" t="str">
        <x:v>2026公式カタログ掲載・現地未確認
2026展示予定。既存製品・参考出展・構想等は原典で個別確認</x:v>
      </x:c>
      <x:c r="Q352" s="7" t="str">
        <x:v>AC182</x:v>
      </x:c>
      <x:c t="str" r="R352" s="21">
        <x:f>HYPERLINK("https://www.jimtof.org/search/jp/ESdetails?e=CQ20cW795qg","JIMTOF2026 出展ページ")</x:f>
        <x:v>JIMTOF2026 出展ページ</x:v>
      </x:c>
      <x:c t="str" r="S352" s="21">
        <x:f>HYPERLINK("https://www.jimtof.org/2024/search/jp/ESdetails?e=oaOuwj9BXck","JIMTOF2024 出展ページ")</x:f>
        <x:v>JIMTOF2024 出展ページ</x:v>
      </x:c>
      <x:c r="T352" s="7" t="str">
        <x:v>EEX-EXH-2026-7e162011f9184cc6: https://www.jimtof.org/search/jp/ESdetails?e=CQ20cW795qg
該当箇所: 出展紹介・主な出展物。追加カードの原典抜粋で検索
EEX-EXH-2024-d7a4b509dfb97d63: https://www.jimtof.org/2024/search/jp/ESdetails?e=oaOuwj9BXck
該当箇所: 出展紹介・主な出展物。追加カードの原典抜粋で検索</x:v>
      </x:c>
    </x:row>
    <x:row r="353" ht="155" customHeight="1">
      <x:c r="A353" s="7" t="str">
        <x:v>共通基盤</x:v>
      </x:c>
      <x:c r="B353" s="7" t="str">
        <x:v>安全監視・自動化を支える機器</x:v>
      </x:c>
      <x:c r="C353" s="20" t="str">
        <x:v>株式会社初田製作所</x:v>
      </x:c>
      <x:c r="D353" s="7" t="str">
        <x:v>【精密模型による自動消火体験と、新商品『KZ2』を含む最新4機種を展示！】</x:v>
      </x:c>
      <x:c r="E353" s="7" t="str">
        <x:v>S3083</x:v>
      </x:c>
      <x:c r="F353" s="7" t="str">
        <x:v>安全監視・自動化を支える機器</x:v>
      </x:c>
      <x:c r="G353" s="7" t="str">
        <x:v>原典抜粋：初田製作所ブース（南3ホール S3083）では、万が一の工作機械火災から工場と従業員を守る「産業機械用自動消火システム」を出展いたします。 / 【精密模型による自動消火体験と、新商品『KZ2』を含む最新4機種を展示！】 / ①精密模型による『自動消火体験コーナー』 大型実機の代わりに、消火感知からガス放出・鎮火までの一連の流れをボタン1つでリアルに体験できるシミュレーター模型を設置。 / ⑤コンパクト設計『エアロゾル自動消火装置』 スピ</x:v>
      </x:c>
      <x:c r="H353" s="7" t="str">
        <x:v>無人運転やロボット導入には、安全確保と機器・配線・力の伝達が必要。</x:v>
      </x:c>
      <x:c r="I353" s="7" t="str">
        <x:v>2024原典抜粋：はじめまして。初田製作所です。1902年創業。火災から大切な人命や文化財を守る会社です。お立ち寄りお待ちしております。 1982年から、製造、販売をしております、自動消火装置 Cabinexシリーズを出展させていただきます。是非ともお立ちより頂き、ご意見いただければ幸いです。又、ブース内では、二酸化炭素消火の原理、放射シーンなどもご覧いただけます。当日は、ブースにてお待ち申し上げております。 ・キャビネックスEN2 ・キャビネックスKZ ・アルゴナイトキャビネックス ・デザイン消火器 ・キティ消火器</x:v>
      </x:c>
      <x:c r="J353" s="7" t="str">
        <x:v>2026原典抜粋：初田製作所ブース（南3ホール S3083）では、万が一の工作機械火災から工場と従業員を守る「産業機械用自動消火システム」を出展いたします。 / 【精密模型による自動消火体験と、新商品『KZ2』を含む最新4機種を展示！】 / ①精密模型による『自動消火体験コーナー』 大型実機の代わりに、消火感知からガス放出・鎮火までの一連の流れをボタン1つでリアルに体験できるシミュレーター模型を設置。 / ⑤コンパクト設計『エアロゾル自動消火装置』 スピ</x:v>
      </x:c>
      <x:c r="K353" s="7" t="str">
        <x:v>原典記述の対照。個別機能の追加・性能差・初登場年は未判定。</x:v>
      </x:c>
      <x:c r="L353" s="7" t="str">
        <x:v>両年説明あり・機能差未判定</x:v>
      </x:c>
      <x:c r="M353" s="7" t="str">
        <x:v>出展説明の一次分類</x:v>
      </x:c>
      <x:c r="N353" s="7" t="str"/>
      <x:c r="O353" s="7" t="str">
        <x:v>承認・例外対応・停止・復帰の境界は未確認</x:v>
      </x:c>
      <x:c r="P353" s="7" t="str">
        <x:v>2026公式カタログ掲載・現地未確認
2026展示予定。既存製品・参考出展・構想等は原典で個別確認</x:v>
      </x:c>
      <x:c r="Q353" s="7" t="str">
        <x:v>AC189</x:v>
      </x:c>
      <x:c t="str" r="R353" s="21">
        <x:f>HYPERLINK("https://www.jimtof.org/search/jp/ESdetails?e=Y8Hglfxxl6U","JIMTOF2026 出展ページ")</x:f>
        <x:v>JIMTOF2026 出展ページ</x:v>
      </x:c>
      <x:c t="str" r="S353" s="21">
        <x:f>HYPERLINK("https://www.jimtof.org/2024/search/jp/ESdetails?e=P9k2PjRL3rE","JIMTOF2024 出展ページ")</x:f>
        <x:v>JIMTOF2024 出展ページ</x:v>
      </x:c>
      <x:c r="T353" s="7" t="str">
        <x:v>EEX-EXH-2026-e73069bc80a68783: https://www.jimtof.org/search/jp/ESdetails?e=Y8Hglfxxl6U
該当箇所: 出展紹介・主な出展物。追加カードの原典抜粋で検索
EEX-EXH-2024-5a5c59c313b76569: https://www.jimtof.org/2024/search/jp/ESdetails?e=P9k2PjRL3rE
該当箇所: 出展紹介・主な出展物。追加カードの原典抜粋で検索</x:v>
      </x:c>
    </x:row>
    <x:row r="354" ht="155" customHeight="1">
      <x:c r="A354" s="7" t="str">
        <x:v>共通基盤</x:v>
      </x:c>
      <x:c r="B354" s="7" t="str">
        <x:v>安全監視・自動化を支える機器</x:v>
      </x:c>
      <x:c r="C354" s="20" t="str">
        <x:v>ヘラマンタイトン株式会社</x:v>
      </x:c>
      <x:c r="D354" s="7" t="str">
        <x:v>ローヘッドタイ</x:v>
      </x:c>
      <x:c r="E354" s="7" t="str">
        <x:v>S3063</x:v>
      </x:c>
      <x:c r="F354" s="7" t="str">
        <x:v>安全監視・自動化を支える機器</x:v>
      </x:c>
      <x:c r="G354" s="7" t="str">
        <x:v>原典抜粋：ヘラマンタイトン株式会社は、結束バンドの代名詞「インシュロック」をはじめとした、配線結束・固定・保護製品を展開する配線資材メーカーです。 / 会場では、製造現場の省人化・作業品質向上を実現するソリューションや、新製品も紹介いたしますので是非お立ち寄りください。 / ●ローヘッドタイ / 周辺の電線被覆を傷つけにくい、作業者にも安全なデザインの省スペース用結束バンドです。 / ●アルミパイプフレーム用固定具 / 生産現場の設備ユニットのア</x:v>
      </x:c>
      <x:c r="H354" s="7" t="str">
        <x:v>無人運転やロボット導入には、安全確保と機器・配線・力の伝達が必要。</x:v>
      </x:c>
      <x:c r="I354" s="7" t="str">
        <x:v>同一正規化名称の2024詳細なし。新規出展・技術不存在とは判断しない。</x:v>
      </x:c>
      <x:c r="J354" s="7" t="str">
        <x:v>2026原典抜粋：ヘラマンタイトン株式会社は、結束バンドの代名詞「インシュロック」をはじめとした、配線結束・固定・保護製品を展開する配線資材メーカーです。 / 会場では、製造現場の省人化・作業品質向上を実現するソリューションや、新製品も紹介いたしますので是非お立ち寄りください。 / ●ローヘッドタイ / 周辺の電線被覆を傷つけにくい、作業者にも安全なデザインの省スペース用結束バンドです。 / ●アルミパイプフレーム用固定具 / 生産現場の設備ユニットのア</x:v>
      </x:c>
      <x:c r="K354" s="7" t="str">
        <x:v>原典記述の対照。個別機能の追加・性能差・初登場年は未判定。</x:v>
      </x:c>
      <x:c r="L354" s="7" t="str">
        <x:v>年度資料不足・比較不能</x:v>
      </x:c>
      <x:c r="M354" s="7" t="str">
        <x:v>出展説明の一次分類</x:v>
      </x:c>
      <x:c r="N354" s="7" t="str"/>
      <x:c r="O354" s="7" t="str">
        <x:v>承認・例外対応・停止・復帰の境界は未確認</x:v>
      </x:c>
      <x:c r="P354" s="7" t="str">
        <x:v>2026公式カタログ掲載・現地未確認
2026展示予定。既存製品・参考出展・構想等は原典で個別確認</x:v>
      </x:c>
      <x:c r="Q354" s="7" t="str">
        <x:v>AC208</x:v>
      </x:c>
      <x:c t="str" r="R354" s="21">
        <x:f>HYPERLINK("https://www.jimtof.org/search/jp/ESdetails?e=xEXdOEK7Vpc","JIMTOF2026 出展ページ")</x:f>
        <x:v>JIMTOF2026 出展ページ</x:v>
      </x:c>
      <x:c r="S354" s="21" t="str"/>
      <x:c r="T354" s="7" t="str">
        <x:v>EEX-EXH-2026-61c5e32e01981e4b: https://www.jimtof.org/search/jp/ESdetails?e=xEXdOEK7Vpc
該当箇所: 出展紹介・主な出展物。追加カードの原典抜粋で検索</x:v>
      </x:c>
    </x:row>
    <x:row r="355" ht="155" customHeight="1">
      <x:c r="A355" s="7" t="str">
        <x:v>共通基盤</x:v>
      </x:c>
      <x:c r="B355" s="7" t="str">
        <x:v>安全監視・自動化を支える機器</x:v>
      </x:c>
      <x:c r="C355" s="20" t="str">
        <x:v>株式会社マザーツール</x:v>
      </x:c>
      <x:c r="D355" s="7" t="str">
        <x:v>【AIカメラ】</x:v>
      </x:c>
      <x:c r="E355" s="7" t="str">
        <x:v>S4038</x:v>
      </x:c>
      <x:c r="F355" s="7" t="str">
        <x:v>設備・刃具の異常検知と保全 ／ 安全監視・自動化を支える機器</x:v>
      </x:c>
      <x:c r="G355" s="7" t="str">
        <x:v>原典抜粋：サーモグラフィカメラによる設備の温度監視・異常発熱の検知、高解像度カメラによる作業状況の記録など、カメラを活用した「見える化」を実現します。 / AIカメラでは、作業者の危険箇所への侵入を検知して設備停止につなげたり、一人作業の現場や薬品庫など、人が常駐しないエリアでの転倒を検知してアラームでお知らせしたりするなど、工場内の安全対策もサポートします。 / その他にも、簡単に導入できるワイヤレスカメラモニターセット、熱を持つ設備の保守点検</x:v>
      </x:c>
      <x:c r="H355" s="7" t="str">
        <x:v>故障や工具破損の兆候を捉え、点検・交換につなぐ負担。 ／ 無人運転やロボット導入には、安全確保と機器・配線・力の伝達が必要。</x:v>
      </x:c>
      <x:c r="I355" s="7" t="str">
        <x:v>2024原典抜粋：AI画像解析を搭載したカメラや温度変化をトリガーにアラーム出力可能な設置型サーモグラフィ、高画質8メガピクセルのネットワークIPカメラ等、カメラシステムを活用した安全対策をご提案いたします。 【AI画像解析カメラシステム】 AI画像解析を搭載したカメラシステムにより、人に特化した様々な検知が可能。 作業者の転倒、指定したエリアへの侵入・居残り、人数、境界線横断等をトリガーとしてアラーム信号出力が可能。警報機との連動や機械の制御等、作業者の安全対策に貢献します。 【サーモグラフィカメラ】 撮影範囲内で最大12箇所のエ</x:v>
      </x:c>
      <x:c r="J355" s="7" t="str">
        <x:v>2026原典抜粋：サーモグラフィカメラによる設備の温度監視・異常発熱の検知、高解像度カメラによる作業状況の記録など、カメラを活用した「見える化」を実現します。 / AIカメラでは、作業者の危険箇所への侵入を検知して設備停止につなげたり、一人作業の現場や薬品庫など、人が常駐しないエリアでの転倒を検知してアラームでお知らせしたりするなど、工場内の安全対策もサポートします。 / その他にも、簡単に導入できるワイヤレスカメラモニターセット、熱を持つ設備の保守点検</x:v>
      </x:c>
      <x:c r="K355" s="7" t="str">
        <x:v>原典記述の対照。個別機能の追加・性能差・初登場年は未判定。</x:v>
      </x:c>
      <x:c r="L355" s="7" t="str">
        <x:v>両年説明あり・機能差未判定</x:v>
      </x:c>
      <x:c r="M355" s="7" t="str">
        <x:v>出展説明の一次分類</x:v>
      </x:c>
      <x:c r="N355" s="7" t="str"/>
      <x:c r="O355" s="7" t="str">
        <x:v>承認・例外対応・停止・復帰の境界は未確認</x:v>
      </x:c>
      <x:c r="P355" s="7" t="str">
        <x:v>2026公式カタログ掲載・現地未確認
2026展示予定。既存製品・参考出展・構想等は原典で個別確認</x:v>
      </x:c>
      <x:c r="Q355" s="7" t="str">
        <x:v>AC210</x:v>
      </x:c>
      <x:c t="str" r="R355" s="21">
        <x:f>HYPERLINK("https://www.jimtof.org/search/jp/ESdetails?e=BoITLU2Wxfk","JIMTOF2026 出展ページ")</x:f>
        <x:v>JIMTOF2026 出展ページ</x:v>
      </x:c>
      <x:c t="str" r="S355" s="21">
        <x:f>HYPERLINK("https://www.jimtof.org/2024/search/jp/ESdetails?e=kBYy2TOLHlc","JIMTOF2024 出展ページ")</x:f>
        <x:v>JIMTOF2024 出展ページ</x:v>
      </x:c>
      <x:c r="T355" s="7" t="str">
        <x:v>EEX-EXH-2026-57f4a98dc1098522: https://www.jimtof.org/search/jp/ESdetails?e=BoITLU2Wxfk
該当箇所: 出展紹介・主な出展物。追加カードの原典抜粋で検索
EEX-EXH-2024-441f129a7817c620: https://www.jimtof.org/2024/search/jp/ESdetails?e=kBYy2TOLHlc
該当箇所: 出展紹介・主な出展物。追加カードの原典抜粋で検索</x:v>
      </x:c>
    </x:row>
    <x:row r="356" ht="155" customHeight="1">
      <x:c r="A356" s="7" t="str">
        <x:v>共通基盤</x:v>
      </x:c>
      <x:c r="B356" s="7" t="str">
        <x:v>安全監視・自動化を支える機器</x:v>
      </x:c>
      <x:c r="C356" s="20" t="str">
        <x:v>ミネベアミツミ株式会社</x:v>
      </x:c>
      <x:c r="D356" s="7" t="str">
        <x:v>アキシャル/ラジアルベアリング</x:v>
      </x:c>
      <x:c r="E356" s="7" t="str">
        <x:v>W2029</x:v>
      </x:c>
      <x:c r="F356" s="7" t="str">
        <x:v>安全監視・自動化を支える機器</x:v>
      </x:c>
      <x:c r="G356" s="7" t="str">
        <x:v>原典抜粋：ミネベアミツミブースでは、工作機械やロボットの高度化・自動化に貢献する製品群を3つのカテゴリで一堂に展示いたします。 / ②【精密な駆動とセンシング】：高い応答性と制御性を誇るHB（ハイブリッド）モーターに加え、ロボットの精密動作や力加減を感知する6軸力覚センサーなど、高度な自動化を支える駆動・センシングソリューションをご提案します。</x:v>
      </x:c>
      <x:c r="H356" s="7" t="str">
        <x:v>無人運転やロボット導入には、安全確保と機器・配線・力の伝達が必要。</x:v>
      </x:c>
      <x:c r="I356" s="7" t="str">
        <x:v>2024原典抜粋：ミネベアミツミは、機械・電子技術と制御技術を融合した「エレクトロ メカニクス ソリューションズ®」プロバイダーとして、ベアリングに代表される超精密機械加工技術から、モーター、センサーや、半導体、無線技術に至るまで、幅広い先端技術を組み合わせ、常識を超えた「違い」で新しい価値をつくり、オンリーワンのものづくりに取り組む企業です。 当ブースでは、工作機械を通して社会的課題解決、持続可能な社会の実現に貢献できる技術や製品を提案します。 ・高剛性と高回転を兼ね備えたアキシャル／ラジアルベアリング ・可動式のノズルで切削油や</x:v>
      </x:c>
      <x:c r="J356" s="7" t="str">
        <x:v>2026原典抜粋：ミネベアミツミブースでは、工作機械やロボットの高度化・自動化に貢献する製品群を3つのカテゴリで一堂に展示いたします。 / ②【精密な駆動とセンシング】：高い応答性と制御性を誇るHB（ハイブリッド）モーターに加え、ロボットの精密動作や力加減を感知する6軸力覚センサーなど、高度な自動化を支える駆動・センシングソリューションをご提案します。</x:v>
      </x:c>
      <x:c r="K356" s="7" t="str">
        <x:v>原典記述の対照。個別機能の追加・性能差・初登場年は未判定。</x:v>
      </x:c>
      <x:c r="L356" s="7" t="str">
        <x:v>両年説明あり・機能差未判定</x:v>
      </x:c>
      <x:c r="M356" s="7" t="str">
        <x:v>出展説明の一次分類</x:v>
      </x:c>
      <x:c r="N356" s="7" t="str"/>
      <x:c r="O356" s="7" t="str">
        <x:v>承認・例外対応・停止・復帰の境界は未確認</x:v>
      </x:c>
      <x:c r="P356" s="7" t="str">
        <x:v>2026公式カタログ掲載・現地未確認
2026展示予定。既存製品・参考出展・構想等は原典で個別確認</x:v>
      </x:c>
      <x:c r="Q356" s="7" t="str">
        <x:v>AC222</x:v>
      </x:c>
      <x:c t="str" r="R356" s="21">
        <x:f>HYPERLINK("https://www.jimtof.org/search/jp/ESdetails?e=-h838KuejOA","JIMTOF2026 出展ページ")</x:f>
        <x:v>JIMTOF2026 出展ページ</x:v>
      </x:c>
      <x:c t="str" r="S356" s="21">
        <x:f>HYPERLINK("https://www.jimtof.org/2024/search/jp/ESdetails?e=llp9NQ2Y7ps","JIMTOF2024 出展ページ")</x:f>
        <x:v>JIMTOF2024 出展ページ</x:v>
      </x:c>
      <x:c r="T356" s="7" t="str">
        <x:v>EEX-EXH-2026-fb52066b04681c9c: https://www.jimtof.org/search/jp/ESdetails?e=-h838KuejOA
該当箇所: 出展紹介・主な出展物。追加カードの原典抜粋で検索
EEX-EXH-2024-326deb313eadde88: https://www.jimtof.org/2024/search/jp/ESdetails?e=llp9NQ2Y7ps
該当箇所: 出展紹介・主な出展物。追加カードの原典抜粋で検索</x:v>
      </x:c>
    </x:row>
    <x:row r="357" ht="155" customHeight="1">
      <x:c r="A357" s="7" t="str">
        <x:v>共通基盤</x:v>
      </x:c>
      <x:c r="B357" s="7" t="str">
        <x:v>安全監視・自動化を支える機器</x:v>
      </x:c>
      <x:c r="C357" s="20" t="str">
        <x:v>ユキワ精工株式会社</x:v>
      </x:c>
      <x:c r="D357" s="7" t="str">
        <x:v>スーパーG1チャック、スーパーG1チャックアドバンス、グリーンG1チャック、ハイブリッドG1チャック、ワークハンドリングホルダ他</x:v>
      </x:c>
      <x:c r="E357" s="7" t="str">
        <x:v>W2015</x:v>
      </x:c>
      <x:c r="F357" s="7" t="str">
        <x:v>安全監視・自動化を支える機器</x:v>
      </x:c>
      <x:c r="G357" s="7" t="str">
        <x:v>原典抜粋：高精度・高剛性・高把握力のスーパーG1チャックと、早くきれいに削れるecoなグリーンG1チャックを出展します。 / 精密部品加工や微細加工の高精度化ニーズに応えるため、コレットチャックの技術を駆使して開発した製品です。 / 工具の振れを最小限に抑え、剛性と把握力が高いため、工具費削減や不良削減に貢献します。 / また、加工条件を上げることができるので、サイクルタイムを短縮し生産性の向上に寄与いたします。 / SDGsにおいても、環境負荷</x:v>
      </x:c>
      <x:c r="H357" s="7" t="str">
        <x:v>無人運転やロボット導入には、安全確保と機器・配線・力の伝達が必要。</x:v>
      </x:c>
      <x:c r="I357" s="7" t="str">
        <x:v>2024原典抜粋：高精度・高剛性・高把握力のスーパーG1チャックと、早くきれいに削れるecoなグリーンG1チャックを出展します。 精密部品加工や微細加工の高精度化ニーズに応えるため、コレットチャックの技術を駆使して開発した製品です。工具の振れを最小限に抑え、剛性と把握力が高いため、工具費削減や不良削減に貢献します。また、加工条件を上げることができるので、サイクルタイムを短縮し生産性の向上に寄与いたします。 SDGsにおいても、環境負荷を低減するツールホルダとして、多くのユーザー様に認知されています。 スーパーG1チャック、スーパーG</x:v>
      </x:c>
      <x:c r="J357" s="7" t="str">
        <x:v>2026原典抜粋：高精度・高剛性・高把握力のスーパーG1チャックと、早くきれいに削れるecoなグリーンG1チャックを出展します。 / 精密部品加工や微細加工の高精度化ニーズに応えるため、コレットチャックの技術を駆使して開発した製品です。 / 工具の振れを最小限に抑え、剛性と把握力が高いため、工具費削減や不良削減に貢献します。 / また、加工条件を上げることができるので、サイクルタイムを短縮し生産性の向上に寄与いたします。 / SDGsにおいても、環境負荷</x:v>
      </x:c>
      <x:c r="K357" s="7" t="str">
        <x:v>原典記述の対照。個別機能の追加・性能差・初登場年は未判定。</x:v>
      </x:c>
      <x:c r="L357" s="7" t="str">
        <x:v>両年説明あり・機能差未判定</x:v>
      </x:c>
      <x:c r="M357" s="7" t="str">
        <x:v>出展説明の一次分類</x:v>
      </x:c>
      <x:c r="N357" s="7" t="str"/>
      <x:c r="O357" s="7" t="str">
        <x:v>承認・例外対応・停止・復帰の境界は未確認</x:v>
      </x:c>
      <x:c r="P357" s="7" t="str">
        <x:v>2026公式カタログ掲載・現地未確認
2026展示予定。既存製品・参考出展・構想等は原典で個別確認</x:v>
      </x:c>
      <x:c r="Q357" s="7" t="str">
        <x:v>AC233</x:v>
      </x:c>
      <x:c t="str" r="R357" s="21">
        <x:f>HYPERLINK("https://www.jimtof.org/search/jp/ESdetails?e=KfyA76OQ4CE","JIMTOF2026 出展ページ")</x:f>
        <x:v>JIMTOF2026 出展ページ</x:v>
      </x:c>
      <x:c t="str" r="S357" s="21">
        <x:f>HYPERLINK("https://www.jimtof.org/2024/search/jp/ESdetails?e=3eq-FbqXtMg","JIMTOF2024 出展ページ")</x:f>
        <x:v>JIMTOF2024 出展ページ</x:v>
      </x:c>
      <x:c r="T357" s="7" t="str">
        <x:v>EEX-EXH-2026-4a8402a527c17b99: https://www.jimtof.org/search/jp/ESdetails?e=KfyA76OQ4CE
該当箇所: 出展紹介・主な出展物。追加カードの原典抜粋で検索
EEX-EXH-2024-48638a2b9c3c485e: https://www.jimtof.org/2024/search/jp/ESdetails?e=3eq-FbqXtMg
該当箇所: 出展紹介・主な出展物。追加カードの原典抜粋で検索</x:v>
      </x:c>
    </x:row>
    <x:row r="358" ht="155" customHeight="1">
      <x:c r="A358" s="7" t="str">
        <x:v>共通基盤</x:v>
      </x:c>
      <x:c r="B358" s="7" t="str">
        <x:v>安全監視・自動化を支える機器</x:v>
      </x:c>
      <x:c r="C358" s="20" t="str">
        <x:v>リタール株式会社</x:v>
      </x:c>
      <x:c r="D358" s="7" t="str">
        <x:v>制御盤用筐体 VX</x:v>
      </x:c>
      <x:c r="E358" s="7" t="str">
        <x:v>S1067</x:v>
      </x:c>
      <x:c r="F358" s="7" t="str">
        <x:v>電気・制御盤設計と盤製作の連携</x:v>
      </x:c>
      <x:c r="G358" s="7" t="str">
        <x:v>電気設計から制御盤製作への工程連携を紹介。筐体・盤内配線・エッジ用機器も展示。</x:v>
      </x:c>
      <x:c r="H358" s="7" t="str">
        <x:v>要求から制御コード・画面・設計情報へ落とす手間。 ／ データの意味づけと、作ったAIを現場へつなぐ負担。 ／ 無人運転やロボット導入には、安全確保と機器・配線・力の伝達が必要。</x:v>
      </x:c>
      <x:c r="I358" s="7" t="str">
        <x:v>2024原典抜粋：「制御盤製造のデータ連携と実装」 電気設計から製造まで一貫したデジタルワークフローで、盤の設計・製造の効率化を実現できるソリューションをご紹介します。 Eplanの電気回路図設計「electric P8」、3Dレイアウト設計「Pro Panel」とリタールの盤筐体専用加工機「Perforex MT ミリングターミナル」、全自動電線加工機「WT C ワイヤターミナル」をデータでつなげることで、盤製造のバリューチェーンの最適化が生まれます。なお、今年９月に開設した制御盤製造DXを体験・検証できるショールーム「リタール </x:v>
      </x:c>
      <x:c r="J358" s="7" t="str">
        <x:v>2026原典抜粋：国際規格を多数取得、高い保護等級を有するリタールの盤用筐体や小型ボックス各種、工作機械の操作盤に最適の高さ調節式サポートアームシステム、オープンプラットフォームのバスバーシステム、そして、製造業のIoT化を推進するクーラー付ITラック・エッジコンピューティング用ラックも展示します。</x:v>
      </x:c>
      <x:c r="K358" s="7" t="str">
        <x:v>原典記述の対照。個別機能の追加・性能差・初登場年は未判定。</x:v>
      </x:c>
      <x:c r="L358" s="7" t="str">
        <x:v>両年説明あり・機能差未判定</x:v>
      </x:c>
      <x:c r="M358" s="7" t="str">
        <x:v>出展説明の一次分類</x:v>
      </x:c>
      <x:c r="N358" s="7" t="str"/>
      <x:c r="O358" s="7" t="str">
        <x:v>承認・例外対応・停止・復帰の境界は未確認</x:v>
      </x:c>
      <x:c r="P358" s="7" t="str">
        <x:v>2026公式カタログ掲載・現地未確認
2026展示予定。既存製品・参考出展・構想等は原典で個別確認</x:v>
      </x:c>
      <x:c r="Q358" s="7" t="str">
        <x:v>AC240</x:v>
      </x:c>
      <x:c t="str" r="R358" s="21">
        <x:f>HYPERLINK("https://www.jimtof.org/search/jp/ESdetails?e=20GFOkXi--c","JIMTOF2026 出展ページ")</x:f>
        <x:v>JIMTOF2026 出展ページ</x:v>
      </x:c>
      <x:c t="str" r="S358" s="21">
        <x:f>HYPERLINK("https://www.jimtof.org/2024/search/jp/ESdetails?e=0znDfGLD-WE","JIMTOF2024 出展ページ")</x:f>
        <x:v>JIMTOF2024 出展ページ</x:v>
      </x:c>
      <x:c r="T358" s="7" t="str">
        <x:v>EEX-EXH-2026-ede0d52617ac3762: https://www.jimtof.org/search/jp/ESdetails?e=20GFOkXi--c
該当箇所: 出展紹介・主な出展物。追加カードの原典抜粋で検索
EEX-EXH-2024-424d4201234fb682: https://www.jimtof.org/2024/search/jp/ESdetails?e=0znDfGLD-WE
該当箇所: 出展紹介・主な出展物。追加カードの原典抜粋で検索</x:v>
      </x:c>
    </x:row>
    <x:row r="359" ht="155" customHeight="1">
      <x:c r="A359" s="7" t="str">
        <x:v>共通基盤</x:v>
      </x:c>
      <x:c r="B359" s="7" t="str">
        <x:v>安全監視・自動化を支える機器</x:v>
      </x:c>
      <x:c r="C359" s="20" t="str">
        <x:v>BizLink Special Cables (Changzhou) Co., Ltd.</x:v>
      </x:c>
      <x:c r="D359" s="7" t="str">
        <x:v>* 重要インフラ向けケーブル</x:v>
      </x:c>
      <x:c r="E359" s="7" t="str">
        <x:v>S1052</x:v>
      </x:c>
      <x:c r="F359" s="7" t="str">
        <x:v>安全監視・自動化を支える機器</x:v>
      </x:c>
      <x:c r="G359" s="7" t="str">
        <x:v>原典抜粋：さらにBizLinkは、ロボット用ケーブルおよびアセンブリ、ホース＆チューブ、ドレスパックシステム、すぐに導入可能な統合型ロボット、ロボットプログラミング、ならびに対面（講師指導）またはオンラインでの自動化システムトレーニングを提供しています。 / また、急速に高まるデジタル化の潮流に応え、センサー技術を活用した統合型かつインテリジェントな計測ソリューションも提供しています。 / * ロボット用リトラクトシステム</x:v>
      </x:c>
      <x:c r="H359" s="7" t="str">
        <x:v>無人運転やロボット導入には、安全確保と機器・配線・力の伝達が必要。</x:v>
      </x:c>
      <x:c r="I359" s="7" t="str">
        <x:v>同一正規化名称の2024詳細なし。新規出展・技術不存在とは判断しない。</x:v>
      </x:c>
      <x:c r="J359" s="7" t="str">
        <x:v>2026原典抜粋：さらにBizLinkは、ロボット用ケーブルおよびアセンブリ、ホース＆チューブ、ドレスパックシステム、すぐに導入可能な統合型ロボット、ロボットプログラミング、ならびに対面（講師指導）またはオンラインでの自動化システムトレーニングを提供しています。 / また、急速に高まるデジタル化の潮流に応え、センサー技術を活用した統合型かつインテリジェントな計測ソリューションも提供しています。 / * ロボット用リトラクトシステム</x:v>
      </x:c>
      <x:c r="K359" s="7" t="str">
        <x:v>原典記述の対照。個別機能の追加・性能差・初登場年は未判定。</x:v>
      </x:c>
      <x:c r="L359" s="7" t="str">
        <x:v>年度資料不足・比較不能</x:v>
      </x:c>
      <x:c r="M359" s="7" t="str">
        <x:v>出展説明の一次分類</x:v>
      </x:c>
      <x:c r="N359" s="7" t="str"/>
      <x:c r="O359" s="7" t="str">
        <x:v>承認・例外対応・停止・復帰の境界は未確認</x:v>
      </x:c>
      <x:c r="P359" s="7" t="str">
        <x:v>2026公式カタログ掲載・現地未確認
2026展示予定。既存製品・参考出展・構想等は原典で個別確認</x:v>
      </x:c>
      <x:c r="Q359" s="7" t="str">
        <x:v>AC250</x:v>
      </x:c>
      <x:c t="str" r="R359" s="21">
        <x:f>HYPERLINK("https://www.jimtof.org/search/jp/ESdetails?e=mONQNxkEoi8","JIMTOF2026 出展ページ")</x:f>
        <x:v>JIMTOF2026 出展ページ</x:v>
      </x:c>
      <x:c r="S359" s="21" t="str"/>
      <x:c r="T359" s="7" t="str">
        <x:v>EEX-EXH-2026-50111527cf450bde: https://www.jimtof.org/search/jp/ESdetails?e=mONQNxkEoi8
該当箇所: 出展紹介・主な出展物。追加カードの原典抜粋で検索</x:v>
      </x:c>
    </x:row>
    <x:row r="360" ht="155" customHeight="1">
      <x:c r="A360" s="7" t="str">
        <x:v>共通基盤</x:v>
      </x:c>
      <x:c r="B360" s="7" t="str">
        <x:v>安全監視・自動化を支える機器</x:v>
      </x:c>
      <x:c r="C360" s="20" t="str">
        <x:v>Chen Ying Oil Machine Co., Ltd.</x:v>
      </x:c>
      <x:c r="D360" s="7" t="str">
        <x:v>定量給油用電動給油機（容積式潤滑システム）</x:v>
      </x:c>
      <x:c r="E360" s="7" t="str">
        <x:v>S1049</x:v>
      </x:c>
      <x:c r="F360" s="7" t="str">
        <x:v>安全監視・自動化を支える機器</x:v>
      </x:c>
      <x:c r="G360" s="7" t="str">
        <x:v>原典抜粋：・CNC工作機械および産業自動化設備向け集中潤滑システム関連機器</x:v>
      </x:c>
      <x:c r="H360" s="7" t="str">
        <x:v>無人運転やロボット導入には、安全確保と機器・配線・力の伝達が必要。</x:v>
      </x:c>
      <x:c r="I360" s="7" t="str">
        <x:v>2024原典抜粋：CEN03 にはフロート スイッチと圧力スイッチがあり、最適な潤滑を保証します。オイル レベルとシステム圧力を常に監視することで、オイル レベルの低下や異常な圧力変化についてリアルタイムのアラートを送信します。この積極的な方法により、CEN03 の信頼性と効率が確保され、機器のダウンタイムが最小限に抑えられ、生産効率が最大化されます。 CAB、CBB、または T タイプのボリュームディストリビュータと組み合わせることで、正確な潤滑を提供して無駄を最小限に抑え、運用コストを削減します。この正確なオイル管理により、無駄</x:v>
      </x:c>
      <x:c r="J360" s="7" t="str">
        <x:v>2026原典抜粋：・CNC工作機械および産業自動化設備向け集中潤滑システム関連機器</x:v>
      </x:c>
      <x:c r="K360" s="7" t="str">
        <x:v>原典記述の対照。個別機能の追加・性能差・初登場年は未判定。</x:v>
      </x:c>
      <x:c r="L360" s="7" t="str">
        <x:v>両年説明あり・機能差未判定</x:v>
      </x:c>
      <x:c r="M360" s="7" t="str">
        <x:v>出展説明の一次分類</x:v>
      </x:c>
      <x:c r="N360" s="7" t="str"/>
      <x:c r="O360" s="7" t="str">
        <x:v>承認・例外対応・停止・復帰の境界は未確認</x:v>
      </x:c>
      <x:c r="P360" s="7" t="str">
        <x:v>2026公式カタログ掲載・現地未確認
2026展示予定。既存製品・参考出展・構想等は原典で個別確認</x:v>
      </x:c>
      <x:c r="Q360" s="7" t="str">
        <x:v>AC254</x:v>
      </x:c>
      <x:c t="str" r="R360" s="21">
        <x:f>HYPERLINK("https://www.jimtof.org/search/jp/ESdetails?e=bRKaw8mtvM4","JIMTOF2026 出展ページ")</x:f>
        <x:v>JIMTOF2026 出展ページ</x:v>
      </x:c>
      <x:c t="str" r="S360" s="21">
        <x:f>HYPERLINK("https://www.jimtof.org/2024/search/jp/ESdetails?e=-z-wy8L2Khs","JIMTOF2024 出展ページ")</x:f>
        <x:v>JIMTOF2024 出展ページ</x:v>
      </x:c>
      <x:c r="T360" s="7" t="str">
        <x:v>EEX-EXH-2026-a49b154774608339: https://www.jimtof.org/search/jp/ESdetails?e=bRKaw8mtvM4
該当箇所: 出展紹介・主な出展物。追加カードの原典抜粋で検索
EEX-EXH-2024-0f6717e2a782eba2: https://www.jimtof.org/2024/search/jp/ESdetails?e=-z-wy8L2Khs
該当箇所: 出展紹介・主な出展物。追加カードの原典抜粋で検索</x:v>
      </x:c>
    </x:row>
    <x:row r="361" ht="155" customHeight="1">
      <x:c r="A361" s="7" t="str">
        <x:v>段取り・物理作業</x:v>
      </x:c>
      <x:c r="B361" s="7" t="str">
        <x:v>自動加工セル・工程集約</x:v>
      </x:c>
      <x:c r="C361" s="20" t="str">
        <x:v>愛知産業株式会社</x:v>
      </x:c>
      <x:c r="D361" s="7" t="str">
        <x:v>1）ハームレ C 12 GEN2＋ロボット自動化システム RS 05-2</x:v>
      </x:c>
      <x:c r="E361" s="7" t="str">
        <x:v>E2024</x:v>
      </x:c>
      <x:c r="F361" s="7" t="str">
        <x:v>ワーク・パレット・切粉の搬送 ／ 自動加工セル・工程集約</x:v>
      </x:c>
      <x:c r="G361" s="7" t="str">
        <x:v>原典抜粋：ハームレ社の「C 12 GEN2」と、ロボット自動化システム「RS 05-2」による、省スペース5軸自動加工ラインをご紹介します。 / RS 05-2は設置面積わずか2m²で、6軸ロボットが工作機械・ストレージと連携し、単品ストレージ、引き出しストレージ、パレットストレージなど様々な構成を選択できます。 / 1）ハームレ C 12 GEN2＋ロボット自動化システム RS 05-2 / ドイツ・ハームレ社の5軸マシニングセンタ「C 12 </x:v>
      </x:c>
      <x:c r="H361" s="7" t="str">
        <x:v>品種・量の変化に合わせて人の供給往復を減らす。 ／ 設備間の持替えや繰返し作業が、人手・待ち時間・品質差につながる。</x:v>
      </x:c>
      <x:c r="I361" s="7" t="str">
        <x:v>2024原典抜粋：＜システム＞ 金属3Dプリンタ分野で技術の黎明期より注目し、AMシステムでは、ドイツ SLMソリューションズ社のパウダーベッドフュージョン方式のSLM、電子ビームによるEBAM、ワイヤーアークによるWAAM、レーザディポジションLMDなど幅広い選択肢をご用意しております。 ＜マテリアル＞ ポーランド 3Dラボ社の小型パウダーアトマイズシステムをご提案します。 ＜デザイン・製造技術＞ 愛知産業の長年培ったノウハウでのコンサルティングや、試作サービスを行っております。 ＜ドイツ ニコンSLMソリューションズ社 レーザ溶</x:v>
      </x:c>
      <x:c r="J361" s="7" t="str">
        <x:v>2026原典抜粋：ハームレ社の「C 12 GEN2」と、ロボット自動化システム「RS 05-2」による、省スペース5軸自動加工ラインをご紹介します。 / RS 05-2は設置面積わずか2m²で、6軸ロボットが工作機械・ストレージと連携し、単品ストレージ、引き出しストレージ、パレットストレージなど様々な構成を選択できます。 / 1）ハームレ C 12 GEN2＋ロボット自動化システム RS 05-2 / ドイツ・ハームレ社の5軸マシニングセンタ「C 12 </x:v>
      </x:c>
      <x:c r="K361" s="7" t="str">
        <x:v>原典記述の対照。個別機能の追加・性能差・初登場年は未判定。</x:v>
      </x:c>
      <x:c r="L361" s="7" t="str">
        <x:v>両年説明あり・機能差未判定</x:v>
      </x:c>
      <x:c r="M361" s="7" t="str">
        <x:v>出展説明の一次分類</x:v>
      </x:c>
      <x:c r="N361" s="7" t="str"/>
      <x:c r="O361" s="7" t="str">
        <x:v>承認・例外対応・停止・復帰の境界は未確認</x:v>
      </x:c>
      <x:c r="P361" s="7" t="str">
        <x:v>2026公式カタログ掲載・現地未確認
2026展示予定。既存製品・参考出展・構想等は原典で個別確認</x:v>
      </x:c>
      <x:c r="Q361" s="7" t="str">
        <x:v>AC001</x:v>
      </x:c>
      <x:c t="str" r="R361" s="21">
        <x:f>HYPERLINK("https://www.jimtof.org/search/jp/ESdetails?e=Yl0biW0wGYQ","JIMTOF2026 出展ページ")</x:f>
        <x:v>JIMTOF2026 出展ページ</x:v>
      </x:c>
      <x:c t="str" r="S361" s="21">
        <x:f>HYPERLINK("https://www.jimtof.org/2024/search/jp/ESdetails?e=IEkaqwch5ys","JIMTOF2024 出展ページ")</x:f>
        <x:v>JIMTOF2024 出展ページ</x:v>
      </x:c>
      <x:c r="T361" s="7" t="str">
        <x:v>EEX-EXH-2026-48e2386f5fc453a1: https://www.jimtof.org/search/jp/ESdetails?e=Yl0biW0wGYQ
該当箇所: 出展紹介・主な出展物。追加カードの原典抜粋で検索
EEX-EXH-2024-37c22841d48e3e8a: https://www.jimtof.org/2024/search/jp/ESdetails?e=IEkaqwch5ys
該当箇所: 出展紹介・主な出展物。追加カードの原典抜粋で検索
EEX-EXH-2024-70e71aea00af46ab: https://www.jimtof.org/2024/search/jp/ESdetails?e=fQIZuGa3hGk
該当箇所: 出展紹介・主な出展物。追加カードの原典抜粋で検索</x:v>
      </x:c>
    </x:row>
    <x:row r="362" ht="155" customHeight="1">
      <x:c r="A362" s="7" t="str">
        <x:v>段取り・物理作業</x:v>
      </x:c>
      <x:c r="B362" s="7" t="str">
        <x:v>自動加工セル・工程集約</x:v>
      </x:c>
      <x:c r="C362" s="20" t="str">
        <x:v>株式会社アマダ</x:v>
      </x:c>
      <x:c r="D362" s="7" t="str">
        <x:v>新型ファイバーレーザ</x:v>
      </x:c>
      <x:c r="E362" s="7" t="str">
        <x:v>E2012</x:v>
      </x:c>
      <x:c r="F362" s="7" t="str">
        <x:v>自動加工セル・工程集約</x:v>
      </x:c>
      <x:c r="G362" s="7" t="str">
        <x:v>原典抜粋：・デジタルプロファイル研削盤「DPG150」 / ・順送プレス加工自動化システム「SDEW8010iⅢ＋ALFAS03KR」</x:v>
      </x:c>
      <x:c r="H362" s="7" t="str">
        <x:v>設備間の持替えや繰返し作業が、人手・待ち時間・品質差につながる。</x:v>
      </x:c>
      <x:c r="I362" s="7" t="str">
        <x:v>2024原典抜粋：アマダグループは、板金、微細溶接、切削・研削盤、プレス自動化ソリューション事業より、国内展示会初披露となる3機種を含む10機種を出展。幅広い加工技術と、工場全体をデジタルに繋ぐソリューションをご紹介します。 会場では実素材を用いたデモ加工や豊富な加工サンプルにて、マシン性能をご体感ください。 【板金事業】 AI-TASにより自動プログラム補正運転を実現するファイバーレーザ溶接システムと、ブルーレーザ・ファイバーレーザ発振器を搭載し、切断・溶接・積層造形を1台で実現する3次元レーザ統合システムを出展。 さらには、国内</x:v>
      </x:c>
      <x:c r="J362" s="7" t="str">
        <x:v>2026原典抜粋：・デジタルプロファイル研削盤「DPG150」 / ・順送プレス加工自動化システム「SDEW8010iⅢ＋ALFAS03KR」</x:v>
      </x:c>
      <x:c r="K362" s="7" t="str">
        <x:v>原典記述の対照。個別機能の追加・性能差・初登場年は未判定。</x:v>
      </x:c>
      <x:c r="L362" s="7" t="str">
        <x:v>両年説明あり・機能差未判定</x:v>
      </x:c>
      <x:c r="M362" s="7" t="str">
        <x:v>出展説明の一次分類</x:v>
      </x:c>
      <x:c r="N362" s="7" t="str"/>
      <x:c r="O362" s="7" t="str">
        <x:v>承認・例外対応・停止・復帰の境界は未確認</x:v>
      </x:c>
      <x:c r="P362" s="7" t="str">
        <x:v>2026公式カタログ掲載・現地未確認
2026展示予定。既存製品・参考出展・構想等は原典で個別確認</x:v>
      </x:c>
      <x:c r="Q362" s="7" t="str">
        <x:v>AC010</x:v>
      </x:c>
      <x:c t="str" r="R362" s="21">
        <x:f>HYPERLINK("https://www.jimtof.org/search/jp/ESdetails?e=lwacRdqPa60","JIMTOF2026 出展ページ")</x:f>
        <x:v>JIMTOF2026 出展ページ</x:v>
      </x:c>
      <x:c t="str" r="S362" s="21">
        <x:f>HYPERLINK("https://www.jimtof.org/2024/search/jp/ESdetails?e=Jc5GYaUqS1I","JIMTOF2024 出展ページ")</x:f>
        <x:v>JIMTOF2024 出展ページ</x:v>
      </x:c>
      <x:c r="T362" s="7" t="str">
        <x:v>EEX-EXH-2026-650d9d144d109d53: https://www.jimtof.org/search/jp/ESdetails?e=lwacRdqPa60
該当箇所: 出展紹介・主な出展物。追加カードの原典抜粋で検索
EEX-EXH-2024-6494a99b9e9dbbed: https://www.jimtof.org/2024/search/jp/ESdetails?e=Jc5GYaUqS1I
該当箇所: 出展紹介・主な出展物。追加カードの原典抜粋で検索</x:v>
      </x:c>
    </x:row>
    <x:row r="363" ht="155" customHeight="1">
      <x:c r="A363" s="7" t="str">
        <x:v>段取り・物理作業</x:v>
      </x:c>
      <x:c r="B363" s="7" t="str">
        <x:v>自動加工セル・工程集約</x:v>
      </x:c>
      <x:c r="C363" s="20" t="str">
        <x:v>株式会社アマダプレスシステム</x:v>
      </x:c>
      <x:c r="D363" s="7" t="str">
        <x:v>順送プレス加工自動化システム「SDEW-8010iⅢ+ALFAS-03KR」</x:v>
      </x:c>
      <x:c r="E363" s="7" t="str">
        <x:v>E2012</x:v>
      </x:c>
      <x:c r="F363" s="7" t="str">
        <x:v>自動加工セル・工程集約</x:v>
      </x:c>
      <x:c r="G363" s="7" t="str">
        <x:v>原典抜粋：アマダプレスシステムは、塑性加工分野であるプレスマシン事業、プレス周辺装置事業、ばね成形機事業から成り、自動車、住宅設備、家電、電装部品、半導体、精密機器、医療機器・器具など、私たちの生活に欠かせない製品に使用される金属部品を生み出すマシンや装置の開発、製造、販売、サービスを担っています。 / 順送プレス加工自動化システム「SDEW-8010iⅢ+ALFAS-03KR」</x:v>
      </x:c>
      <x:c r="H363" s="7" t="str">
        <x:v>設備間の持替えや繰返し作業が、人手・待ち時間・品質差につながる。</x:v>
      </x:c>
      <x:c r="I363" s="7" t="str">
        <x:v>同一正規化名称の2024詳細なし。新規出展・技術不存在とは判断しない。</x:v>
      </x:c>
      <x:c r="J363" s="7" t="str">
        <x:v>2026原典抜粋：アマダプレスシステムは、塑性加工分野であるプレスマシン事業、プレス周辺装置事業、ばね成形機事業から成り、自動車、住宅設備、家電、電装部品、半導体、精密機器、医療機器・器具など、私たちの生活に欠かせない製品に使用される金属部品を生み出すマシンや装置の開発、製造、販売、サービスを担っています。 / 順送プレス加工自動化システム「SDEW-8010iⅢ+ALFAS-03KR」</x:v>
      </x:c>
      <x:c r="K363" s="7" t="str">
        <x:v>原典記述の対照。個別機能の追加・性能差・初登場年は未判定。</x:v>
      </x:c>
      <x:c r="L363" s="7" t="str">
        <x:v>年度資料不足・比較不能</x:v>
      </x:c>
      <x:c r="M363" s="7" t="str">
        <x:v>出展説明の一次分類</x:v>
      </x:c>
      <x:c r="N363" s="7" t="str"/>
      <x:c r="O363" s="7" t="str">
        <x:v>承認・例外対応・停止・復帰の境界は未確認</x:v>
      </x:c>
      <x:c r="P363" s="7" t="str">
        <x:v>2026公式カタログ掲載・現地未確認
2026展示予定。既存製品・参考出展・構想等は原典で個別確認</x:v>
      </x:c>
      <x:c r="Q363" s="7" t="str">
        <x:v>AC011</x:v>
      </x:c>
      <x:c t="str" r="R363" s="21">
        <x:f>HYPERLINK("https://www.jimtof.org/search/jp/ESdetails?e=QfXLYGGnIbs","JIMTOF2026 出展ページ")</x:f>
        <x:v>JIMTOF2026 出展ページ</x:v>
      </x:c>
      <x:c r="S363" s="21" t="str"/>
      <x:c r="T363" s="7" t="str">
        <x:v>EEX-EXH-2026-6029a59fb8aad4a7: https://www.jimtof.org/search/jp/ESdetails?e=QfXLYGGnIbs
該当箇所: 出展紹介・主な出展物。追加カードの原典抜粋で検索</x:v>
      </x:c>
    </x:row>
    <x:row r="364" ht="155" customHeight="1">
      <x:c r="A364" s="7" t="str">
        <x:v>段取り・物理作業</x:v>
      </x:c>
      <x:c r="B364" s="7" t="str">
        <x:v>自動加工セル・工程集約</x:v>
      </x:c>
      <x:c r="C364" s="20" t="str">
        <x:v>株式会社池貝</x:v>
      </x:c>
      <x:c r="D364" s="7" t="str">
        <x:v>各業界における取り組み</x:v>
      </x:c>
      <x:c r="E364" s="7" t="str">
        <x:v>E3002</x:v>
      </x:c>
      <x:c r="F364" s="7" t="str">
        <x:v>自動加工セル・工程集約</x:v>
      </x:c>
      <x:c r="G364" s="7" t="str">
        <x:v>原典抜粋：また、こうした技術をお客様仕様にあわせ、自動化・省人化のノウハウを組み込んだ各種実績や新機種シリーズ「NeoV-MⅡ」「HPS-BⅡ」など、進化・深化するSNK・池貝技術の数々を多彩なコンテンツでご覧いただけます。</x:v>
      </x:c>
      <x:c r="H364" s="7" t="str">
        <x:v>設備間の持替えや繰返し作業が、人手・待ち時間・品質差につながる。</x:v>
      </x:c>
      <x:c r="I364" s="7" t="str">
        <x:v>2024原典抜粋：池貝では旋盤の新シリーズ「AE」の紹介をはじめ、U軸マシニングセンタ、専用機各種をPRします。AEシリーズでは機械構造を見直すことで従来機種と比較し、油圧レス化・省スペース化・省エネ化を達成、さらに、操作盤の視認性や簡単にNC加工が出来るソフトの搭載が可能です。また、CNC旋盤でありながらわずかな作業を必要とする場合は、汎用旋盤のような操作が可能であり、使いやすさに磨きをかけました。ブース内では、門型機メーカーの「新日本工機」や自動車向け旋盤の「日新工機」など、新シリーズの紹介などお客様ニーズに応える様々なご提案が</x:v>
      </x:c>
      <x:c r="J364" s="7" t="str">
        <x:v>2026原典抜粋：また、こうした技術をお客様仕様にあわせ、自動化・省人化のノウハウを組み込んだ各種実績や新機種シリーズ「NeoV-MⅡ」「HPS-BⅡ」など、進化・深化するSNK・池貝技術の数々を多彩なコンテンツでご覧いただけます。</x:v>
      </x:c>
      <x:c r="K364" s="7" t="str">
        <x:v>原典記述の対照。個別機能の追加・性能差・初登場年は未判定。</x:v>
      </x:c>
      <x:c r="L364" s="7" t="str">
        <x:v>両年説明あり・機能差未判定</x:v>
      </x:c>
      <x:c r="M364" s="7" t="str">
        <x:v>出展説明の一次分類</x:v>
      </x:c>
      <x:c r="N364" s="7" t="str"/>
      <x:c r="O364" s="7" t="str">
        <x:v>承認・例外対応・停止・復帰の境界は未確認</x:v>
      </x:c>
      <x:c r="P364" s="7" t="str">
        <x:v>2026公式カタログ掲載・現地未確認
2026展示予定。既存製品・参考出展・構想等は原典で個別確認</x:v>
      </x:c>
      <x:c r="Q364" s="7" t="str">
        <x:v>AC015</x:v>
      </x:c>
      <x:c t="str" r="R364" s="21">
        <x:f>HYPERLINK("https://www.jimtof.org/search/jp/ESdetails?e=WS9ql5D41fQ","JIMTOF2026 出展ページ")</x:f>
        <x:v>JIMTOF2026 出展ページ</x:v>
      </x:c>
      <x:c t="str" r="S364" s="21">
        <x:f>HYPERLINK("https://www.jimtof.org/2024/search/jp/ESdetails?e=4zcj5QqmMBo","JIMTOF2024 出展ページ")</x:f>
        <x:v>JIMTOF2024 出展ページ</x:v>
      </x:c>
      <x:c r="T364" s="7" t="str">
        <x:v>EEX-EXH-2026-b13a1cbd634179d5: https://www.jimtof.org/search/jp/ESdetails?e=WS9ql5D41fQ
該当箇所: 出展紹介・主な出展物。追加カードの原典抜粋で検索
EEX-EXH-2024-50ac4ce119b8d4db: https://www.jimtof.org/2024/search/jp/ESdetails?e=4zcj5QqmMBo
該当箇所: 出展紹介・主な出展物。追加カードの原典抜粋で検索</x:v>
      </x:c>
    </x:row>
    <x:row r="365" ht="155" customHeight="1">
      <x:c r="A365" s="7" t="str">
        <x:v>段取り・物理作業</x:v>
      </x:c>
      <x:c r="B365" s="7" t="str">
        <x:v>自動加工セル・工程集約</x:v>
      </x:c>
      <x:c r="C365" s="20" t="str">
        <x:v>入野機工株式会社</x:v>
      </x:c>
      <x:c r="D365" s="7" t="str">
        <x:v>【新型ハイブリッド内面研削盤 IIG-15HE】</x:v>
      </x:c>
      <x:c r="E365" s="7" t="str">
        <x:v>E7048</x:v>
      </x:c>
      <x:c r="F365" s="7" t="str">
        <x:v>計測から加工へのフィードバック ／ 自動加工セル・工程集約</x:v>
      </x:c>
      <x:c r="G365" s="7" t="str">
        <x:v>原典抜粋：加工状態を見ながら研削条件を作り込み、条件が決まれば全自動研削サイクルで安定した加工を繰り返す。 / 入野機工は、この機械の良さを残しながら、オペレーターが機械の位置をより正確に把握し、より簡単に設定できるよう、デジタル技術を取り入れて操作性を高めてきました。 / 寸法補正から再研削までを効率化します。 / 自動切込み速度はmm/min単位で数値設定でき、従来の油圧・機械機構による送り速度のばらつきを抑え、安定した切込み動作を可能にしま</x:v>
      </x:c>
      <x:c r="H365" s="7" t="str">
        <x:v>検査結果を次の加工に戻す待ち時間と補正のばらつき。 ／ 設備間の持替えや繰返し作業が、人手・待ち時間・品質差につながる。</x:v>
      </x:c>
      <x:c r="I365" s="7" t="str">
        <x:v>2024原典抜粋：汎用機の使い易さとNC機相当の機能を併せ持つハイブリッド・モデル IIG-20Hを展示します。 この機会に是非お越し下さい。 ・ハイブリッド精密内面研削盤（IIG−20H） ・スピンドル ・その他周辺機器</x:v>
      </x:c>
      <x:c r="J365" s="7" t="str">
        <x:v>2026原典抜粋：加工状態を見ながら研削条件を作り込み、条件が決まれば全自動研削サイクルで安定した加工を繰り返す。 / 入野機工は、この機械の良さを残しながら、オペレーターが機械の位置をより正確に把握し、より簡単に設定できるよう、デジタル技術を取り入れて操作性を高めてきました。 / 寸法補正から再研削までを効率化します。 / 自動切込み速度はmm/min単位で数値設定でき、従来の油圧・機械機構による送り速度のばらつきを抑え、安定した切込み動作を可能にしま</x:v>
      </x:c>
      <x:c r="K365" s="7" t="str">
        <x:v>原典記述の対照。個別機能の追加・性能差・初登場年は未判定。</x:v>
      </x:c>
      <x:c r="L365" s="7" t="str">
        <x:v>両年説明あり・機能差未判定</x:v>
      </x:c>
      <x:c r="M365" s="7" t="str">
        <x:v>出展説明の一次分類</x:v>
      </x:c>
      <x:c r="N365" s="7" t="str"/>
      <x:c r="O365" s="7" t="str">
        <x:v>承認・例外対応・停止・復帰の境界は未確認</x:v>
      </x:c>
      <x:c r="P365" s="7" t="str">
        <x:v>2026公式カタログ掲載・現地未確認
2026展示予定。既存製品・参考出展・構想等は原典で個別確認</x:v>
      </x:c>
      <x:c r="Q365" s="7" t="str">
        <x:v>AC021</x:v>
      </x:c>
      <x:c t="str" r="R365" s="21">
        <x:f>HYPERLINK("https://www.jimtof.org/search/jp/ESdetails?e=vWBww2kQlVU","JIMTOF2026 出展ページ")</x:f>
        <x:v>JIMTOF2026 出展ページ</x:v>
      </x:c>
      <x:c t="str" r="S365" s="21">
        <x:f>HYPERLINK("https://www.jimtof.org/2024/search/jp/ESdetails?e=qGcm7ofO3O4","JIMTOF2024 出展ページ")</x:f>
        <x:v>JIMTOF2024 出展ページ</x:v>
      </x:c>
      <x:c r="T365" s="7" t="str">
        <x:v>EEX-EXH-2026-e688a71f11c19f74: https://www.jimtof.org/search/jp/ESdetails?e=vWBww2kQlVU
該当箇所: 出展紹介・主な出展物。追加カードの原典抜粋で検索
EEX-EXH-2024-39ac9ffbfd894fb7: https://www.jimtof.org/2024/search/jp/ESdetails?e=qGcm7ofO3O4
該当箇所: 出展紹介・主な出展物。追加カードの原典抜粋で検索</x:v>
      </x:c>
    </x:row>
    <x:row r="366" ht="155" customHeight="1">
      <x:c r="A366" s="7" t="str">
        <x:v>段取り・物理作業</x:v>
      </x:c>
      <x:c r="B366" s="7" t="str">
        <x:v>自動加工セル・工程集約</x:v>
      </x:c>
      <x:c r="C366" s="20" t="str">
        <x:v>株式会社エグロ</x:v>
      </x:c>
      <x:c r="D366" s="7" t="str">
        <x:v>マシニングセンタ [E-15SK]：15番の小径工具による高速加工、96本ATCによる高速工具交換、省スペース設計により生産性向上に大きく貢献する、高</x:v>
      </x:c>
      <x:c r="E366" s="7" t="str">
        <x:v>E1045</x:v>
      </x:c>
      <x:c r="F366" s="7" t="str">
        <x:v>自動加工セル・工程集約</x:v>
      </x:c>
      <x:c r="G366" s="7" t="str">
        <x:v>原典抜粋：主軸回転Max40,000min-1の高速・高精度加工から、自動化まで対応する精密マシニングセンタ「E-32ｖ」。 / 機ロボ一体の加工機と別置きロボットで最適な自動化を実現。 / 独自のノウハウを活かした設備および自動化ソリューションをご提案し、お客様の生産現場における更なる効率化と競争力向上の一助となれば幸いです。 / マシニングセンタ [E-32v]：完全熱対称設計による高精度加工、高速主軸による微細・精密加工と共に、自動化・無人</x:v>
      </x:c>
      <x:c r="H366" s="7" t="str">
        <x:v>設備間の持替えや繰返し作業が、人手・待ち時間・品質差につながる。</x:v>
      </x:c>
      <x:c r="I366" s="7" t="str">
        <x:v>2024原典抜粋：当社は1988年に精密小形CNC旋盤に多関節ロボットを搭載した「NUCROBOシリーズ」を発表し、以来多数ユーザー様の生産性向上に繋がる「省人化・無人化・省スペース化・工程集約」等のご要望にお応えしてきました。豊富な自動化実績の中から選定した数種の自動化システムを展示します。何か一つでも最適自動化のヒントになれば幸いです。 機ロボ一体型の最新機種「CT-101」は、バーフィーダーとロボットを搭載し、棒材からの一次加工も背面仕上げ等の二次加工も対応できる仕様です。 最新モデル2軸くし刃型CNC旋盤「NL-10CT」に</x:v>
      </x:c>
      <x:c r="J366" s="7" t="str">
        <x:v>2026原典抜粋：主軸回転Max40,000min-1の高速・高精度加工から、自動化まで対応する精密マシニングセンタ「E-32ｖ」。 / 機ロボ一体の加工機と別置きロボットで最適な自動化を実現。 / 独自のノウハウを活かした設備および自動化ソリューションをご提案し、お客様の生産現場における更なる効率化と競争力向上の一助となれば幸いです。 / マシニングセンタ [E-32v]：完全熱対称設計による高精度加工、高速主軸による微細・精密加工と共に、自動化・無人</x:v>
      </x:c>
      <x:c r="K366" s="7" t="str">
        <x:v>原典記述の対照。個別機能の追加・性能差・初登場年は未判定。</x:v>
      </x:c>
      <x:c r="L366" s="7" t="str">
        <x:v>両年説明あり・機能差未判定</x:v>
      </x:c>
      <x:c r="M366" s="7" t="str">
        <x:v>出展説明の一次分類</x:v>
      </x:c>
      <x:c r="N366" s="7" t="str"/>
      <x:c r="O366" s="7" t="str">
        <x:v>承認・例外対応・停止・復帰の境界は未確認</x:v>
      </x:c>
      <x:c r="P366" s="7" t="str">
        <x:v>2026公式カタログ掲載・現地未確認
2026展示予定。既存製品・参考出展・構想等は原典で個別確認</x:v>
      </x:c>
      <x:c r="Q366" s="7" t="str">
        <x:v>AC032</x:v>
      </x:c>
      <x:c t="str" r="R366" s="21">
        <x:f>HYPERLINK("https://www.jimtof.org/search/jp/ESdetails?e=jYjN83ZMZpQ","JIMTOF2026 出展ページ")</x:f>
        <x:v>JIMTOF2026 出展ページ</x:v>
      </x:c>
      <x:c t="str" r="S366" s="21">
        <x:f>HYPERLINK("https://www.jimtof.org/2024/search/jp/ESdetails?e=ooNmKjSJlIc","JIMTOF2024 出展ページ")</x:f>
        <x:v>JIMTOF2024 出展ページ</x:v>
      </x:c>
      <x:c r="T366" s="7" t="str">
        <x:v>EEX-EXH-2026-8b33ed02caa981c7: https://www.jimtof.org/search/jp/ESdetails?e=jYjN83ZMZpQ
該当箇所: 出展紹介・主な出展物。追加カードの原典抜粋で検索
EEX-EXH-2024-6bbff61ed3acc244: https://www.jimtof.org/2024/search/jp/ESdetails?e=ooNmKjSJlIc
該当箇所: 出展紹介・主な出展物。追加カードの原典抜粋で検索</x:v>
      </x:c>
    </x:row>
    <x:row r="367" ht="155" customHeight="1">
      <x:c r="A367" s="7" t="str">
        <x:v>段取り・物理作業</x:v>
      </x:c>
      <x:c r="B367" s="7" t="str">
        <x:v>自動加工セル・工程集約</x:v>
      </x:c>
      <x:c r="C367" s="20" t="str">
        <x:v>株式会社エス・ティ・シー</x:v>
      </x:c>
      <x:c r="D367" s="7" t="str">
        <x:v>ターン・ミルマシン</x:v>
      </x:c>
      <x:c r="E367" s="7" t="str">
        <x:v>E1069</x:v>
      </x:c>
      <x:c r="F367" s="7" t="str">
        <x:v>自動加工セル・工程集約</x:v>
      </x:c>
      <x:c r="G367" s="7" t="str">
        <x:v>原典抜粋：さらに、工程集約による省スペース化や自動化・省人化にも対応し、試作品や少量生産から量産まで、幅広い生産形態に柔軟に対応します。</x:v>
      </x:c>
      <x:c r="H367" s="7" t="str">
        <x:v>設備間の持替えや繰返し作業が、人手・待ち時間・品質差につながる。</x:v>
      </x:c>
      <x:c r="I367" s="7" t="str">
        <x:v>2024原典抜粋：Starrag社のマシンニング S191 neoを展示します。 スイス精密時計部品加工機と宝石(付き)リング及びバンド製造の中心的存在として始まり、宇宙産業、電子装置、精密機器、医療産業分野において、顧客は世界各国に広がり信頼関係を築いております。 高精度で高品質な加工機械を開発、製造しています。 創業時から承継しており機械部品加工、電装盤配線、塗装を経て品質向上を遂行しております。 最先端を行く制御技術と機械の融合により、機械加工における持続可能なソリューションをご提供しています。 バー材やブランク材から、最高品</x:v>
      </x:c>
      <x:c r="J367" s="7" t="str">
        <x:v>2026原典抜粋：さらに、工程集約による省スペース化や自動化・省人化にも対応し、試作品や少量生産から量産まで、幅広い生産形態に柔軟に対応します。</x:v>
      </x:c>
      <x:c r="K367" s="7" t="str">
        <x:v>原典記述の対照。個別機能の追加・性能差・初登場年は未判定。</x:v>
      </x:c>
      <x:c r="L367" s="7" t="str">
        <x:v>両年説明あり・機能差未判定</x:v>
      </x:c>
      <x:c r="M367" s="7" t="str">
        <x:v>出展説明の一次分類</x:v>
      </x:c>
      <x:c r="N367" s="7" t="str"/>
      <x:c r="O367" s="7" t="str">
        <x:v>承認・例外対応・停止・復帰の境界は未確認</x:v>
      </x:c>
      <x:c r="P367" s="7" t="str">
        <x:v>2026公式カタログ掲載・現地未確認
2026展示予定。既存製品・参考出展・構想等は原典で個別確認</x:v>
      </x:c>
      <x:c r="Q367" s="7" t="str">
        <x:v>AC034</x:v>
      </x:c>
      <x:c t="str" r="R367" s="21">
        <x:f>HYPERLINK("https://www.jimtof.org/search/jp/ESdetails?e=KczqG602kSE","JIMTOF2026 出展ページ")</x:f>
        <x:v>JIMTOF2026 出展ページ</x:v>
      </x:c>
      <x:c t="str" r="S367" s="21">
        <x:f>HYPERLINK("https://www.jimtof.org/2024/search/jp/ESdetails?e=K_X61J2xV_w","JIMTOF2024 出展ページ")</x:f>
        <x:v>JIMTOF2024 出展ページ</x:v>
      </x:c>
      <x:c r="T367" s="7" t="str">
        <x:v>EEX-EXH-2026-521637b4c962ce6d: https://www.jimtof.org/search/jp/ESdetails?e=KczqG602kSE
該当箇所: 出展紹介・主な出展物。追加カードの原典抜粋で検索
EEX-EXH-2024-437c3ef2b32e75e7: https://www.jimtof.org/2024/search/jp/ESdetails?e=K_X61J2xV_w
該当箇所: 出展紹介・主な出展物。追加カードの原典抜粋で検索</x:v>
      </x:c>
    </x:row>
    <x:row r="368" ht="155" customHeight="1">
      <x:c r="A368" s="7" t="str">
        <x:v>段取り・物理作業</x:v>
      </x:c>
      <x:c r="B368" s="7" t="str">
        <x:v>自動加工セル・工程集約</x:v>
      </x:c>
      <x:c r="C368" s="20" t="str">
        <x:v>エンシュウ株式会社</x:v>
      </x:c>
      <x:c r="D368" s="7" t="str">
        <x:v>「3つの技術の融合」をテーマに、エンシュウは「工作機械メーカー × SIer × 量産部品加工メーカー」の3つの技術と機能を融合し、製造現場が直面する</x:v>
      </x:c>
      <x:c r="E368" s="7" t="str">
        <x:v>E3027</x:v>
      </x:c>
      <x:c r="F368" s="7" t="str">
        <x:v>ワーク・パレット・切粉の搬送 ／ 工場データ・計画・資源の連携 ／ 自動加工セル・工程集約</x:v>
      </x:c>
      <x:c r="G368" s="7" t="str">
        <x:v>原典抜粋：「3つの技術の融合」をテーマに、エンシュウは「工作機械メーカー × SIer × 量産部品加工メーカー」の3つの技術と機能を融合し、製造現場が直面する「自動化」「デジタル化」「省エネ」の課題に新たな価値を提案します。 / 今回の展示では、①横形マシニングセンタJE50Sコンセプトモデルによる「工作機械×デジタル」、②Mobile Robotによるモノと情報をつなぐ物流自動化、③量産部品加工で培った生産性と品質を両立する“実践技術”をご紹</x:v>
      </x:c>
      <x:c r="H368" s="7" t="str">
        <x:v>品種・量の変化に合わせて人の供給往復を減らす。 ／ 現物・工具マスター・進捗が分断し変更に追従しにくい。 ／ 設備間の持替えや繰返し作業が、人手・待ち時間・品質差につながる。</x:v>
      </x:c>
      <x:c r="I368" s="7" t="str">
        <x:v>2024原典抜粋：「Diverse technology Enshu」をテーマに掲げ、お客様の工場において多様化するモノづくりに対し、お客様の課題に合うソリューションを提案いたします。今回の展示あたっては、マシニングセンタを4台、溶接機を1台出展いたします。マシニングセンタでは、①ご好評を頂いている横形マシニングセンタGE480Hのバージョンアップモデル、②多品種混流生産向けに省力化、省人化技術提案として自動搬送付きマシニングセンタWE30Vとストッカーの組合せ例、③精密部品・半導体・医療関係向けに小型マシニングセンタSV130の5</x:v>
      </x:c>
      <x:c r="J368" s="7" t="str">
        <x:v>2026原典抜粋：「3つの技術の融合」をテーマに、エンシュウは「工作機械メーカー × SIer × 量産部品加工メーカー」の3つの技術と機能を融合し、製造現場が直面する「自動化」「デジタル化」「省エネ」の課題に新たな価値を提案します。 / 今回の展示では、①横形マシニングセンタJE50Sコンセプトモデルによる「工作機械×デジタル」、②Mobile Robotによるモノと情報をつなぐ物流自動化、③量産部品加工で培った生産性と品質を両立する“実践技術”をご紹</x:v>
      </x:c>
      <x:c r="K368" s="7" t="str">
        <x:v>原典記述の対照。個別機能の追加・性能差・初登場年は未判定。</x:v>
      </x:c>
      <x:c r="L368" s="7" t="str">
        <x:v>両年説明あり・機能差未判定</x:v>
      </x:c>
      <x:c r="M368" s="7" t="str">
        <x:v>出展説明の一次分類</x:v>
      </x:c>
      <x:c r="N368" s="7" t="str"/>
      <x:c r="O368" s="7" t="str">
        <x:v>承認・例外対応・停止・復帰の境界は未確認</x:v>
      </x:c>
      <x:c r="P368" s="7" t="str">
        <x:v>2026公式カタログ掲載・現地未確認
2026展示予定。既存製品・参考出展・構想等は原典で個別確認</x:v>
      </x:c>
      <x:c r="Q368" s="7" t="str">
        <x:v>AC041</x:v>
      </x:c>
      <x:c t="str" r="R368" s="21">
        <x:f>HYPERLINK("https://www.jimtof.org/search/jp/ESdetails?e=fPfTIEegDHY","JIMTOF2026 出展ページ")</x:f>
        <x:v>JIMTOF2026 出展ページ</x:v>
      </x:c>
      <x:c t="str" r="S368" s="21">
        <x:f>HYPERLINK("https://www.jimtof.org/2024/search/jp/ESdetails?e=3oUCCObcIv4","JIMTOF2024 出展ページ")</x:f>
        <x:v>JIMTOF2024 出展ページ</x:v>
      </x:c>
      <x:c r="T368" s="7" t="str">
        <x:v>EEX-EXH-2026-0e942b9436bf5d6c: https://www.jimtof.org/search/jp/ESdetails?e=fPfTIEegDHY
該当箇所: 出展紹介・主な出展物。追加カードの原典抜粋で検索
EEX-EXH-2024-1a36e44614911fa1: https://www.jimtof.org/2024/search/jp/ESdetails?e=3oUCCObcIv4
該当箇所: 出展紹介・主な出展物。追加カードの原典抜粋で検索</x:v>
      </x:c>
    </x:row>
    <x:row r="369" ht="155" customHeight="1">
      <x:c r="A369" s="7" t="str">
        <x:v>段取り・物理作業</x:v>
      </x:c>
      <x:c r="B369" s="7" t="str">
        <x:v>自動加工セル・工程集約</x:v>
      </x:c>
      <x:c r="C369" s="20" t="str">
        <x:v>株式会社オーエム製作所</x:v>
      </x:c>
      <x:c r="D369" s="7" t="str">
        <x:v>CNC立型ターニングセンタ　VTLex1100M</x:v>
      </x:c>
      <x:c r="E369" s="7" t="str">
        <x:v>E2019</x:v>
      </x:c>
      <x:c r="F369" s="7" t="str">
        <x:v>自動加工セル・工程集約</x:v>
      </x:c>
      <x:c r="G369" s="7" t="str">
        <x:v>原典抜粋：テーブル径Φ1100㎜のCNC立型ターニングセンタVTLex1100Mを実機展示致します。 / 深穴内径加工に最適なラム型刃物台の特長を生かした円筒型ワーク加工の工程集約をテーマに省人化、無人化を実現する付加機能付属しております。 / 付加オプションとなる円筒研削機能をさらに充実化し、ワーク上端面の研削にも対応を致しました。 / 又、開発ブースでは使い勝手を追求し独自開発したシン対話機能の他、トラブルの早期復旧に役立つマシン映像レコーデ</x:v>
      </x:c>
      <x:c r="H369" s="7" t="str">
        <x:v>設備間の持替えや繰返し作業が、人手・待ち時間・品質差につながる。</x:v>
      </x:c>
      <x:c r="I369" s="7" t="str">
        <x:v>2024原典抜粋：テーブル径Φ1100㎜のターニングセンタに研削仕様を付属したVTLex1100M CNC立形ターニングセンタを出展。展示機では研削機能の他、パレットの交換精度を向上させた高精度APCを搭載しており、工程集約による高い生産性と省人化を提案します。又、開発ブースでは切粉処理作業の省人化につながるシステムや遠隔監視機能を紹介します。 VTLex1100M型CNC立形ターニングセンタ（APC/研削仕様）</x:v>
      </x:c>
      <x:c r="J369" s="7" t="str">
        <x:v>2026原典抜粋：テーブル径Φ1100㎜のCNC立型ターニングセンタVTLex1100Mを実機展示致します。 / 深穴内径加工に最適なラム型刃物台の特長を生かした円筒型ワーク加工の工程集約をテーマに省人化、無人化を実現する付加機能付属しております。 / 付加オプションとなる円筒研削機能をさらに充実化し、ワーク上端面の研削にも対応を致しました。 / 又、開発ブースでは使い勝手を追求し独自開発したシン対話機能の他、トラブルの早期復旧に役立つマシン映像レコーデ</x:v>
      </x:c>
      <x:c r="K369" s="7" t="str">
        <x:v>原典記述の対照。個別機能の追加・性能差・初登場年は未判定。</x:v>
      </x:c>
      <x:c r="L369" s="7" t="str">
        <x:v>両年説明あり・機能差未判定</x:v>
      </x:c>
      <x:c r="M369" s="7" t="str">
        <x:v>出展説明の一次分類</x:v>
      </x:c>
      <x:c r="N369" s="7" t="str"/>
      <x:c r="O369" s="7" t="str">
        <x:v>承認・例外対応・停止・復帰の境界は未確認</x:v>
      </x:c>
      <x:c r="P369" s="7" t="str">
        <x:v>2026公式カタログ掲載・現地未確認
2026展示予定。既存製品・参考出展・構想等は原典で個別確認</x:v>
      </x:c>
      <x:c r="Q369" s="7" t="str">
        <x:v>AC043</x:v>
      </x:c>
      <x:c t="str" r="R369" s="21">
        <x:f>HYPERLINK("https://www.jimtof.org/search/jp/ESdetails?e=TbC314Ifhvc","JIMTOF2026 出展ページ")</x:f>
        <x:v>JIMTOF2026 出展ページ</x:v>
      </x:c>
      <x:c t="str" r="S369" s="21">
        <x:f>HYPERLINK("https://www.jimtof.org/2024/search/jp/ESdetails?e=TBbKSqJMWQI","JIMTOF2024 出展ページ")</x:f>
        <x:v>JIMTOF2024 出展ページ</x:v>
      </x:c>
      <x:c r="T369" s="7" t="str">
        <x:v>EEX-EXH-2026-75e6c92f1fdf0cb3: https://www.jimtof.org/search/jp/ESdetails?e=TbC314Ifhvc
該当箇所: 出展紹介・主な出展物。追加カードの原典抜粋で検索
EEX-EXH-2024-28a9d29b79b39b08: https://www.jimtof.org/2024/search/jp/ESdetails?e=TBbKSqJMWQI
該当箇所: 出展紹介・主な出展物。追加カードの原典抜粋で検索</x:v>
      </x:c>
    </x:row>
    <x:row r="370" ht="155" customHeight="1">
      <x:c r="A370" s="7" t="str">
        <x:v>段取り・物理作業</x:v>
      </x:c>
      <x:c r="B370" s="7" t="str">
        <x:v>自動加工セル・工程集約</x:v>
      </x:c>
      <x:c r="C370" s="20" t="str">
        <x:v>株式会社大宮マシナリー</x:v>
      </x:c>
      <x:c r="D370" s="7" t="str">
        <x:v>芯なし研削盤（センタレス研削盤）</x:v>
      </x:c>
      <x:c r="E370" s="7" t="str">
        <x:v>E7049</x:v>
      </x:c>
      <x:c r="F370" s="7" t="str">
        <x:v>自動加工セル・工程集約</x:v>
      </x:c>
      <x:c r="G370" s="7" t="str">
        <x:v>原典抜粋：さらに弊社の強みである汎用標準機をベースとした多彩な自動化システムや、独自のオリジナルオプションなど、これからの時代を勝ち抜くための最適な生産設備をご提案いたします。</x:v>
      </x:c>
      <x:c r="H370" s="7" t="str">
        <x:v>設備間の持替えや繰返し作業が、人手・待ち時間・品質差につながる。</x:v>
      </x:c>
      <x:c r="I370" s="7" t="str">
        <x:v>2024原典抜粋：芯なし研削盤（センタレス研削盤）の専業メーカーとして長年の実績と経験から得た高度な技術力を結集したベストセラーモデルを出展いたします。 センタレス研削加工に求められる安定した加工精度と機械運用管理の容易性を両立したモデルとなっております。 弊社の強みである汎用の標準機をベースとした様々な自動化システムのご提案と、弊社オリジナルの各種オプションなど、これからの時代に寄与できる生産設備のご提供をさせていただきます。 センタレス研削盤の加工に関する各種ご相談ご要望や機械設備導入のご検討など、皆様のご来場を心よりお待ちして</x:v>
      </x:c>
      <x:c r="J370" s="7" t="str">
        <x:v>2026原典抜粋：さらに弊社の強みである汎用標準機をベースとした多彩な自動化システムや、独自のオリジナルオプションなど、これからの時代を勝ち抜くための最適な生産設備をご提案いたします。</x:v>
      </x:c>
      <x:c r="K370" s="7" t="str">
        <x:v>原典記述の対照。個別機能の追加・性能差・初登場年は未判定。</x:v>
      </x:c>
      <x:c r="L370" s="7" t="str">
        <x:v>両年説明あり・機能差未判定</x:v>
      </x:c>
      <x:c r="M370" s="7" t="str">
        <x:v>出展説明の一次分類</x:v>
      </x:c>
      <x:c r="N370" s="7" t="str"/>
      <x:c r="O370" s="7" t="str">
        <x:v>承認・例外対応・停止・復帰の境界は未確認</x:v>
      </x:c>
      <x:c r="P370" s="7" t="str">
        <x:v>2026公式カタログ掲載・現地未確認
2026展示予定。既存製品・参考出展・構想等は原典で個別確認</x:v>
      </x:c>
      <x:c r="Q370" s="7" t="str">
        <x:v>AC048</x:v>
      </x:c>
      <x:c t="str" r="R370" s="21">
        <x:f>HYPERLINK("https://www.jimtof.org/search/jp/ESdetails?e=q6gAUajA3gE","JIMTOF2026 出展ページ")</x:f>
        <x:v>JIMTOF2026 出展ページ</x:v>
      </x:c>
      <x:c t="str" r="S370" s="21">
        <x:f>HYPERLINK("https://www.jimtof.org/2024/search/jp/ESdetails?e=hLcVRJcT9oM","JIMTOF2024 出展ページ")</x:f>
        <x:v>JIMTOF2024 出展ページ</x:v>
      </x:c>
      <x:c r="T370" s="7" t="str">
        <x:v>EEX-EXH-2026-6703fc63c6ab91c5: https://www.jimtof.org/search/jp/ESdetails?e=q6gAUajA3gE
該当箇所: 出展紹介・主な出展物。追加カードの原典抜粋で検索
EEX-EXH-2024-278bc5026f868b3d: https://www.jimtof.org/2024/search/jp/ESdetails?e=hLcVRJcT9oM
該当箇所: 出展紹介・主な出展物。追加カードの原典抜粋で検索</x:v>
      </x:c>
    </x:row>
    <x:row r="371" ht="155" customHeight="1">
      <x:c r="A371" s="7" t="str">
        <x:v>段取り・物理作業</x:v>
      </x:c>
      <x:c r="B371" s="7" t="str">
        <x:v>自動加工セル・工程集約</x:v>
      </x:c>
      <x:c r="C371" s="20" t="str">
        <x:v>株式会社岡本工作機械製作所</x:v>
      </x:c>
      <x:c r="D371" s="7" t="str">
        <x:v>今回の出展では、ものづくり現場における「省エネ」「省人化」「省スペース化」の技術を駆使した、【最適化（Optimization）】をメインコンセプトに</x:v>
      </x:c>
      <x:c r="E371" s="7" t="str">
        <x:v>E7095</x:v>
      </x:c>
      <x:c r="F371" s="7" t="str">
        <x:v>自動加工セル・工程集約</x:v>
      </x:c>
      <x:c r="G371" s="7" t="str">
        <x:v>原典抜粋：今回の出展では、ものづくり現場における「省エネ」「省人化」「省スペース化」の技術を駆使した、【最適化（Optimization）】をメインコンセプトに掲げ、全4機種の最新ソリューションをご提案いたします。 / 創業90年を超える研削盤メーカーとしての卓越した技術力を結集し、 / 次世代のスマートファクトリーへつながる最適な製品と加工技術をご紹介いたします。</x:v>
      </x:c>
      <x:c r="H371" s="7" t="str">
        <x:v>設備間の持替えや繰返し作業が、人手・待ち時間・品質差につながる。</x:v>
      </x:c>
      <x:c r="I371" s="7" t="str">
        <x:v>2024原典抜粋：JIMTOF2024のテーマは「EVと脆性材」。EVのコア部品を製造するために必要な超精密部品の研削盤シリーズ、半導体産業に欠かすことの出来ない脆性材加工に特化した研削盤を展示します。また機械本体だけではなく、ワークや付属品、搬送用ロボットなども展示いたします。研削加工の今後を切り開く「研削革命」をぜひ現地でご覧ください。 ・超精密門形平面研削盤UPG208CHLi2 ・CNC超精密成形研削盤UPZ210LiⅡ ・CNC超精密平面研削盤UPG64CALi ・グラインディングセンタUGM64GC／自動搬送ロボット ・</x:v>
      </x:c>
      <x:c r="J371" s="7" t="str">
        <x:v>2026原典抜粋：今回の出展では、ものづくり現場における「省エネ」「省人化」「省スペース化」の技術を駆使した、【最適化（Optimization）】をメインコンセプトに掲げ、全4機種の最新ソリューションをご提案いたします。 / 創業90年を超える研削盤メーカーとしての卓越した技術力を結集し、 / 次世代のスマートファクトリーへつながる最適な製品と加工技術をご紹介いたします。</x:v>
      </x:c>
      <x:c r="K371" s="7" t="str">
        <x:v>原典記述の対照。個別機能の追加・性能差・初登場年は未判定。</x:v>
      </x:c>
      <x:c r="L371" s="7" t="str">
        <x:v>両年説明あり・機能差未判定</x:v>
      </x:c>
      <x:c r="M371" s="7" t="str">
        <x:v>出展説明の一次分類</x:v>
      </x:c>
      <x:c r="N371" s="7" t="str"/>
      <x:c r="O371" s="7" t="str">
        <x:v>承認・例外対応・停止・復帰の境界は未確認</x:v>
      </x:c>
      <x:c r="P371" s="7" t="str">
        <x:v>2026公式カタログ掲載・現地未確認
2026展示予定。既存製品・参考出展・構想等は原典で個別確認</x:v>
      </x:c>
      <x:c r="Q371" s="7" t="str">
        <x:v>AC049</x:v>
      </x:c>
      <x:c t="str" r="R371" s="21">
        <x:f>HYPERLINK("https://www.jimtof.org/search/jp/ESdetails?e=cWqFNxFT9X8","JIMTOF2026 出展ページ")</x:f>
        <x:v>JIMTOF2026 出展ページ</x:v>
      </x:c>
      <x:c t="str" r="S371" s="21">
        <x:f>HYPERLINK("https://www.jimtof.org/2024/search/jp/ESdetails?e=bxF5MevR44k","JIMTOF2024 出展ページ")</x:f>
        <x:v>JIMTOF2024 出展ページ</x:v>
      </x:c>
      <x:c r="T371" s="7" t="str">
        <x:v>EEX-EXH-2026-6c8f6fc8882f6c9c: https://www.jimtof.org/search/jp/ESdetails?e=cWqFNxFT9X8
該当箇所: 出展紹介・主な出展物。追加カードの原典抜粋で検索
EEX-EXH-2024-4391c0f0cd784f28: https://www.jimtof.org/2024/search/jp/ESdetails?e=bxF5MevR44k
該当箇所: 出展紹介・主な出展物。追加カードの原典抜粋で検索</x:v>
      </x:c>
    </x:row>
    <x:row r="372" ht="155" customHeight="1">
      <x:c r="A372" s="7" t="str">
        <x:v>段取り・物理作業</x:v>
      </x:c>
      <x:c r="B372" s="7" t="str">
        <x:v>自動加工セル・工程集約</x:v>
      </x:c>
      <x:c r="C372" s="20" t="str">
        <x:v>株式会社神崎高級工機製作所</x:v>
      </x:c>
      <x:c r="D372" s="7" t="str">
        <x:v>ギヤホーニングマシーン</x:v>
      </x:c>
      <x:c r="E372" s="7" t="str">
        <x:v>E1071</x:v>
      </x:c>
      <x:c r="F372" s="7" t="str">
        <x:v>自動加工セル・工程集約</x:v>
      </x:c>
      <x:c r="G372" s="7" t="str">
        <x:v>原典抜粋：自動歯合わせ機能と、加工前のワーク状態を確認するギヤチェッカーを搭載し、 / FD100は自動歯合わせ機能と加工前のワーク状態を確認するギヤチェッカーを搭載し、段取り時間の短縮と安定した加工を支援します。</x:v>
      </x:c>
      <x:c r="H372" s="7" t="str">
        <x:v>設備間の持替えや繰返し作業が、人手・待ち時間・品質差につながる。</x:v>
      </x:c>
      <x:c r="I372" s="7" t="str">
        <x:v>2024原典抜粋：今回のJIMTOFでは、EV市場の拡大に伴うe-Axleの小型化への貢献で注目が集まっているギヤホーニング盤（FX260）と、採用実績が順調に増えている歯車研削盤（GX150）の２台を展示する。 ギヤホーニング盤で30年以上の実績を積み上げてきた弊社だが、2020年に販売を開始したFF260で、小交差角（最小２度）での加工を達成するなど、注目が集まっている。今回、新たにミネラルキャストという鉱石と樹脂の混合物を採用する事で、高い振動減衰性と優れた熱安定性を活かした加工精度の向上と砥石ランニングコストの改善を見込む。</x:v>
      </x:c>
      <x:c r="J372" s="7" t="str">
        <x:v>2026原典抜粋：自動歯合わせ機能と、加工前のワーク状態を確認するギヤチェッカーを搭載し、 / FD100は自動歯合わせ機能と加工前のワーク状態を確認するギヤチェッカーを搭載し、段取り時間の短縮と安定した加工を支援します。</x:v>
      </x:c>
      <x:c r="K372" s="7" t="str">
        <x:v>原典記述の対照。個別機能の追加・性能差・初登場年は未判定。</x:v>
      </x:c>
      <x:c r="L372" s="7" t="str">
        <x:v>両年説明あり・機能差未判定</x:v>
      </x:c>
      <x:c r="M372" s="7" t="str">
        <x:v>出展説明の一次分類</x:v>
      </x:c>
      <x:c r="N372" s="7" t="str"/>
      <x:c r="O372" s="7" t="str">
        <x:v>承認・例外対応・停止・復帰の境界は未確認</x:v>
      </x:c>
      <x:c r="P372" s="7" t="str">
        <x:v>2026公式カタログ掲載・現地未確認
2026展示予定。既存製品・参考出展・構想等は原典で個別確認</x:v>
      </x:c>
      <x:c r="Q372" s="7" t="str">
        <x:v>AC054</x:v>
      </x:c>
      <x:c t="str" r="R372" s="21">
        <x:f>HYPERLINK("https://www.jimtof.org/search/jp/ESdetails?e=bpuT_4Xpv_c","JIMTOF2026 出展ページ")</x:f>
        <x:v>JIMTOF2026 出展ページ</x:v>
      </x:c>
      <x:c t="str" r="S372" s="21">
        <x:f>HYPERLINK("https://www.jimtof.org/2024/search/jp/ESdetails?e=C7Uh8Jc1Y2s","JIMTOF2024 出展ページ")</x:f>
        <x:v>JIMTOF2024 出展ページ</x:v>
      </x:c>
      <x:c r="T372" s="7" t="str">
        <x:v>EEX-EXH-2026-91aa8dd094a4a7b2: https://www.jimtof.org/search/jp/ESdetails?e=bpuT_4Xpv_c
該当箇所: 出展紹介・主な出展物。追加カードの原典抜粋で検索
EEX-EXH-2024-50a402f6bcce2ab8: https://www.jimtof.org/2024/search/jp/ESdetails?e=C7Uh8Jc1Y2s
該当箇所: 出展紹介・主な出展物。追加カードの原典抜粋で検索</x:v>
      </x:c>
    </x:row>
    <x:row r="373" ht="155" customHeight="1">
      <x:c r="A373" s="7" t="str">
        <x:v>段取り・物理作業</x:v>
      </x:c>
      <x:c r="B373" s="7" t="str">
        <x:v>自動加工セル・工程集約</x:v>
      </x:c>
      <x:c r="C373" s="20" t="str">
        <x:v>株式会社北村製作所</x:v>
      </x:c>
      <x:c r="D373" s="7" t="str">
        <x:v>内面研削旋盤KGIシリーズから受け継いだ高剛性ベース、刃物台のすべり案内には、X軸・Z軸ともにダブル山案内を採用し、KGI同様6面拘束構造とした。スラ</x:v>
      </x:c>
      <x:c r="E373" s="7" t="str">
        <x:v>E7054</x:v>
      </x:c>
      <x:c r="F373" s="7" t="str">
        <x:v>自動加工セル・工程集約</x:v>
      </x:c>
      <x:c r="G373" s="7" t="str">
        <x:v>原典抜粋：リーマンショック以降、設備の自動化や特殊ユニットを搭載したカスタマイズ仕様の需要が高まり、試行錯誤してきました。</x:v>
      </x:c>
      <x:c r="H373" s="7" t="str">
        <x:v>設備間の持替えや繰返し作業が、人手・待ち時間・品質差につながる。</x:v>
      </x:c>
      <x:c r="I373" s="7" t="str">
        <x:v>2024原典抜粋：摺動面に伝統技術“キサゲ加工”を施した「すべりガイド方式」は、機械の滑らかな動作及び剛性、精度の安定性を実現する。リーマンショック以降、設備の自動化や特殊ユニットを搭載したカスタマイズ仕様の需要が高まり、試行錯誤してきた。JIMTOF2024ではロボットや測定器、簡易洗浄器との連結を標準オプション化し、精密小物部品の加工コスト低減を目指す。 株式会社北村製作所が得意とするくし形刃物台旋盤を大幅リニューアル。自社設計・自社製造のガントリーローダー、ロータリーストッカーを標準オプション化した。すべり案内をX軸・Z軸とも</x:v>
      </x:c>
      <x:c r="J373" s="7" t="str">
        <x:v>2026原典抜粋：リーマンショック以降、設備の自動化や特殊ユニットを搭載したカスタマイズ仕様の需要が高まり、試行錯誤してきました。</x:v>
      </x:c>
      <x:c r="K373" s="7" t="str">
        <x:v>原典記述の対照。個別機能の追加・性能差・初登場年は未判定。</x:v>
      </x:c>
      <x:c r="L373" s="7" t="str">
        <x:v>両年説明あり・機能差未判定</x:v>
      </x:c>
      <x:c r="M373" s="7" t="str">
        <x:v>出展説明の一次分類</x:v>
      </x:c>
      <x:c r="N373" s="7" t="str"/>
      <x:c r="O373" s="7" t="str">
        <x:v>承認・例外対応・停止・復帰の境界は未確認</x:v>
      </x:c>
      <x:c r="P373" s="7" t="str">
        <x:v>2026公式カタログ掲載・現地未確認
2026展示予定。既存製品・参考出展・構想等は原典で個別確認</x:v>
      </x:c>
      <x:c r="Q373" s="7" t="str">
        <x:v>AC059</x:v>
      </x:c>
      <x:c t="str" r="R373" s="21">
        <x:f>HYPERLINK("https://www.jimtof.org/search/jp/ESdetails?e=ggacRtFUF1k","JIMTOF2026 出展ページ")</x:f>
        <x:v>JIMTOF2026 出展ページ</x:v>
      </x:c>
      <x:c t="str" r="S373" s="21">
        <x:f>HYPERLINK("https://www.jimtof.org/2024/search/jp/ESdetails?e=FM2ZTtdHV5w","JIMTOF2024 出展ページ")</x:f>
        <x:v>JIMTOF2024 出展ページ</x:v>
      </x:c>
      <x:c r="T373" s="7" t="str">
        <x:v>EEX-EXH-2026-99a305a4fe6032c4: https://www.jimtof.org/search/jp/ESdetails?e=ggacRtFUF1k
該当箇所: 出展紹介・主な出展物。追加カードの原典抜粋で検索
EEX-EXH-2024-2d3092ce6c864a8e: https://www.jimtof.org/2024/search/jp/ESdetails?e=FM2ZTtdHV5w
該当箇所: 出展紹介・主な出展物。追加カードの原典抜粋で検索</x:v>
      </x:c>
    </x:row>
    <x:row r="374" ht="155" customHeight="1">
      <x:c r="A374" s="7" t="str">
        <x:v>段取り・物理作業</x:v>
      </x:c>
      <x:c r="B374" s="7" t="str">
        <x:v>自動加工セル・工程集約</x:v>
      </x:c>
      <x:c r="C374" s="20" t="str">
        <x:v>GROB Japan株式会社</x:v>
      </x:c>
      <x:c r="D374" s="7" t="str">
        <x:v>新製品情報を公開：</x:v>
      </x:c>
      <x:c r="E374" s="7" t="str">
        <x:v>S1059</x:v>
      </x:c>
      <x:c r="F374" s="7" t="str">
        <x:v>ワーク・パレット・切粉の搬送 ／ 自動加工セル・工程集約</x:v>
      </x:c>
      <x:c r="G374" s="7" t="str">
        <x:v>原典抜粋：GROBは今年で創立100周年を迎えた南ドイツのミンデルハイムに本社を持つ加工機、自動化・組立設備メーカーです。 / テーブルが180°反転した状態で加工できる横型同時5軸加工機のGシリーズから、GROB内製の多様な自動化設備、EV向けのモーター・バッテリーの組立設備まで幅広いソリューションを提供しています。</x:v>
      </x:c>
      <x:c r="H374" s="7" t="str">
        <x:v>品種・量の変化に合わせて人の供給往復を減らす。 ／ 設備間の持替えや繰返し作業が、人手・待ち時間・品質差につながる。</x:v>
      </x:c>
      <x:c r="I374" s="7" t="str">
        <x:v>2024原典抜粋：GROBは南ドイツに本社を持つ加工機、自動化・組立設備メーカーです。テーブルが180°反転した状態で加工できる横型同時5軸加工機のGシリーズから、GROB内製の多様な自動化設備、電気自動車(EV)向けのモーター・バッテリーの組立設備といった幅広い製品とソリューションを提供しています。 横型同時5軸マシニングセンターで加工したワークの展示を中心に、EVのステーター、ローターやGMP金属3Dプリンターで積層したワークの展示と弊社製品のご紹介をしております。 Gシリーズマシニングセンターで加工したワーク ・航空機向け構造</x:v>
      </x:c>
      <x:c r="J374" s="7" t="str">
        <x:v>2026原典抜粋：GROBは今年で創立100周年を迎えた南ドイツのミンデルハイムに本社を持つ加工機、自動化・組立設備メーカーです。 / テーブルが180°反転した状態で加工できる横型同時5軸加工機のGシリーズから、GROB内製の多様な自動化設備、EV向けのモーター・バッテリーの組立設備まで幅広いソリューションを提供しています。</x:v>
      </x:c>
      <x:c r="K374" s="7" t="str">
        <x:v>原典記述の対照。個別機能の追加・性能差・初登場年は未判定。</x:v>
      </x:c>
      <x:c r="L374" s="7" t="str">
        <x:v>両年説明あり・機能差未判定</x:v>
      </x:c>
      <x:c r="M374" s="7" t="str">
        <x:v>出展説明の一次分類</x:v>
      </x:c>
      <x:c r="N374" s="7" t="str"/>
      <x:c r="O374" s="7" t="str">
        <x:v>承認・例外対応・停止・復帰の境界は未確認</x:v>
      </x:c>
      <x:c r="P374" s="7" t="str">
        <x:v>2026公式カタログ掲載・現地未確認
2026展示予定。既存製品・参考出展・構想等は原典で個別確認</x:v>
      </x:c>
      <x:c r="Q374" s="7" t="str">
        <x:v>AC069</x:v>
      </x:c>
      <x:c t="str" r="R374" s="21">
        <x:f>HYPERLINK("https://www.jimtof.org/search/jp/ESdetails?e=1gMJ22MesEE","JIMTOF2026 出展ページ")</x:f>
        <x:v>JIMTOF2026 出展ページ</x:v>
      </x:c>
      <x:c t="str" r="S374" s="21">
        <x:f>HYPERLINK("https://www.jimtof.org/2024/search/jp/ESdetails?e=w3tUm6b9-6k","JIMTOF2024 出展ページ")</x:f>
        <x:v>JIMTOF2024 出展ページ</x:v>
      </x:c>
      <x:c r="T374" s="7" t="str">
        <x:v>EEX-EXH-2026-c73d489b393f8bc8: https://www.jimtof.org/search/jp/ESdetails?e=1gMJ22MesEE
該当箇所: 出展紹介・主な出展物。追加カードの原典抜粋で検索
EEX-EXH-2024-f5cfbaad2bd1300b: https://www.jimtof.org/2024/search/jp/ESdetails?e=w3tUm6b9-6k
該当箇所: 出展紹介・主な出展物。追加カードの原典抜粋で検索</x:v>
      </x:c>
    </x:row>
    <x:row r="375" ht="155" customHeight="1">
      <x:c r="A375" s="7" t="str">
        <x:v>段取り・物理作業</x:v>
      </x:c>
      <x:c r="B375" s="7" t="str">
        <x:v>自動加工セル・工程集約</x:v>
      </x:c>
      <x:c r="C375" s="20" t="str">
        <x:v>コマツNTC株式会社</x:v>
      </x:c>
      <x:c r="D375" s="7" t="str">
        <x:v>5軸加工には、段取から加工までをワンストップで実施できる環境と設備が必要です。横形5軸マシニングセンタ「CX500」に無人運転向けパレットを搭載し、長</x:v>
      </x:c>
      <x:c r="E375" s="7" t="str">
        <x:v>E1058</x:v>
      </x:c>
      <x:c r="F375" s="7" t="str">
        <x:v>自動計測・測定計画・品質データ ／ 自動加工セル・工程集約</x:v>
      </x:c>
      <x:c r="G375" s="7" t="str">
        <x:v>原典抜粋：さらに「夜間自動計測を可能とする計測システム」をパレットシステムに融合しコンセプト展示します。 / またDXソリューション機器ほか展示致します。 / またDXツールのKomtas＆KOM-MICSも標準装備し長時間運転をサポート。</x:v>
      </x:c>
      <x:c r="H375" s="7" t="str">
        <x:v>測定の段取り・搬送・記録に人手が残り、結果が加工改善につながりにくい。 ／ 設備間の持替えや繰返し作業が、人手・待ち時間・品質差につながる。</x:v>
      </x:c>
      <x:c r="I375" s="7" t="str">
        <x:v>2024原典抜粋：コマツNTCは工作機械のほか、電池関連・半導体関連・画像処理関連など、幅広い分野の製品を生み出してまいりました。今回は、テーマを「未来創造 Integrated Technologies」と定め、今の時代に必要なマシンを、実機にて展示しております。●横形5軸マシニングセンタ「CX500」：無人運転向けシステムアップや、「高精度・安心・フレンドリー・システム対応」の各キーシステムをご紹介します。●立形大型加工機「KV420L」：初出展です。省スペース・高速・1チャッキング加工を可能にする2頭主軸の、EVギガワーク加工</x:v>
      </x:c>
      <x:c r="J375" s="7" t="str">
        <x:v>2026原典抜粋：さらに「夜間自動計測を可能とする計測システム」をパレットシステムに融合しコンセプト展示します。 / またDXソリューション機器ほか展示致します。 / またDXツールのKomtas＆KOM-MICSも標準装備し長時間運転をサポート。</x:v>
      </x:c>
      <x:c r="K375" s="7" t="str">
        <x:v>原典記述の対照。個別機能の追加・性能差・初登場年は未判定。</x:v>
      </x:c>
      <x:c r="L375" s="7" t="str">
        <x:v>両年説明あり・機能差未判定</x:v>
      </x:c>
      <x:c r="M375" s="7" t="str">
        <x:v>出展説明の一次分類</x:v>
      </x:c>
      <x:c r="N375" s="7" t="str"/>
      <x:c r="O375" s="7" t="str">
        <x:v>承認・例外対応・停止・復帰の境界は未確認</x:v>
      </x:c>
      <x:c r="P375" s="7" t="str">
        <x:v>2026公式カタログ掲載・現地未確認
2026展示予定。既存製品・参考出展・構想等は原典で個別確認</x:v>
      </x:c>
      <x:c r="Q375" s="7" t="str">
        <x:v>AC077</x:v>
      </x:c>
      <x:c t="str" r="R375" s="21">
        <x:f>HYPERLINK("https://www.jimtof.org/search/jp/ESdetails?e=juRUHcsXGOk","JIMTOF2026 出展ページ")</x:f>
        <x:v>JIMTOF2026 出展ページ</x:v>
      </x:c>
      <x:c t="str" r="S375" s="21">
        <x:f>HYPERLINK("https://www.jimtof.org/2024/search/jp/ESdetails?e=2lZ4aWGpFxM","JIMTOF2024 出展ページ")</x:f>
        <x:v>JIMTOF2024 出展ページ</x:v>
      </x:c>
      <x:c r="T375" s="7" t="str">
        <x:v>EEX-EXH-2026-8970f2d69919d770: https://www.jimtof.org/search/jp/ESdetails?e=juRUHcsXGOk
該当箇所: 出展紹介・主な出展物。追加カードの原典抜粋で検索
EEX-EXH-2024-78e9bb3f6d1b9f5f: https://www.jimtof.org/2024/search/jp/ESdetails?e=2lZ4aWGpFxM
該当箇所: 出展紹介・主な出展物。追加カードの原典抜粋で検索</x:v>
      </x:c>
    </x:row>
    <x:row r="376" ht="155" customHeight="1">
      <x:c r="A376" s="7" t="str">
        <x:v>段取り・物理作業</x:v>
      </x:c>
      <x:c r="B376" s="7" t="str">
        <x:v>自動加工セル・工程集約</x:v>
      </x:c>
      <x:c r="C376" s="20" t="str">
        <x:v>株式会社桜井製作所</x:v>
      </x:c>
      <x:c r="D376" s="7" t="str">
        <x:v>ヘッドチェンジ型多軸加工機(CUBIC6)</x:v>
      </x:c>
      <x:c r="E376" s="7" t="str">
        <x:v>E2005</x:v>
      </x:c>
      <x:c r="F376" s="7" t="str">
        <x:v>認識を伴うピック・付帯加工・除去 ／ 自動加工セル・工程集約</x:v>
      </x:c>
      <x:c r="G376" s="7" t="str">
        <x:v>原典抜粋：【ロボット加工機】 / 省スペース化、低コストな大型ロボットを使った加工機を是非ご検討ください。 / ロボット加工機(SAKU270F)</x:v>
      </x:c>
      <x:c r="H376" s="7" t="str">
        <x:v>形状や絡まりが変わる物理作業に固定手順で対応しにくい。 ／ 設備間の持替えや繰返し作業が、人手・待ち時間・品質差につながる。</x:v>
      </x:c>
      <x:c r="I376" s="7" t="str">
        <x:v>2024原典抜粋：縦横高さそれぞれ500mmの造形サイズを実現しながらも、軽量でコンパクトなオフィス向け3Dプリンタをご紹介します。 また、安価なペレットやオリジナルの素材を使用できる大型3Dプリンタを展示します。 さらに、リサイクルペレットや金属フィラメントを用いたデモンストレーションを実施し、実際の造形プロセスを体験いただけます。 展示物としては、当社の3Dプリンタで造形した大型樹脂製造形物、POM（ジュラコン®）や金属造形物、受託造形物の事例なども併せてご覧いただけます。 ■ＨＥＲＯ５００S（造形サイズ５００×５００×５００ｍ</x:v>
      </x:c>
      <x:c r="J376" s="7" t="str">
        <x:v>2026原典抜粋：【ロボット加工機】 / 省スペース化、低コストな大型ロボットを使った加工機を是非ご検討ください。 / ロボット加工機(SAKU270F)</x:v>
      </x:c>
      <x:c r="K376" s="7" t="str">
        <x:v>原典記述の対照。個別機能の追加・性能差・初登場年は未判定。</x:v>
      </x:c>
      <x:c r="L376" s="7" t="str">
        <x:v>両年説明あり・機能差未判定</x:v>
      </x:c>
      <x:c r="M376" s="7" t="str">
        <x:v>出展説明の一次分類</x:v>
      </x:c>
      <x:c r="N376" s="7" t="str"/>
      <x:c r="O376" s="7" t="str">
        <x:v>承認・例外対応・停止・復帰の境界は未確認</x:v>
      </x:c>
      <x:c r="P376" s="7" t="str">
        <x:v>2026公式カタログ掲載・現地未確認
2026展示予定。既存製品・参考出展・構想等は原典で個別確認</x:v>
      </x:c>
      <x:c r="Q376" s="7" t="str">
        <x:v>AC086</x:v>
      </x:c>
      <x:c t="str" r="R376" s="21">
        <x:f>HYPERLINK("https://www.jimtof.org/search/jp/ESdetails?e=vrzq9i_9GIk","JIMTOF2026 出展ページ")</x:f>
        <x:v>JIMTOF2026 出展ページ</x:v>
      </x:c>
      <x:c t="str" r="S376" s="21">
        <x:f>HYPERLINK("https://www.jimtof.org/2024/search/jp/ESdetails?e=vEZxaF9VL2k","JIMTOF2024 出展ページ")</x:f>
        <x:v>JIMTOF2024 出展ページ</x:v>
      </x:c>
      <x:c r="T376" s="7" t="str">
        <x:v>EEX-EXH-2026-84b51f9f321194ba: https://www.jimtof.org/search/jp/ESdetails?e=vrzq9i_9GIk
該当箇所: 出展紹介・主な出展物。追加カードの原典抜粋で検索
EEX-EXH-2024-80ef0a600ede597f: https://www.jimtof.org/2024/search/jp/ESdetails?e=vEZxaF9VL2k
該当箇所: 出展紹介・主な出展物。追加カードの原典抜粋で検索
EEX-EXH-2024-84e5b9ffe73c6c92: https://www.jimtof.org/2024/search/jp/ESdetails?e=VrAjMTKmxdw
該当箇所: 出展紹介・主な出展物。追加カードの原典抜粋で検索</x:v>
      </x:c>
    </x:row>
    <x:row r="377" ht="155" customHeight="1">
      <x:c r="A377" s="7" t="str">
        <x:v>段取り・物理作業</x:v>
      </x:c>
      <x:c r="B377" s="7" t="str">
        <x:v>自動加工セル・工程集約</x:v>
      </x:c>
      <x:c r="C377" s="20" t="str">
        <x:v>株式会社シーケービー</x:v>
      </x:c>
      <x:c r="D377" s="7" t="str">
        <x:v>＜ 航空・発電向けソリューション＞</x:v>
      </x:c>
      <x:c r="E377" s="7" t="str">
        <x:v>E2035</x:v>
      </x:c>
      <x:c r="F377" s="7" t="str">
        <x:v>自動加工セル・工程集約</x:v>
      </x:c>
      <x:c r="G377" s="7" t="str">
        <x:v>原典抜粋：航空・発電分野および自動車分野にフォーカスし、厳選した12社の先進技術・ソリューションを紹介します。 / 航空機エンジン部品や発電設備などの難削材・高精度加工、自動車分野におけるEV化や次世代モビリティに対応した生産効率化技術など、幅広いニーズに応える最新技術を展示します。 / 加工技術、測定、自動化、生産支援まで、CKBならではの総合的な提案力で、お客様の製造現場の課題解決と未来のものづくりをサポートします。 / * Flexmill</x:v>
      </x:c>
      <x:c r="H377" s="7" t="str">
        <x:v>設備間の持替えや繰返し作業が、人手・待ち時間・品質差につながる。</x:v>
      </x:c>
      <x:c r="I377" s="7" t="str">
        <x:v>2024原典抜粋：VICI：シャフト形状部品をワンクランプ・非接触で全ての測定を行える革命的な測定方法をぜひご覧ください！ 今まで複数の器具で40分かかっていた測定が、これからはVICIVISION（ヴィチビジョン）1台により40秒で可能となります！小・中サイズ用の2機種を展示しご来場をお待ちしております。 SmartTech：形状測定用のグリーンライトだけでなく、カラーが撮れるホワイトライトを出展します！ 美術や医療業界からも熱い視線が注がれており、実績も積み上げております。また羊毛生地のような触り心地を想像できるカラースキャンを</x:v>
      </x:c>
      <x:c r="J377" s="7" t="str">
        <x:v>2026原典抜粋：航空・発電分野および自動車分野にフォーカスし、厳選した12社の先進技術・ソリューションを紹介します。 / 航空機エンジン部品や発電設備などの難削材・高精度加工、自動車分野におけるEV化や次世代モビリティに対応した生産効率化技術など、幅広いニーズに応える最新技術を展示します。 / 加工技術、測定、自動化、生産支援まで、CKBならではの総合的な提案力で、お客様の製造現場の課題解決と未来のものづくりをサポートします。 / * Flexmill</x:v>
      </x:c>
      <x:c r="K377" s="7" t="str">
        <x:v>原典記述の対照。個別機能の追加・性能差・初登場年は未判定。</x:v>
      </x:c>
      <x:c r="L377" s="7" t="str">
        <x:v>両年説明あり・機能差未判定</x:v>
      </x:c>
      <x:c r="M377" s="7" t="str">
        <x:v>出展説明の一次分類</x:v>
      </x:c>
      <x:c r="N377" s="7" t="str"/>
      <x:c r="O377" s="7" t="str">
        <x:v>承認・例外対応・停止・復帰の境界は未確認</x:v>
      </x:c>
      <x:c r="P377" s="7" t="str">
        <x:v>2026公式カタログ掲載・現地未確認
2026展示予定。既存製品・参考出展・構想等は原典で個別確認</x:v>
      </x:c>
      <x:c r="Q377" s="7" t="str">
        <x:v>AC096</x:v>
      </x:c>
      <x:c t="str" r="R377" s="21">
        <x:f>HYPERLINK("https://www.jimtof.org/search/jp/ESdetails?e=-waFBj53SPU","JIMTOF2026 出展ページ")</x:f>
        <x:v>JIMTOF2026 出展ページ</x:v>
      </x:c>
      <x:c t="str" r="S377" s="21">
        <x:f>HYPERLINK("https://www.jimtof.org/2024/search/jp/ESdetails?e=1aUuaWjaMWk","JIMTOF2024 出展ページ")</x:f>
        <x:v>JIMTOF2024 出展ページ</x:v>
      </x:c>
      <x:c r="T377" s="7" t="str">
        <x:v>EEX-EXH-2026-22d80dbe4c402896: https://www.jimtof.org/search/jp/ESdetails?e=-waFBj53SPU
該当箇所: 出展紹介・主な出展物。追加カードの原典抜粋で検索
EEX-EXH-2024-b6dc609d72a816bd: https://www.jimtof.org/2024/search/jp/ESdetails?e=1aUuaWjaMWk
該当箇所: 出展紹介・主な出展物。追加カードの原典抜粋で検索
EEX-EXH-2024-6784a05a06031704: https://www.jimtof.org/2024/search/jp/ESdetails?e=03Dp2TJttAY
該当箇所: 出展紹介・主な出展物。追加カードの原典抜粋で検索
EEX-EXH-2024-c4a3fca62e153104: https://www.jimtof.org/2024/search/jp/ESdetails?e=r-Kxnh9Ctzg
該当箇所: 出展紹介・主な出展物。追加カードの原典抜粋で検索</x:v>
      </x:c>
    </x:row>
    <x:row r="378" ht="155" customHeight="1">
      <x:c r="A378" s="7" t="str">
        <x:v>段取り・物理作業</x:v>
      </x:c>
      <x:c r="B378" s="7" t="str">
        <x:v>自動加工セル・工程集約</x:v>
      </x:c>
      <x:c r="C378" s="20" t="str">
        <x:v>株式会社ジェイテクト</x:v>
      </x:c>
      <x:c r="D378" s="7" t="str">
        <x:v>大型CNC円筒研削盤　G5P250G</x:v>
      </x:c>
      <x:c r="E378" s="7" t="str">
        <x:v>E8003</x:v>
      </x:c>
      <x:c r="F378" s="7" t="str">
        <x:v>自動加工セル・工程集約</x:v>
      </x:c>
      <x:c r="G378" s="7" t="str">
        <x:v>原典抜粋：」をテーマに、自動化、工程集約、生産性向上、生産を止めない工場、生産工程の省エネなどお客様のニーズにお応えするソリューションをご提案いたします。 / 自動化技術で熟練加工を再現し、誰でも簡単に大型ワークの研削を可能にする大型CNC円筒研削盤「G5P250G」。 / 工場ソリューションエリアでは、設備だけでなく、人・情報・エネルギーなどのリソースマネジメントを組み合わせ、「人作業の自動化」「生産を止めない工場」「生産工程の省エネ」のニーズ</x:v>
      </x:c>
      <x:c r="H378" s="7" t="str">
        <x:v>設備間の持替えや繰返し作業が、人手・待ち時間・品質差につながる。</x:v>
      </x:c>
      <x:c r="I378" s="7" t="str">
        <x:v>2024原典抜粋：市場環境の変化、労働力不足、カーボンニュートラルの実現など、お客様が直面する課題に対して、現場の困りごとを解決する最適なソリューションをご提案いたします。 汎用機ユーザーの労働力不足、熟練技能継承の課題に対して、らくらく操作で高精度加工を実現するCNC円筒研削盤「G3P100L」。 量産機ユーザーの競争力強化のニーズに対して、省スペースでありながら多様な生産スタイルと品質安定を実現するCNC円筒研削盤「G1P50S」。 製造業の生産性向上のニーズに対して、非稼働時間削減、消費電力削減に貢献するアイテムを展示いたしま</x:v>
      </x:c>
      <x:c r="J378" s="7" t="str">
        <x:v>2026原典抜粋：」をテーマに、自動化、工程集約、生産性向上、生産を止めない工場、生産工程の省エネなどお客様のニーズにお応えするソリューションをご提案いたします。 / 自動化技術で熟練加工を再現し、誰でも簡単に大型ワークの研削を可能にする大型CNC円筒研削盤「G5P250G」。 / 工場ソリューションエリアでは、設備だけでなく、人・情報・エネルギーなどのリソースマネジメントを組み合わせ、「人作業の自動化」「生産を止めない工場」「生産工程の省エネ」のニーズ</x:v>
      </x:c>
      <x:c r="K378" s="7" t="str">
        <x:v>原典記述の対照。個別機能の追加・性能差・初登場年は未判定。</x:v>
      </x:c>
      <x:c r="L378" s="7" t="str">
        <x:v>両年説明あり・機能差未判定</x:v>
      </x:c>
      <x:c r="M378" s="7" t="str">
        <x:v>出展説明の一次分類</x:v>
      </x:c>
      <x:c r="N378" s="7" t="str"/>
      <x:c r="O378" s="7" t="str">
        <x:v>承認・例外対応・停止・復帰の境界は未確認</x:v>
      </x:c>
      <x:c r="P378" s="7" t="str">
        <x:v>2026公式カタログ掲載・現地未確認
2026展示予定。既存製品・参考出展・構想等は原典で個別確認</x:v>
      </x:c>
      <x:c r="Q378" s="7" t="str">
        <x:v>AC100</x:v>
      </x:c>
      <x:c t="str" r="R378" s="21">
        <x:f>HYPERLINK("https://www.jimtof.org/search/jp/ESdetails?e=cW9RNSMEfso","JIMTOF2026 出展ページ")</x:f>
        <x:v>JIMTOF2026 出展ページ</x:v>
      </x:c>
      <x:c t="str" r="S378" s="21">
        <x:f>HYPERLINK("https://www.jimtof.org/2024/search/jp/ESdetails?e=mjIyOzHh7nU","JIMTOF2024 出展ページ")</x:f>
        <x:v>JIMTOF2024 出展ページ</x:v>
      </x:c>
      <x:c r="T378" s="7" t="str">
        <x:v>EEX-EXH-2026-18d08a3e4d8ab906: https://www.jimtof.org/search/jp/ESdetails?e=cW9RNSMEfso
該当箇所: 出展紹介・主な出展物。追加カードの原典抜粋で検索
EEX-EXH-2024-7a92881c6963ceba: https://www.jimtof.org/2024/search/jp/ESdetails?e=mjIyOzHh7nU
該当箇所: 出展紹介・主な出展物。追加カードの原典抜粋で検索</x:v>
      </x:c>
    </x:row>
    <x:row r="379" ht="155" customHeight="1">
      <x:c r="A379" s="7" t="str">
        <x:v>段取り・物理作業</x:v>
      </x:c>
      <x:c r="B379" s="7" t="str">
        <x:v>自動加工セル・工程集約</x:v>
      </x:c>
      <x:c r="C379" s="20" t="str">
        <x:v>株式会社シギヤ精機製作所</x:v>
      </x:c>
      <x:c r="D379" s="7" t="str">
        <x:v>複合研削に対応するCNC万能研削盤「GSU-20・30P」は、プレーン・アンギュラ・内研を組み合わせた多彩な構成に加え、新たにポリゴン研削機能（CX制</x:v>
      </x:c>
      <x:c r="E379" s="7" t="str">
        <x:v>E7094</x:v>
      </x:c>
      <x:c r="F379" s="7" t="str">
        <x:v>自動加工セル・工程集約</x:v>
      </x:c>
      <x:c r="G379" s="7" t="str">
        <x:v>原典抜粋：高精度研削技術と操作性のさらなる進化をテーマに、複雑化・高精度化する加工ニーズへ対応する最新技術をご紹介します。 / 新開発のポリゴン研削機能（C-X制御）を搭載したCNC万能研削盤をはじめ、NC旋回主軸台による複合加工を実現する内面研削盤、さらに直感的な操作性と高度な加工支援を両立した新型対話システム「S3Pro」を展示。 / 高精度・高効率・省段取りを実現するソリューションを通じて、お客様の生産性向上に貢献する最新技術をご提案します</x:v>
      </x:c>
      <x:c r="H379" s="7" t="str">
        <x:v>設備間の持替えや繰返し作業が、人手・待ち時間・品質差につながる。</x:v>
      </x:c>
      <x:c r="I379" s="7" t="str">
        <x:v>2024原典抜粋：複合研削を実現する万能機GSUシリーズがコンパクトになって登場 従来小物加工の場合、課題であったフロアスペース問題を解決するために開発したGSU-20。 従来のGSU-30シリーズよりフロアスペースを40％以上削減し、多様な現場に応えられるようになりました。 プレーン、アンギュラ、内研を組み合わせて、8通りの取付パターンから選択する事が可能。 高精度、高剛性NC旋回機構を搭載し様々な加工パターンを実現できます。 砥石径は最大Φ305mmで超砥粒にも対応。小型の金型やセラミック・超硬工具における複雑な加工に最適な研削</x:v>
      </x:c>
      <x:c r="J379" s="7" t="str">
        <x:v>2026原典抜粋：高精度研削技術と操作性のさらなる進化をテーマに、複雑化・高精度化する加工ニーズへ対応する最新技術をご紹介します。 / 新開発のポリゴン研削機能（C-X制御）を搭載したCNC万能研削盤をはじめ、NC旋回主軸台による複合加工を実現する内面研削盤、さらに直感的な操作性と高度な加工支援を両立した新型対話システム「S3Pro」を展示。 / 高精度・高効率・省段取りを実現するソリューションを通じて、お客様の生産性向上に貢献する最新技術をご提案します</x:v>
      </x:c>
      <x:c r="K379" s="7" t="str">
        <x:v>原典記述の対照。個別機能の追加・性能差・初登場年は未判定。</x:v>
      </x:c>
      <x:c r="L379" s="7" t="str">
        <x:v>両年説明あり・機能差未判定</x:v>
      </x:c>
      <x:c r="M379" s="7" t="str">
        <x:v>出展説明の一次分類</x:v>
      </x:c>
      <x:c r="N379" s="7" t="str"/>
      <x:c r="O379" s="7" t="str">
        <x:v>承認・例外対応・停止・復帰の境界は未確認</x:v>
      </x:c>
      <x:c r="P379" s="7" t="str">
        <x:v>2026公式カタログ掲載・現地未確認
2026展示予定。既存製品・参考出展・構想等は原典で個別確認</x:v>
      </x:c>
      <x:c r="Q379" s="7" t="str">
        <x:v>AC101</x:v>
      </x:c>
      <x:c t="str" r="R379" s="21">
        <x:f>HYPERLINK("https://www.jimtof.org/search/jp/ESdetails?e=7L3V3jg3cYg","JIMTOF2026 出展ページ")</x:f>
        <x:v>JIMTOF2026 出展ページ</x:v>
      </x:c>
      <x:c t="str" r="S379" s="21">
        <x:f>HYPERLINK("https://www.jimtof.org/2024/search/jp/ESdetails?e=hU8LqSDiscs","JIMTOF2024 出展ページ")</x:f>
        <x:v>JIMTOF2024 出展ページ</x:v>
      </x:c>
      <x:c r="T379" s="7" t="str">
        <x:v>EEX-EXH-2026-ec6cc41bae704f0d: https://www.jimtof.org/search/jp/ESdetails?e=7L3V3jg3cYg
該当箇所: 出展紹介・主な出展物。追加カードの原典抜粋で検索
EEX-EXH-2024-8048b1d8000db0be: https://www.jimtof.org/2024/search/jp/ESdetails?e=hU8LqSDiscs
該当箇所: 出展紹介・主な出展物。追加カードの原典抜粋で検索</x:v>
      </x:c>
    </x:row>
    <x:row r="380" ht="155" customHeight="1">
      <x:c r="A380" s="7" t="str">
        <x:v>段取り・物理作業</x:v>
      </x:c>
      <x:c r="B380" s="7" t="str">
        <x:v>自動加工セル・工程集約</x:v>
      </x:c>
      <x:c r="C380" s="20" t="str">
        <x:v>シチズンマシナリー株式会社</x:v>
      </x:c>
      <x:c r="D380" s="7" t="str">
        <x:v>主軸台移動型CNC自動旋盤　M32Ⅷ　L32ⅫB5　L20ⅫB5　Ⅼ12Ⅹ　R04</x:v>
      </x:c>
      <x:c r="E380" s="7" t="str">
        <x:v>S2002</x:v>
      </x:c>
      <x:c r="F380" s="7" t="str">
        <x:v>自動加工セル・工程集約</x:v>
      </x:c>
      <x:c r="G380" s="7" t="str">
        <x:v>原典抜粋：」をテーマに、シチズンマシナリーは自動盤の可能性をさらに拡張するソリューションを提案します。 / 今回の展示では、複合加工、マシニング領域への展開、LFV（低周波振動切削）、レーザー加工、ATC、自動計測、FA連携など、多彩な技術を融合。 / 機械単体ではなく、生産現場全体の価値向上を目指した提案を通じて、自動盤でここまでできる――その驚きと可能性を、ぜひ会場でご体感ください。 / 主軸台移動型CNC自動旋盤　M32Ⅷ　L32ⅫB5　L</x:v>
      </x:c>
      <x:c r="H380" s="7" t="str">
        <x:v>設備間の持替えや繰返し作業が、人手・待ち時間・品質差につながる。</x:v>
      </x:c>
      <x:c r="I380" s="7" t="str">
        <x:v>2024原典抜粋：「Creating new value 今ある価値の、その先へ」をコンセプトに、お客さまの役にたつ機械と、それを使いこなす技術、デジタル技術の提供によって、人と機械の関係にまだ見ぬ価値を想像します。 プレゼンテーションでは、Cincom Miyanoブランドの機械を軸とした、お客さまのさまざまなワークフローに対するシチズンマシナリーのトータルソリューションをご提案。さらに、独自のLFV（低周波振動切削）技術についてご紹介します。 主軸台移動型CNC自動旋盤 M32、L32、L20、L12、A20、R04 主軸台固定</x:v>
      </x:c>
      <x:c r="J380" s="7" t="str">
        <x:v>2026原典抜粋：」をテーマに、シチズンマシナリーは自動盤の可能性をさらに拡張するソリューションを提案します。 / 今回の展示では、複合加工、マシニング領域への展開、LFV（低周波振動切削）、レーザー加工、ATC、自動計測、FA連携など、多彩な技術を融合。 / 機械単体ではなく、生産現場全体の価値向上を目指した提案を通じて、自動盤でここまでできる――その驚きと可能性を、ぜひ会場でご体感ください。 / 主軸台移動型CNC自動旋盤　M32Ⅷ　L32ⅫB5　L</x:v>
      </x:c>
      <x:c r="K380" s="7" t="str">
        <x:v>原典記述の対照。個別機能の追加・性能差・初登場年は未判定。</x:v>
      </x:c>
      <x:c r="L380" s="7" t="str">
        <x:v>両年説明あり・機能差未判定</x:v>
      </x:c>
      <x:c r="M380" s="7" t="str">
        <x:v>出展説明の一次分類</x:v>
      </x:c>
      <x:c r="N380" s="7" t="str"/>
      <x:c r="O380" s="7" t="str">
        <x:v>承認・例外対応・停止・復帰の境界は未確認</x:v>
      </x:c>
      <x:c r="P380" s="7" t="str">
        <x:v>2026公式カタログ掲載・現地未確認
2026展示予定。既存製品・参考出展・構想等は原典で個別確認</x:v>
      </x:c>
      <x:c r="Q380" s="7" t="str">
        <x:v>AC102</x:v>
      </x:c>
      <x:c t="str" r="R380" s="21">
        <x:f>HYPERLINK("https://www.jimtof.org/search/jp/ESdetails?e=sqCigr-Fu70","JIMTOF2026 出展ページ")</x:f>
        <x:v>JIMTOF2026 出展ページ</x:v>
      </x:c>
      <x:c t="str" r="S380" s="21">
        <x:f>HYPERLINK("https://www.jimtof.org/2024/search/jp/ESdetails?e=Yym6acTNJ3w","JIMTOF2024 出展ページ")</x:f>
        <x:v>JIMTOF2024 出展ページ</x:v>
      </x:c>
      <x:c r="T380" s="7" t="str">
        <x:v>EEX-EXH-2026-02147c6f37a0a824: https://www.jimtof.org/search/jp/ESdetails?e=sqCigr-Fu70
該当箇所: 出展紹介・主な出展物。追加カードの原典抜粋で検索
EEX-EXH-2024-23c080ca7808117c: https://www.jimtof.org/2024/search/jp/ESdetails?e=Yym6acTNJ3w
該当箇所: 出展紹介・主な出展物。追加カードの原典抜粋で検索</x:v>
      </x:c>
    </x:row>
    <x:row r="381" ht="155" customHeight="1">
      <x:c r="A381" s="7" t="str">
        <x:v>段取り・物理作業</x:v>
      </x:c>
      <x:c r="B381" s="7" t="str">
        <x:v>自動加工セル・工程集約</x:v>
      </x:c>
      <x:c r="C381" s="20" t="str">
        <x:v>新日本工機株式会社</x:v>
      </x:c>
      <x:c r="D381" s="7" t="str">
        <x:v>各業界における取り組み</x:v>
      </x:c>
      <x:c r="E381" s="7" t="str">
        <x:v>E3001</x:v>
      </x:c>
      <x:c r="F381" s="7" t="str">
        <x:v>自動加工セル・工程集約</x:v>
      </x:c>
      <x:c r="G381" s="7" t="str">
        <x:v>原典抜粋：また、こうした技術をお客様仕様にあわせ、自動化・省人化のノウハウを組み込んだ各種実績や新機種シリーズ「NeoV-MⅡ」「HPS-BⅡ」など、進化・深化するSNK・池貝技術の数々を多彩なコンテンツでご覧いただけます。</x:v>
      </x:c>
      <x:c r="H381" s="7" t="str">
        <x:v>設備間の持替えや繰返し作業が、人手・待ち時間・品質差につながる。</x:v>
      </x:c>
      <x:c r="I381" s="7" t="str">
        <x:v>2024原典抜粋：SNK では「お客様のものづくりに刺激を与えるソリューション提案を」というコンセプトのもと、門型加工機のエコ性能を高めた最新シリーズ「HF-MⅡ」の実機展示や加工実演をはじめ、大型機との自動化・省人化デモ展示やFMS実例の紹介、各業界における取組の数々など、お客様の課題解決の糸口となるコンテンツを取り揃えています。また、ブース内ではグループである老舗旋盤メーカーの「池貝」や自動車向け旋盤の「日新工機」など、新シリーズの紹介やお客様ニーズに応える専用機各種など、様々なご提案が可能です。 ・門型5面マシニングセンタ「H</x:v>
      </x:c>
      <x:c r="J381" s="7" t="str">
        <x:v>2026原典抜粋：また、こうした技術をお客様仕様にあわせ、自動化・省人化のノウハウを組み込んだ各種実績や新機種シリーズ「NeoV-MⅡ」「HPS-BⅡ」など、進化・深化するSNK・池貝技術の数々を多彩なコンテンツでご覧いただけます。</x:v>
      </x:c>
      <x:c r="K381" s="7" t="str">
        <x:v>原典記述の対照。個別機能の追加・性能差・初登場年は未判定。</x:v>
      </x:c>
      <x:c r="L381" s="7" t="str">
        <x:v>両年説明あり・機能差未判定</x:v>
      </x:c>
      <x:c r="M381" s="7" t="str">
        <x:v>出展説明の一次分類</x:v>
      </x:c>
      <x:c r="N381" s="7" t="str"/>
      <x:c r="O381" s="7" t="str">
        <x:v>承認・例外対応・停止・復帰の境界は未確認</x:v>
      </x:c>
      <x:c r="P381" s="7" t="str">
        <x:v>2026公式カタログ掲載・現地未確認
2026展示予定。既存製品・参考出展・構想等は原典で個別確認</x:v>
      </x:c>
      <x:c r="Q381" s="7" t="str">
        <x:v>AC110</x:v>
      </x:c>
      <x:c t="str" r="R381" s="21">
        <x:f>HYPERLINK("https://www.jimtof.org/search/jp/ESdetails?e=RD73EqDannI","JIMTOF2026 出展ページ")</x:f>
        <x:v>JIMTOF2026 出展ページ</x:v>
      </x:c>
      <x:c t="str" r="S381" s="21">
        <x:f>HYPERLINK("https://www.jimtof.org/2024/search/jp/ESdetails?e=TbC314Ifhvc","JIMTOF2024 出展ページ")</x:f>
        <x:v>JIMTOF2024 出展ページ</x:v>
      </x:c>
      <x:c r="T381" s="7" t="str">
        <x:v>EEX-EXH-2026-f1ea599a0042bc55: https://www.jimtof.org/search/jp/ESdetails?e=RD73EqDannI
該当箇所: 出展紹介・主な出展物。追加カードの原典抜粋で検索
EEX-EXH-2024-d6c92358d27c7d32: https://www.jimtof.org/2024/search/jp/ESdetails?e=TbC314Ifhvc
該当箇所: 出展紹介・主な出展物。追加カードの原典抜粋で検索</x:v>
      </x:c>
    </x:row>
    <x:row r="382" ht="155" customHeight="1">
      <x:c r="A382" s="7" t="str">
        <x:v>段取り・物理作業</x:v>
      </x:c>
      <x:c r="B382" s="7" t="str">
        <x:v>自動加工セル・工程集約</x:v>
      </x:c>
      <x:c r="C382" s="20" t="str">
        <x:v>セイコーインスツル株式会社</x:v>
      </x:c>
      <x:c r="D382" s="7" t="str">
        <x:v>CNC内面研削盤　STGシリーズ</x:v>
      </x:c>
      <x:c r="E382" s="7" t="str">
        <x:v>E7078</x:v>
      </x:c>
      <x:c r="F382" s="7" t="str">
        <x:v>自動加工セル・工程集約</x:v>
      </x:c>
      <x:c r="G382" s="7" t="str">
        <x:v>原典抜粋：また、全自動小型内面研削盤「SG1」を展示します。 / 自動化による生産効率向上に貢献します。 / 小径内面研削加工の高精度化、高能率化、自動化でお困りごとがございましたら、ぜひ弊社ブースへお立ち寄りください。 / ・全自動小型内面研削盤　SG1-IB</x:v>
      </x:c>
      <x:c r="H382" s="7" t="str">
        <x:v>設備間の持替えや繰返し作業が、人手・待ち時間・品質差につながる。</x:v>
      </x:c>
      <x:c r="I382" s="7" t="str">
        <x:v>2024原典抜粋：高精度・高能率の研削加工を追求したコンパクトなSTG-3NXと、6インチチャックを標準搭載し多種多様な製品に対応するSTG-6Nの2つのCNC内面研削盤を展示いたします。また、無人・省人化のための自動化対応など、新たなソリューションもご紹介します。 さらに、高周波スピンドルや高周波ロータリドレッサなど、日本国内の自社で設計・製作した豊富なラインナップの製品も展示しています。 ・CNC内面研削盤 STG-3NX ・CNC内面研削盤 STG-6N ・高周波スピンドル SSPGシリーズ ・高周波スピンドル Ｈシリーズ ・</x:v>
      </x:c>
      <x:c r="J382" s="7" t="str">
        <x:v>2026原典抜粋：また、全自動小型内面研削盤「SG1」を展示します。 / 自動化による生産効率向上に貢献します。 / 小径内面研削加工の高精度化、高能率化、自動化でお困りごとがございましたら、ぜひ弊社ブースへお立ち寄りください。 / ・全自動小型内面研削盤　SG1-IB</x:v>
      </x:c>
      <x:c r="K382" s="7" t="str">
        <x:v>原典記述の対照。個別機能の追加・性能差・初登場年は未判定。</x:v>
      </x:c>
      <x:c r="L382" s="7" t="str">
        <x:v>両年説明あり・機能差未判定</x:v>
      </x:c>
      <x:c r="M382" s="7" t="str">
        <x:v>出展説明の一次分類</x:v>
      </x:c>
      <x:c r="N382" s="7" t="str"/>
      <x:c r="O382" s="7" t="str">
        <x:v>承認・例外対応・停止・復帰の境界は未確認</x:v>
      </x:c>
      <x:c r="P382" s="7" t="str">
        <x:v>2026公式カタログ掲載・現地未確認
2026展示予定。既存製品・参考出展・構想等は原典で個別確認</x:v>
      </x:c>
      <x:c r="Q382" s="7" t="str">
        <x:v>AC114</x:v>
      </x:c>
      <x:c t="str" r="R382" s="21">
        <x:f>HYPERLINK("https://www.jimtof.org/search/jp/ESdetails?e=rlHRPwmg5sk","JIMTOF2026 出展ページ")</x:f>
        <x:v>JIMTOF2026 出展ページ</x:v>
      </x:c>
      <x:c t="str" r="S382" s="21">
        <x:f>HYPERLINK("https://www.jimtof.org/2024/search/jp/ESdetails?e=Hmq9QCfmArM","JIMTOF2024 出展ページ")</x:f>
        <x:v>JIMTOF2024 出展ページ</x:v>
      </x:c>
      <x:c r="T382" s="7" t="str">
        <x:v>EEX-EXH-2026-a0fa658c78f270cd: https://www.jimtof.org/search/jp/ESdetails?e=rlHRPwmg5sk
該当箇所: 出展紹介・主な出展物。追加カードの原典抜粋で検索
EEX-EXH-2024-152ace28cc3ec79b: https://www.jimtof.org/2024/search/jp/ESdetails?e=Hmq9QCfmArM
該当箇所: 出展紹介・主な出展物。追加カードの原典抜粋で検索</x:v>
      </x:c>
    </x:row>
    <x:row r="383" ht="155" customHeight="1">
      <x:c r="A383" s="7" t="str">
        <x:v>段取り・物理作業</x:v>
      </x:c>
      <x:c r="B383" s="7" t="str">
        <x:v>自動加工セル・工程集約</x:v>
      </x:c>
      <x:c r="C383" s="20" t="str">
        <x:v>西部電機株式会社</x:v>
      </x:c>
      <x:c r="D383" s="7" t="str">
        <x:v>超精密仕様ワイヤ放電加工機　M35LP</x:v>
      </x:c>
      <x:c r="E383" s="7" t="str">
        <x:v>E2015</x:v>
      </x:c>
      <x:c r="F383" s="7" t="str">
        <x:v>自動加工セル・工程集約</x:v>
      </x:c>
      <x:c r="G383" s="7" t="str">
        <x:v>原典抜粋：近年需要が拡大している半導体、データセンター、AI関連分野にも対応しており、大型高精度加工において優れたパフォーマンスを発揮します。 / また、「高精度加工」や「自動化・省人化」を実現する先端技術に加え、ワンチャックで切削加工と研削加工を可能にした高精密自由形状内面研削機「SFGシリーズ」のサンプルワークもご用意しております。</x:v>
      </x:c>
      <x:c r="H383" s="7" t="str">
        <x:v>設備間の持替えや繰返し作業が、人手・待ち時間・品質差につながる。</x:v>
      </x:c>
      <x:c r="I383" s="7" t="str">
        <x:v>2024原典抜粋：当社は、「超精密とメカトロメーションの追究」を企業理念として、「味」のにじむ新製品を日々開発してきました。今回新たな挑戦として、従来のラインナップではシリーズ化が実現できていなかった大型ワイヤ放電加工機の新シリーズ展開を行いました。 JIMTOF2024では、ワイヤ放電加工機「MM75UP」「MM50UP」、高精密自由形状内面研削盤「SFG-35HP」の3機種を出展致します。 新型機「MM75UP」は、CAE解析技術にて機械構造の見直しを行い、従来機と比較し、大幅な機械剛性の向上を図りました。XY軸に高剛性ローラタ</x:v>
      </x:c>
      <x:c r="J383" s="7" t="str">
        <x:v>2026原典抜粋：近年需要が拡大している半導体、データセンター、AI関連分野にも対応しており、大型高精度加工において優れたパフォーマンスを発揮します。 / また、「高精度加工」や「自動化・省人化」を実現する先端技術に加え、ワンチャックで切削加工と研削加工を可能にした高精密自由形状内面研削機「SFGシリーズ」のサンプルワークもご用意しております。</x:v>
      </x:c>
      <x:c r="K383" s="7" t="str">
        <x:v>原典記述の対照。個別機能の追加・性能差・初登場年は未判定。</x:v>
      </x:c>
      <x:c r="L383" s="7" t="str">
        <x:v>両年説明あり・機能差未判定</x:v>
      </x:c>
      <x:c r="M383" s="7" t="str">
        <x:v>出展説明の一次分類</x:v>
      </x:c>
      <x:c r="N383" s="7" t="str"/>
      <x:c r="O383" s="7" t="str">
        <x:v>承認・例外対応・停止・復帰の境界は未確認</x:v>
      </x:c>
      <x:c r="P383" s="7" t="str">
        <x:v>2026公式カタログ掲載・現地未確認
2026展示予定。既存製品・参考出展・構想等は原典で個別確認</x:v>
      </x:c>
      <x:c r="Q383" s="7" t="str">
        <x:v>AC116</x:v>
      </x:c>
      <x:c t="str" r="R383" s="21">
        <x:f>HYPERLINK("https://www.jimtof.org/search/jp/ESdetails?e=LqNWsydMu7s","JIMTOF2026 出展ページ")</x:f>
        <x:v>JIMTOF2026 出展ページ</x:v>
      </x:c>
      <x:c t="str" r="S383" s="21">
        <x:f>HYPERLINK("https://www.jimtof.org/2024/search/jp/ESdetails?e=E4LazHJRvQA","JIMTOF2024 出展ページ")</x:f>
        <x:v>JIMTOF2024 出展ページ</x:v>
      </x:c>
      <x:c r="T383" s="7" t="str">
        <x:v>EEX-EXH-2026-80abc40ff2c32d3f: https://www.jimtof.org/search/jp/ESdetails?e=LqNWsydMu7s
該当箇所: 出展紹介・主な出展物。追加カードの原典抜粋で検索
EEX-EXH-2024-4250b6f68592c4c9: https://www.jimtof.org/2024/search/jp/ESdetails?e=E4LazHJRvQA
該当箇所: 出展紹介・主な出展物。追加カードの原典抜粋で検索</x:v>
      </x:c>
    </x:row>
    <x:row r="384" ht="155" customHeight="1">
      <x:c r="A384" s="7" t="str">
        <x:v>段取り・物理作業</x:v>
      </x:c>
      <x:c r="B384" s="7" t="str">
        <x:v>自動加工セル・工程集約</x:v>
      </x:c>
      <x:c r="C384" s="20" t="str">
        <x:v>清和ジーテック株式会社</x:v>
      </x:c>
      <x:c r="D384" s="7" t="str">
        <x:v>CNCホブ盤</x:v>
      </x:c>
      <x:c r="E384" s="7" t="str">
        <x:v>E3007</x:v>
      </x:c>
      <x:c r="F384" s="7" t="str">
        <x:v>自動加工セル・工程集約</x:v>
      </x:c>
      <x:c r="G384" s="7" t="str">
        <x:v>原典抜粋：ヒューマノイドロボットに代表されるロボット技術の急激な進化に伴い、そのための歯車加工技術もまた、進化を要求されています。 / その他極小ワーク精密加工に特化した新仕様、及び自動化の提案等、弊社ブース実機にてご確認ください。</x:v>
      </x:c>
      <x:c r="H384" s="7" t="str">
        <x:v>設備間の持替えや繰返し作業が、人手・待ち時間・品質差につながる。</x:v>
      </x:c>
      <x:c r="I384" s="7" t="str">
        <x:v>2024原典抜粋：EV自動車用部品を筆頭にギヤの高精度化要求が増えてきています。今までと同様の工法では要求精度の満足が難しくなりつつある状況で、弊社としては主力製品であるギヤホーニング盤の更なる改良に取り組んでまいりました。従来型の同期式ギヤホーニング盤にて培った知識と経験、そしてお客様の声により生まれた、新しい同期式ギヤホーニング盤を発表します。弊社ブースでは、新型同期式ギヤホーニング盤の本機展示の他にも、ギヤホーニング前加工や連れ回り式ホーニング盤の活用事例等、様々なケースでの加工工程をご提案いたします。 CNC同期式ギヤホーニ</x:v>
      </x:c>
      <x:c r="J384" s="7" t="str">
        <x:v>2026原典抜粋：ヒューマノイドロボットに代表されるロボット技術の急激な進化に伴い、そのための歯車加工技術もまた、進化を要求されています。 / その他極小ワーク精密加工に特化した新仕様、及び自動化の提案等、弊社ブース実機にてご確認ください。</x:v>
      </x:c>
      <x:c r="K384" s="7" t="str">
        <x:v>原典記述の対照。個別機能の追加・性能差・初登場年は未判定。</x:v>
      </x:c>
      <x:c r="L384" s="7" t="str">
        <x:v>両年説明あり・機能差未判定</x:v>
      </x:c>
      <x:c r="M384" s="7" t="str">
        <x:v>出展説明の一次分類</x:v>
      </x:c>
      <x:c r="N384" s="7" t="str"/>
      <x:c r="O384" s="7" t="str">
        <x:v>承認・例外対応・停止・復帰の境界は未確認</x:v>
      </x:c>
      <x:c r="P384" s="7" t="str">
        <x:v>2026公式カタログ掲載・現地未確認
2026展示予定。既存製品・参考出展・構想等は原典で個別確認</x:v>
      </x:c>
      <x:c r="Q384" s="7" t="str">
        <x:v>AC118</x:v>
      </x:c>
      <x:c t="str" r="R384" s="21">
        <x:f>HYPERLINK("https://www.jimtof.org/search/jp/ESdetails?e=UZiobfgROkY","JIMTOF2026 出展ページ")</x:f>
        <x:v>JIMTOF2026 出展ページ</x:v>
      </x:c>
      <x:c t="str" r="S384" s="21">
        <x:f>HYPERLINK("https://www.jimtof.org/2024/search/jp/ESdetails?e=EG5nDinPQuw","JIMTOF2024 出展ページ")</x:f>
        <x:v>JIMTOF2024 出展ページ</x:v>
      </x:c>
      <x:c r="T384" s="7" t="str">
        <x:v>EEX-EXH-2026-1046494d602d0d79: https://www.jimtof.org/search/jp/ESdetails?e=UZiobfgROkY
該当箇所: 出展紹介・主な出展物。追加カードの原典抜粋で検索
EEX-EXH-2024-5b2765869aa75dde: https://www.jimtof.org/2024/search/jp/ESdetails?e=EG5nDinPQuw
該当箇所: 出展紹介・主な出展物。追加カードの原典抜粋で検索</x:v>
      </x:c>
    </x:row>
    <x:row r="385" ht="155" customHeight="1">
      <x:c r="A385" s="7" t="str">
        <x:v>段取り・物理作業</x:v>
      </x:c>
      <x:c r="B385" s="7" t="str">
        <x:v>自動加工セル・工程集約</x:v>
      </x:c>
      <x:c r="C385" s="20" t="str">
        <x:v>株式会社ソディック</x:v>
      </x:c>
      <x:c r="D385" s="7" t="str">
        <x:v>1）リニアモータ駆動 高速・高性能 ワイヤ放電加工機「ALN600G ⅰGroove + Edition」</x:v>
      </x:c>
      <x:c r="E385" s="7" t="str">
        <x:v>E2017</x:v>
      </x:c>
      <x:c r="F385" s="7" t="str">
        <x:v>ワーク・パレット・切粉の搬送 ／ 自動加工セル・工程集約</x:v>
      </x:c>
      <x:c r="G385" s="7" t="str">
        <x:v>原典抜粋：ブースでは、リニアモータ駆動ワイヤ放電加工機と搬送ロボットを組み合わせた自動化システムをはじめ、形彫り放電加工機や精密切削加工の自動化技術など、生産現場の競争力向上に貢献する最新ソリューションを実演展示します。 / また、初披露となる新型レーザー加工機、自社生産による高品質な消耗品、省力化・効率化を支援するIoTソリューションなど、多彩な製品・技術をご紹介します。</x:v>
      </x:c>
      <x:c r="H385" s="7" t="str">
        <x:v>品種・量の変化に合わせて人の供給往復を減らす。 ／ 設備間の持替えや繰返し作業が、人手・待ち時間・品質差につながる。</x:v>
      </x:c>
      <x:c r="I385" s="7" t="str">
        <x:v>2024原典抜粋：Sodickブースでは、最新の工作機械とその応用技術を多数展示します。 形彫り放電加工機、ワイヤ放電加工機、マシニングセンタ、そして世界初出展となるフェムト秒レーザー機など、高精度を誇る製品をご覧いただけます。また、自動走行ロボットによるワークの自動搬送も実演します。 ソディックの機械群は、自動車分野・電気電子分野に加え、航空・宇宙事業やメディカル分野をターゲットにした高精度かつ高効率な金型・部品加工向けにラインアップを揃えています。当社の強みは、高性能な機械単体だけでなく、自社製の周辺機器やソフトウェアを組み合わ</x:v>
      </x:c>
      <x:c r="J385" s="7" t="str">
        <x:v>2026原典抜粋：ブースでは、リニアモータ駆動ワイヤ放電加工機と搬送ロボットを組み合わせた自動化システムをはじめ、形彫り放電加工機や精密切削加工の自動化技術など、生産現場の競争力向上に貢献する最新ソリューションを実演展示します。 / また、初披露となる新型レーザー加工機、自社生産による高品質な消耗品、省力化・効率化を支援するIoTソリューションなど、多彩な製品・技術をご紹介します。</x:v>
      </x:c>
      <x:c r="K385" s="7" t="str">
        <x:v>原典記述の対照。個別機能の追加・性能差・初登場年は未判定。</x:v>
      </x:c>
      <x:c r="L385" s="7" t="str">
        <x:v>両年説明あり・機能差未判定</x:v>
      </x:c>
      <x:c r="M385" s="7" t="str">
        <x:v>出展説明の一次分類</x:v>
      </x:c>
      <x:c r="N385" s="7" t="str"/>
      <x:c r="O385" s="7" t="str">
        <x:v>承認・例外対応・停止・復帰の境界は未確認</x:v>
      </x:c>
      <x:c r="P385" s="7" t="str">
        <x:v>2026公式カタログ掲載・現地未確認
2026展示予定。既存製品・参考出展・構想等は原典で個別確認</x:v>
      </x:c>
      <x:c r="Q385" s="7" t="str">
        <x:v>AC123</x:v>
      </x:c>
      <x:c t="str" r="R385" s="21">
        <x:f>HYPERLINK("https://www.jimtof.org/search/jp/ESdetails?e=k6keXdSLQmQ","JIMTOF2026 出展ページ")</x:f>
        <x:v>JIMTOF2026 出展ページ</x:v>
      </x:c>
      <x:c t="str" r="S385" s="21">
        <x:f>HYPERLINK("https://www.jimtof.org/2024/search/jp/ESdetails?e=VYjGUrtgdX4","JIMTOF2024 出展ページ")</x:f>
        <x:v>JIMTOF2024 出展ページ</x:v>
      </x:c>
      <x:c r="T385" s="7" t="str">
        <x:v>EEX-EXH-2026-f434da28b26d8f26: https://www.jimtof.org/search/jp/ESdetails?e=k6keXdSLQmQ
該当箇所: 出展紹介・主な出展物。追加カードの原典抜粋で検索
EEX-EXH-2024-7c4887bf05364088: https://www.jimtof.org/2024/search/jp/ESdetails?e=VYjGUrtgdX4
該当箇所: 出展紹介・主な出展物。追加カードの原典抜粋で検索</x:v>
      </x:c>
    </x:row>
    <x:row r="386" ht="155" customHeight="1">
      <x:c r="A386" s="7" t="str">
        <x:v>段取り・物理作業</x:v>
      </x:c>
      <x:c r="B386" s="7" t="str">
        <x:v>自動加工セル・工程集約</x:v>
      </x:c>
      <x:c r="C386" s="20" t="str">
        <x:v>株式会社太陽工機</x:v>
      </x:c>
      <x:c r="D386" s="7" t="str">
        <x:v>立形複合研削盤　TKV 85 with PH Cell 500</x:v>
      </x:c>
      <x:c r="E386" s="7" t="str">
        <x:v>E8007</x:v>
      </x:c>
      <x:c r="F386" s="7" t="str">
        <x:v>ワーク・パレット・切粉の搬送 ／ 自動加工セル・工程集約</x:v>
      </x:c>
      <x:c r="G386" s="7" t="str">
        <x:v>原典抜粋：中・大型ワーク向けの高精度研削加工に求められる「工程集約」「自動化」「品質安定性」「省エネ性」「DX対応」といった多面的な要求に応えるため、構造・制御・周辺設備の全領域を再設計した最新世代の立形研削盤TKV 85とDMG MORI 製自動化システム PH Cell 500を接続し、世界中でご使用いただける研削盤自動化ソリューションを展示します。 / 自動化システムにはDMG MORI 製 PH Cell 500を搭載。</x:v>
      </x:c>
      <x:c r="H386" s="7" t="str">
        <x:v>品種・量の変化に合わせて人の供給往復を減らす。 ／ 設備間の持替えや繰返し作業が、人手・待ち時間・品質差につながる。</x:v>
      </x:c>
      <x:c r="I386" s="7" t="str">
        <x:v>2024原典抜粋：立形複合研削盤を極めた当社から、立形複合研削盤シリーズをラインナップ。 汎用タイプから高剛性・高出力タイプなど2台を出展します。 高い加工精度、段取りの容易性を特長とする太陽工機の立形研削盤は、 工作機械の心臓部品を加工するマザーマシンとして、また自動化への適応性の高さから 量産部品加工用研削盤として、産業界から揺るぎない信頼をいただいています。 立形複合研削盤 Vertical Mate85 内径、外径、端面の高精度複合加工をワンチャッキングで可能にする汎用立形複合研削盤 （speed MASTER、ERGOli</x:v>
      </x:c>
      <x:c r="J386" s="7" t="str">
        <x:v>2026原典抜粋：中・大型ワーク向けの高精度研削加工に求められる「工程集約」「自動化」「品質安定性」「省エネ性」「DX対応」といった多面的な要求に応えるため、構造・制御・周辺設備の全領域を再設計した最新世代の立形研削盤TKV 85とDMG MORI 製自動化システム PH Cell 500を接続し、世界中でご使用いただける研削盤自動化ソリューションを展示します。 / 自動化システムにはDMG MORI 製 PH Cell 500を搭載。</x:v>
      </x:c>
      <x:c r="K386" s="7" t="str">
        <x:v>原典記述の対照。個別機能の追加・性能差・初登場年は未判定。</x:v>
      </x:c>
      <x:c r="L386" s="7" t="str">
        <x:v>両年説明あり・機能差未判定</x:v>
      </x:c>
      <x:c r="M386" s="7" t="str">
        <x:v>出展説明の一次分類</x:v>
      </x:c>
      <x:c r="N386" s="7" t="str"/>
      <x:c r="O386" s="7" t="str">
        <x:v>承認・例外対応・停止・復帰の境界は未確認</x:v>
      </x:c>
      <x:c r="P386" s="7" t="str">
        <x:v>2026公式カタログ掲載・現地未確認
2026展示予定。既存製品・参考出展・構想等は原典で個別確認</x:v>
      </x:c>
      <x:c r="Q386" s="7" t="str">
        <x:v>AC129</x:v>
      </x:c>
      <x:c t="str" r="R386" s="21">
        <x:f>HYPERLINK("https://www.jimtof.org/search/jp/ESdetails?e=p0lGaSOw5EY","JIMTOF2026 出展ページ")</x:f>
        <x:v>JIMTOF2026 出展ページ</x:v>
      </x:c>
      <x:c t="str" r="S386" s="21">
        <x:f>HYPERLINK("https://www.jimtof.org/2024/search/jp/ESdetails?e=sEqCHpjquj8","JIMTOF2024 出展ページ")</x:f>
        <x:v>JIMTOF2024 出展ページ</x:v>
      </x:c>
      <x:c r="T386" s="7" t="str">
        <x:v>EEX-EXH-2026-68590f09050a3b5c: https://www.jimtof.org/search/jp/ESdetails?e=p0lGaSOw5EY
該当箇所: 出展紹介・主な出展物。追加カードの原典抜粋で検索
EEX-EXH-2024-b28a39cc3914c1b2: https://www.jimtof.org/2024/search/jp/ESdetails?e=sEqCHpjquj8
該当箇所: 出展紹介・主な出展物。追加カードの原典抜粋で検索</x:v>
      </x:c>
    </x:row>
    <x:row r="387" ht="155" customHeight="1">
      <x:c r="A387" s="7" t="str">
        <x:v>段取り・物理作業</x:v>
      </x:c>
      <x:c r="B387" s="7" t="str">
        <x:v>自動加工セル・工程集約</x:v>
      </x:c>
      <x:c r="C387" s="20" t="str">
        <x:v>株式会社ツガミ</x:v>
      </x:c>
      <x:c r="D387" s="7" t="str">
        <x:v>CNC精密自動旋盤　B0207</x:v>
      </x:c>
      <x:c r="E387" s="7" t="str">
        <x:v>S1004</x:v>
      </x:c>
      <x:c r="F387" s="7" t="str">
        <x:v>ワーク・パレット・切粉の搬送 ／ 自動加工セル・工程集約</x:v>
      </x:c>
      <x:c r="G387" s="7" t="str">
        <x:v>原典抜粋：CNC精密自動旋盤B0207は実績豊富なB020シリーズにB軸刃物台を搭載したモデルである。 / CNC精密自動旋盤BW389ZJはØ38 クラスの独立対向くし刃機であり、高剛性と重切削性能を備え、独立刃物台で大径素材の高能率加工を実現。 / また、自動化システムを搭載した機種も展示する。 / CNC精密自動旋盤B0205-VRには、複数品種の仕分けやワークロット管理が可能で、省スペースなワークストッカを搭載。 / ターニングセンタTM</x:v>
      </x:c>
      <x:c r="H387" s="7" t="str">
        <x:v>品種・量の変化に合わせて人の供給往復を減らす。 ／ 設備間の持替えや繰返し作業が、人手・待ち時間・品質差につながる。</x:v>
      </x:c>
      <x:c r="I387" s="7" t="str">
        <x:v>2024原典抜粋：当社のブースでは新機種のB0205-VR、M10JL10、VA3S、VA4-Ⅱ、FMA3H-V、G22を含む計12台の主力製品を展示する。 CNC精密自動旋盤 B0205-VRは豊富な実績を持つB0-Vシリーズを改良し、加工能力と使い勝手を向上。 CNC旋盤 M10JL10は10インチクラス旋盤シリーズのロングストロークタイプ。最大1,000mmの長尺ワーク加工に対応可能。 立形高速マシニングセンタ VA3Sはコンパクト・生産性を追求し、サーボ駆動ツールマガジンを用いたダイレクト式ATCの採用により、工具交換時間の</x:v>
      </x:c>
      <x:c r="J387" s="7" t="str">
        <x:v>2026原典抜粋：CNC精密自動旋盤B0207は実績豊富なB020シリーズにB軸刃物台を搭載したモデルである。 / CNC精密自動旋盤BW389ZJはØ38 クラスの独立対向くし刃機であり、高剛性と重切削性能を備え、独立刃物台で大径素材の高能率加工を実現。 / また、自動化システムを搭載した機種も展示する。 / CNC精密自動旋盤B0205-VRには、複数品種の仕分けやワークロット管理が可能で、省スペースなワークストッカを搭載。 / ターニングセンタTM</x:v>
      </x:c>
      <x:c r="K387" s="7" t="str">
        <x:v>原典記述の対照。個別機能の追加・性能差・初登場年は未判定。</x:v>
      </x:c>
      <x:c r="L387" s="7" t="str">
        <x:v>両年説明あり・機能差未判定</x:v>
      </x:c>
      <x:c r="M387" s="7" t="str">
        <x:v>出展説明の一次分類</x:v>
      </x:c>
      <x:c r="N387" s="7" t="str"/>
      <x:c r="O387" s="7" t="str">
        <x:v>承認・例外対応・停止・復帰の境界は未確認</x:v>
      </x:c>
      <x:c r="P387" s="7" t="str">
        <x:v>2026公式カタログ掲載・現地未確認
2026展示予定。既存製品・参考出展・構想等は原典で個別確認</x:v>
      </x:c>
      <x:c r="Q387" s="7" t="str">
        <x:v>AC139</x:v>
      </x:c>
      <x:c t="str" r="R387" s="21">
        <x:f>HYPERLINK("https://www.jimtof.org/search/jp/ESdetails?e=fKOIqkxqaBI","JIMTOF2026 出展ページ")</x:f>
        <x:v>JIMTOF2026 出展ページ</x:v>
      </x:c>
      <x:c t="str" r="S387" s="21">
        <x:f>HYPERLINK("https://www.jimtof.org/2024/search/jp/ESdetails?e=5KpFSEqJrhg","JIMTOF2024 出展ページ")</x:f>
        <x:v>JIMTOF2024 出展ページ</x:v>
      </x:c>
      <x:c r="T387" s="7" t="str">
        <x:v>EEX-EXH-2026-32c10384bbcaec00: https://www.jimtof.org/search/jp/ESdetails?e=fKOIqkxqaBI
該当箇所: 出展紹介・主な出展物。追加カードの原典抜粋で検索
EEX-EXH-2024-10616a1e9396f3d8: https://www.jimtof.org/2024/search/jp/ESdetails?e=5KpFSEqJrhg
該当箇所: 出展紹介・主な出展物。追加カードの原典抜粋で検索</x:v>
      </x:c>
    </x:row>
    <x:row r="388" ht="155" customHeight="1">
      <x:c r="A388" s="7" t="str">
        <x:v>段取り・物理作業</x:v>
      </x:c>
      <x:c r="B388" s="7" t="str">
        <x:v>自動加工セル・工程集約</x:v>
      </x:c>
      <x:c r="C388" s="20" t="str">
        <x:v>株式会社東振テクニカル</x:v>
      </x:c>
      <x:c r="D388" s="7" t="str">
        <x:v>長尺研削高精度自動化システム</x:v>
      </x:c>
      <x:c r="E388" s="7" t="str">
        <x:v>E7037</x:v>
      </x:c>
      <x:c r="F388" s="7" t="str">
        <x:v>自動加工セル・工程集約</x:v>
      </x:c>
      <x:c r="G388" s="7" t="str">
        <x:v>原典抜粋：長尺ワーク研削の困りごとを解決する「長尺研削高精度自動化システム」の展示ならびに、 / ●長尺研削高精度自動化システム</x:v>
      </x:c>
      <x:c r="H388" s="7" t="str">
        <x:v>設備間の持替えや繰返し作業が、人手・待ち時間・品質差につながる。</x:v>
      </x:c>
      <x:c r="I388" s="7" t="str">
        <x:v>2024原典抜粋：【心なし研削盤】 今回のテーマは「スルフィード研削VSインフィード研削」 加工時間だけなく人の関わる作業時間を含めたトータル評価で勝負。働き方が変化する中で、 ベアリングのローラー専門メーカーの東振精機で培った技術と東振センタレスの基本コンセプト 「トータルグラインディングシステム」でお客様のお困りごとに対し、研削に関わる全ての 技術・周辺装置含め、ご提案いたします。研削にお困りの時は、是非、改善に心を通す「Tohshin」に‼ 【ベーンポンプ】 求められているのは「静かさ」です。 人にやさしい静かな環境づくりのた</x:v>
      </x:c>
      <x:c r="J388" s="7" t="str">
        <x:v>2026原典抜粋：長尺ワーク研削の困りごとを解決する「長尺研削高精度自動化システム」の展示ならびに、 / ●長尺研削高精度自動化システム</x:v>
      </x:c>
      <x:c r="K388" s="7" t="str">
        <x:v>原典記述の対照。個別機能の追加・性能差・初登場年は未判定。</x:v>
      </x:c>
      <x:c r="L388" s="7" t="str">
        <x:v>両年説明あり・機能差未判定</x:v>
      </x:c>
      <x:c r="M388" s="7" t="str">
        <x:v>出展説明の一次分類</x:v>
      </x:c>
      <x:c r="N388" s="7" t="str"/>
      <x:c r="O388" s="7" t="str">
        <x:v>承認・例外対応・停止・復帰の境界は未確認</x:v>
      </x:c>
      <x:c r="P388" s="7" t="str">
        <x:v>2026公式カタログ掲載・現地未確認
2026展示予定。既存製品・参考出展・構想等は原典で個別確認</x:v>
      </x:c>
      <x:c r="Q388" s="7" t="str">
        <x:v>AC149</x:v>
      </x:c>
      <x:c t="str" r="R388" s="21">
        <x:f>HYPERLINK("https://www.jimtof.org/search/jp/ESdetails?e=GFSwCXSxe9o","JIMTOF2026 出展ページ")</x:f>
        <x:v>JIMTOF2026 出展ページ</x:v>
      </x:c>
      <x:c t="str" r="S388" s="21">
        <x:f>HYPERLINK("https://www.jimtof.org/2024/search/jp/ESdetails?e=B5KWBHhTvfk","JIMTOF2024 出展ページ")</x:f>
        <x:v>JIMTOF2024 出展ページ</x:v>
      </x:c>
      <x:c r="T388" s="7" t="str">
        <x:v>EEX-EXH-2026-990d4d4c729ff139: https://www.jimtof.org/search/jp/ESdetails?e=GFSwCXSxe9o
該当箇所: 出展紹介・主な出展物。追加カードの原典抜粋で検索
EEX-EXH-2024-149d3b9849bdab67: https://www.jimtof.org/2024/search/jp/ESdetails?e=B5KWBHhTvfk
該当箇所: 出展紹介・主な出展物。追加カードの原典抜粋で検索</x:v>
      </x:c>
    </x:row>
    <x:row r="389" ht="155" customHeight="1">
      <x:c r="A389" s="7" t="str">
        <x:v>段取り・物理作業</x:v>
      </x:c>
      <x:c r="B389" s="7" t="str">
        <x:v>自動加工セル・工程集約</x:v>
      </x:c>
      <x:c r="C389" s="20" t="str">
        <x:v>東洋精機工業株式会社</x:v>
      </x:c>
      <x:c r="D389" s="7" t="str">
        <x:v>中小企業向け無人化自動システム</x:v>
      </x:c>
      <x:c r="E389" s="7" t="str">
        <x:v>E3019</x:v>
      </x:c>
      <x:c r="F389" s="7" t="str">
        <x:v>爪・治具・ハンドと位置の段取り ／ 自動計測・測定計画・品質データ ／ 自動加工セル・工程集約</x:v>
      </x:c>
      <x:c r="G389" s="7" t="str">
        <x:v>原典抜粋：中小企業をターゲットにした、自動段取り替えによる多品種少量生産の無人運転システムをメインに / NCインデックスによる多面加工治具を交換式にして2種類のワークをロボットで段取り替え / 自社製の測定器と洗浄機で加工後のワーク洗浄から精度測定まで自動で行います。 / 2個同時加工ができ、横形40番タイプのTHMC420は自動搬送に対応します。 / 弊社は加工機だけでなく、付帯装置も含めたセットアップメーカーとして自動化・省力化の提案を /</x:v>
      </x:c>
      <x:c r="H389" s="7" t="str">
        <x:v>多品種で繰り返す機械的交換と再教示の負担。 ／ 測定の段取り・搬送・記録に人手が残り、結果が加工改善につながりにくい。 ／ 設備間の持替えや繰返し作業が、人手・待ち時間・品質差につながる。</x:v>
      </x:c>
      <x:c r="I389" s="7" t="str">
        <x:v>2024原典抜粋：TVT332をベースに、インバータケースやバッテリケースなどの中型アルミワークに特化した機械を展示する。TVT332Sのテーブル積載重量を500kgにした機械には2軸インデックスを搭載して多面加工のデモを、Y軸を500mmストロークに拡大したTVT332には協働ロボットを付けて自動無人運転のデモを、X軸を1000mmストロークに拡大したTVT332は30本マガジンを両側に搭載した60本仕様としてコンセプト展示をする。#40横型マシニングセンタTHMC420はロボットによる自動無人運転システムを提案する。2軸マシニン</x:v>
      </x:c>
      <x:c r="J389" s="7" t="str">
        <x:v>2026原典抜粋：中小企業をターゲットにした、自動段取り替えによる多品種少量生産の無人運転システムをメインに / NCインデックスによる多面加工治具を交換式にして2種類のワークをロボットで段取り替え / 自社製の測定器と洗浄機で加工後のワーク洗浄から精度測定まで自動で行います。 / 2個同時加工ができ、横形40番タイプのTHMC420は自動搬送に対応します。 / 弊社は加工機だけでなく、付帯装置も含めたセットアップメーカーとして自動化・省力化の提案を /</x:v>
      </x:c>
      <x:c r="K389" s="7" t="str">
        <x:v>原典記述の対照。個別機能の追加・性能差・初登場年は未判定。</x:v>
      </x:c>
      <x:c r="L389" s="7" t="str">
        <x:v>両年説明あり・機能差未判定</x:v>
      </x:c>
      <x:c r="M389" s="7" t="str">
        <x:v>出展説明の一次分類</x:v>
      </x:c>
      <x:c r="N389" s="7" t="str"/>
      <x:c r="O389" s="7" t="str">
        <x:v>承認・例外対応・停止・復帰の境界は未確認</x:v>
      </x:c>
      <x:c r="P389" s="7" t="str">
        <x:v>2026公式カタログ掲載・現地未確認
2026展示予定。既存製品・参考出展・構想等は原典で個別確認</x:v>
      </x:c>
      <x:c r="Q389" s="7" t="str">
        <x:v>AC151</x:v>
      </x:c>
      <x:c t="str" r="R389" s="21">
        <x:f>HYPERLINK("https://www.jimtof.org/search/jp/ESdetails?e=4IGD6jExai0","JIMTOF2026 出展ページ")</x:f>
        <x:v>JIMTOF2026 出展ページ</x:v>
      </x:c>
      <x:c t="str" r="S389" s="21">
        <x:f>HYPERLINK("https://www.jimtof.org/2024/search/jp/ESdetails?e=4gAS80Eu958","JIMTOF2024 出展ページ")</x:f>
        <x:v>JIMTOF2024 出展ページ</x:v>
      </x:c>
      <x:c r="T389" s="7" t="str">
        <x:v>EEX-EXH-2026-0edd272934baf18c: https://www.jimtof.org/search/jp/ESdetails?e=4IGD6jExai0
該当箇所: 出展紹介・主な出展物。追加カードの原典抜粋で検索
EEX-EXH-2024-b813d93a11901422: https://www.jimtof.org/2024/search/jp/ESdetails?e=4gAS80Eu958
該当箇所: 出展紹介・主な出展物。追加カードの原典抜粋で検索</x:v>
      </x:c>
    </x:row>
    <x:row r="390" ht="155" customHeight="1">
      <x:c r="A390" s="7" t="str">
        <x:v>段取り・物理作業</x:v>
      </x:c>
      <x:c r="B390" s="7" t="str">
        <x:v>自動加工セル・工程集約</x:v>
      </x:c>
      <x:c r="C390" s="20" t="str">
        <x:v>トルンプ株式会社</x:v>
      </x:c>
      <x:c r="D390" s="7" t="str">
        <x:v>開先加工サンプル展示：2Dレーザ加工機「TruLaser3000シリーズ」</x:v>
      </x:c>
      <x:c r="E390" s="7" t="str">
        <x:v>E1044</x:v>
      </x:c>
      <x:c r="F390" s="7" t="str">
        <x:v>工場データ・計画・資源の連携 ／ 自動加工セル・工程集約</x:v>
      </x:c>
      <x:c r="G390" s="7" t="str">
        <x:v>原典抜粋：「生産現場の自動化をかなえるトルンプの板金加工技術とソリューション」 / 【注目２】スマートファクトリーソリューション：現場のボトルネックを「DX」で突破する / 人手不足や多品種少量生産に対応するための課題を、トルンプの機械・ソフトウェア・自動化技術 / をつなぐワークフロー『Oseon』『Trutops Boost』がDXで解決。</x:v>
      </x:c>
      <x:c r="H390" s="7" t="str">
        <x:v>現物・工具マスター・進捗が分断し変更に追従しにくい。 ／ 設備間の持替えや繰返し作業が、人手・待ち時間・品質差につながる。</x:v>
      </x:c>
      <x:c r="I390" s="7" t="str">
        <x:v>2024原典抜粋： </x:v>
      </x:c>
      <x:c r="J390" s="7" t="str">
        <x:v>2026原典抜粋：「生産現場の自動化をかなえるトルンプの板金加工技術とソリューション」 / 【注目２】スマートファクトリーソリューション：現場のボトルネックを「DX」で突破する / 人手不足や多品種少量生産に対応するための課題を、トルンプの機械・ソフトウェア・自動化技術 / をつなぐワークフロー『Oseon』『Trutops Boost』がDXで解決。</x:v>
      </x:c>
      <x:c r="K390" s="7" t="str">
        <x:v>原典記述の対照。個別機能の追加・性能差・初登場年は未判定。</x:v>
      </x:c>
      <x:c r="L390" s="7" t="str">
        <x:v>両年説明あり・機能差未判定</x:v>
      </x:c>
      <x:c r="M390" s="7" t="str">
        <x:v>出展説明の一次分類</x:v>
      </x:c>
      <x:c r="N390" s="7" t="str"/>
      <x:c r="O390" s="7" t="str">
        <x:v>承認・例外対応・停止・復帰の境界は未確認</x:v>
      </x:c>
      <x:c r="P390" s="7" t="str">
        <x:v>2026公式カタログ掲載・現地未確認
2026展示予定。既存製品・参考出展・構想等は原典で個別確認</x:v>
      </x:c>
      <x:c r="Q390" s="7" t="str">
        <x:v>AC156</x:v>
      </x:c>
      <x:c t="str" r="R390" s="21">
        <x:f>HYPERLINK("https://www.jimtof.org/search/jp/ESdetails?e=P89ltew0qg0","JIMTOF2026 出展ページ")</x:f>
        <x:v>JIMTOF2026 出展ページ</x:v>
      </x:c>
      <x:c t="str" r="S390" s="21">
        <x:f>HYPERLINK("https://www.jimtof.org/2024/search/jp/ESdetails?e=4EKORtm-PKw","JIMTOF2024 出展ページ")</x:f>
        <x:v>JIMTOF2024 出展ページ</x:v>
      </x:c>
      <x:c r="T390" s="7" t="str">
        <x:v>EEX-EXH-2026-e520f1cac56a6424: https://www.jimtof.org/search/jp/ESdetails?e=P89ltew0qg0
該当箇所: 出展紹介・主な出展物。追加カードの原典抜粋で検索
EEX-EXH-2024-d54393fabbd58a8d: https://www.jimtof.org/2024/search/jp/ESdetails?e=4EKORtm-PKw
該当箇所: 出展紹介・主な出展物。追加カードの原典抜粋で検索</x:v>
      </x:c>
    </x:row>
    <x:row r="391" ht="155" customHeight="1">
      <x:c r="A391" s="7" t="str">
        <x:v>段取り・物理作業</x:v>
      </x:c>
      <x:c r="B391" s="7" t="str">
        <x:v>自動加工セル・工程集約</x:v>
      </x:c>
      <x:c r="C391" s="20" t="str">
        <x:v>南海モルディ株式会社</x:v>
      </x:c>
      <x:c r="D391" s="7" t="str">
        <x:v>①自動肉盛りシステム【肉盛りくん】施工事例品・金型</x:v>
      </x:c>
      <x:c r="E391" s="7" t="str">
        <x:v>S3005</x:v>
      </x:c>
      <x:c r="F391" s="7" t="str">
        <x:v>認識を伴うピック・付帯加工・除去 ／ 自動加工セル・工程集約</x:v>
      </x:c>
      <x:c r="G391" s="7" t="str">
        <x:v>原典抜粋：当社開発の自動肉盛り溶接システム【肉盛りくん】やその応用方法を展示。 / いままで”コツ・カン”の世界だった肉盛り溶接技術をパウダー溶接技術と6軸ロボットの融合により最大限のパフォーマンスを実現。 / ①自動肉盛りシステム【肉盛りくん】施工事例品・金型</x:v>
      </x:c>
      <x:c r="H391" s="7" t="str">
        <x:v>形状や絡まりが変わる物理作業に固定手順で対応しにくい。 ／ 設備間の持替えや繰返し作業が、人手・待ち時間・品質差につながる。</x:v>
      </x:c>
      <x:c r="I391" s="7" t="str">
        <x:v>同一正規化名称の2024詳細なし。新規出展・技術不存在とは判断しない。</x:v>
      </x:c>
      <x:c r="J391" s="7" t="str">
        <x:v>2026原典抜粋：当社開発の自動肉盛り溶接システム【肉盛りくん】やその応用方法を展示。 / いままで”コツ・カン”の世界だった肉盛り溶接技術をパウダー溶接技術と6軸ロボットの融合により最大限のパフォーマンスを実現。 / ①自動肉盛りシステム【肉盛りくん】施工事例品・金型</x:v>
      </x:c>
      <x:c r="K391" s="7" t="str">
        <x:v>原典記述の対照。個別機能の追加・性能差・初登場年は未判定。</x:v>
      </x:c>
      <x:c r="L391" s="7" t="str">
        <x:v>年度資料不足・比較不能</x:v>
      </x:c>
      <x:c r="M391" s="7" t="str">
        <x:v>出展説明の一次分類</x:v>
      </x:c>
      <x:c r="N391" s="7" t="str"/>
      <x:c r="O391" s="7" t="str">
        <x:v>承認・例外対応・停止・復帰の境界は未確認</x:v>
      </x:c>
      <x:c r="P391" s="7" t="str">
        <x:v>2026公式カタログ掲載・現地未確認
2026展示予定。既存製品・参考出展・構想等は原典で個別確認</x:v>
      </x:c>
      <x:c r="Q391" s="7" t="str">
        <x:v>AC160</x:v>
      </x:c>
      <x:c t="str" r="R391" s="21">
        <x:f>HYPERLINK("https://www.jimtof.org/search/jp/ESdetails?e=DzEQo0I9qrQ","JIMTOF2026 出展ページ")</x:f>
        <x:v>JIMTOF2026 出展ページ</x:v>
      </x:c>
      <x:c r="S391" s="21" t="str"/>
      <x:c r="T391" s="7" t="str">
        <x:v>EEX-EXH-2026-87d81bbdb5e75826: https://www.jimtof.org/search/jp/ESdetails?e=DzEQo0I9qrQ
該当箇所: 出展紹介・主な出展物。追加カードの原典抜粋で検索</x:v>
      </x:c>
    </x:row>
    <x:row r="392" ht="155" customHeight="1">
      <x:c r="A392" s="7" t="str">
        <x:v>段取り・物理作業</x:v>
      </x:c>
      <x:c r="B392" s="7" t="str">
        <x:v>自動加工セル・工程集約</x:v>
      </x:c>
      <x:c r="C392" s="20" t="str">
        <x:v>株式会社日進ProSOL</x:v>
      </x:c>
      <x:c r="D392" s="7" t="str">
        <x:v>ホーニング盤、砥石、マンドレル、ツール、ジェットノズル</x:v>
      </x:c>
      <x:c r="E392" s="7" t="str">
        <x:v>E7070</x:v>
      </x:c>
      <x:c r="F392" s="7" t="str">
        <x:v>自動加工セル・工程集約</x:v>
      </x:c>
      <x:c r="G392" s="7" t="str">
        <x:v>原典抜粋：労働力不足や技術継承が製造業の課題となっている今、自動化・省人化ニーズが拡大し、熟練技能者の経験や勘に依存しない加工品質の実現が求められています。</x:v>
      </x:c>
      <x:c r="H392" s="7" t="str">
        <x:v>設備間の持替えや繰返し作業が、人手・待ち時間・品質差につながる。</x:v>
      </x:c>
      <x:c r="I392" s="7" t="str">
        <x:v>同一正規化名称の2024詳細なし。新規出展・技術不存在とは判断しない。</x:v>
      </x:c>
      <x:c r="J392" s="7" t="str">
        <x:v>2026原典抜粋：労働力不足や技術継承が製造業の課題となっている今、自動化・省人化ニーズが拡大し、熟練技能者の経験や勘に依存しない加工品質の実現が求められています。</x:v>
      </x:c>
      <x:c r="K392" s="7" t="str">
        <x:v>原典記述の対照。個別機能の追加・性能差・初登場年は未判定。</x:v>
      </x:c>
      <x:c r="L392" s="7" t="str">
        <x:v>年度資料不足・比較不能</x:v>
      </x:c>
      <x:c r="M392" s="7" t="str">
        <x:v>出展説明の一次分類</x:v>
      </x:c>
      <x:c r="N392" s="7" t="str"/>
      <x:c r="O392" s="7" t="str">
        <x:v>承認・例外対応・停止・復帰の境界は未確認</x:v>
      </x:c>
      <x:c r="P392" s="7" t="str">
        <x:v>2026公式カタログ掲載・現地未確認
2026展示予定。既存製品・参考出展・構想等は原典で個別確認</x:v>
      </x:c>
      <x:c r="Q392" s="7" t="str">
        <x:v>AC167</x:v>
      </x:c>
      <x:c t="str" r="R392" s="21">
        <x:f>HYPERLINK("https://www.jimtof.org/search/jp/ESdetails?e=Odvw9koeMx8","JIMTOF2026 出展ページ")</x:f>
        <x:v>JIMTOF2026 出展ページ</x:v>
      </x:c>
      <x:c r="S392" s="21" t="str"/>
      <x:c r="T392" s="7" t="str">
        <x:v>EEX-EXH-2026-434b1ee92cad6bf5: https://www.jimtof.org/search/jp/ESdetails?e=Odvw9koeMx8
該当箇所: 出展紹介・主な出展物。追加カードの原典抜粋で検索</x:v>
      </x:c>
    </x:row>
    <x:row r="393" ht="155" customHeight="1">
      <x:c r="A393" s="7" t="str">
        <x:v>段取り・物理作業</x:v>
      </x:c>
      <x:c r="B393" s="7" t="str">
        <x:v>自動加工セル・工程集約</x:v>
      </x:c>
      <x:c r="C393" s="20" t="str">
        <x:v>日藤ポリゴン株式会社</x:v>
      </x:c>
      <x:c r="D393" s="7" t="str">
        <x:v>ラジアルボール盤　NR-1600NCF</x:v>
      </x:c>
      <x:c r="E393" s="7" t="str">
        <x:v>S2006</x:v>
      </x:c>
      <x:c r="F393" s="7" t="str">
        <x:v>自動加工セル・工程集約</x:v>
      </x:c>
      <x:c r="G393" s="7" t="str">
        <x:v>原典抜粋：本機は、自動加工、自動バック座ぐり加工、自動断続加工が可能で、長時間の加工においても作業者の負担を軽減できる仕様となっております。 / ラジアルボール盤の加工でお困りの方や、自動化をご検討の方は、ぜひこの機会に実機の稼働をご覧ください。</x:v>
      </x:c>
      <x:c r="H393" s="7" t="str">
        <x:v>設備間の持替えや繰返し作業が、人手・待ち時間・品質差につながる。</x:v>
      </x:c>
      <x:c r="I393" s="7" t="str">
        <x:v>2024原典抜粋：弊社は、従来ご好評頂いていたX,Y,C軸の３軸数値制御のVS-200SからZ軸を搭載、X,Y,Z,C軸の４軸数値制御のVS-200Zを此度初出展致します。 Z軸をNC化することで、今まで手動で行っていた下死点調整やラムストロークの調整が容易にできるようになります。キー溝加工、スプライン加工、セレーション加工、内径多角加工などの加工に加え、VS-200Zでは新たにテーパー加工もできるようになりました。 XYCZ４軸CNC搭載スロッターマシンVS-200Z</x:v>
      </x:c>
      <x:c r="J393" s="7" t="str">
        <x:v>2026原典抜粋：本機は、自動加工、自動バック座ぐり加工、自動断続加工が可能で、長時間の加工においても作業者の負担を軽減できる仕様となっております。 / ラジアルボール盤の加工でお困りの方や、自動化をご検討の方は、ぜひこの機会に実機の稼働をご覧ください。</x:v>
      </x:c>
      <x:c r="K393" s="7" t="str">
        <x:v>原典記述の対照。個別機能の追加・性能差・初登場年は未判定。</x:v>
      </x:c>
      <x:c r="L393" s="7" t="str">
        <x:v>両年説明あり・機能差未判定</x:v>
      </x:c>
      <x:c r="M393" s="7" t="str">
        <x:v>出展説明の一次分類</x:v>
      </x:c>
      <x:c r="N393" s="7" t="str"/>
      <x:c r="O393" s="7" t="str">
        <x:v>承認・例外対応・停止・復帰の境界は未確認</x:v>
      </x:c>
      <x:c r="P393" s="7" t="str">
        <x:v>2026公式カタログ掲載・現地未確認
2026展示予定。既存製品・参考出展・構想等は原典で個別確認</x:v>
      </x:c>
      <x:c r="Q393" s="7" t="str">
        <x:v>AC170</x:v>
      </x:c>
      <x:c t="str" r="R393" s="21">
        <x:f>HYPERLINK("https://www.jimtof.org/search/jp/ESdetails?e=CnCZJeqDIuw","JIMTOF2026 出展ページ")</x:f>
        <x:v>JIMTOF2026 出展ページ</x:v>
      </x:c>
      <x:c t="str" r="S393" s="21">
        <x:f>HYPERLINK("https://www.jimtof.org/2024/search/jp/ESdetails?e=hZaNogHdQM4","JIMTOF2024 出展ページ")</x:f>
        <x:v>JIMTOF2024 出展ページ</x:v>
      </x:c>
      <x:c r="T393" s="7" t="str">
        <x:v>EEX-EXH-2026-c1d919f8942e67c7: https://www.jimtof.org/search/jp/ESdetails?e=CnCZJeqDIuw
該当箇所: 出展紹介・主な出展物。追加カードの原典抜粋で検索
EEX-EXH-2024-ba18dc271550f410: https://www.jimtof.org/2024/search/jp/ESdetails?e=hZaNogHdQM4
該当箇所: 出展紹介・主な出展物。追加カードの原典抜粋で検索</x:v>
      </x:c>
    </x:row>
    <x:row r="394" ht="155" customHeight="1">
      <x:c r="A394" s="7" t="str">
        <x:v>段取り・物理作業</x:v>
      </x:c>
      <x:c r="B394" s="7" t="str">
        <x:v>自動加工セル・工程集約</x:v>
      </x:c>
      <x:c r="C394" s="20" t="str">
        <x:v>ニデックオーケーケー株式会社</x:v>
      </x:c>
      <x:c r="D394" s="7" t="str">
        <x:v>①５軸制御立形マシニングセンタ　VB-X650</x:v>
      </x:c>
      <x:c r="E394" s="7" t="str">
        <x:v>E3012</x:v>
      </x:c>
      <x:c r="F394" s="7" t="str">
        <x:v>ワーク・パレット・切粉の搬送 ／ 自動加工セル・工程集約</x:v>
      </x:c>
      <x:c r="G394" s="7" t="str">
        <x:v>原典抜粋：大容量パレットストッカや拡張マガジンなどの豊富なオプションをご用意し、お客様の自動化・省力化に貢献するソリューションをご提案します。 / 砥石の自動工具交換機能やNC機能により、研削加工の自動化と高能率・高精度化を実現します。 / お客様の自動化・省力化に貢献します。</x:v>
      </x:c>
      <x:c r="H394" s="7" t="str">
        <x:v>品種・量の変化に合わせて人の供給往復を減らす。 ／ 設備間の持替えや繰返し作業が、人手・待ち時間・品質差につながる。</x:v>
      </x:c>
      <x:c r="I394" s="7" t="str">
        <x:v>2024原典抜粋：NIDECグループとしてニデックマシンツール・TAKISAWAとともに出展。 マシニングセンタの新モデル・新機能をご紹介。工程集約やリードタイム削減、加工精度向上、また自動化や省人化をご提案します。 ・5軸制御 横形マシニングセンタ [新製品] ・5軸制御 立形マシニングセンタVB-X650 ・横形マシニングセンタHMC500</x:v>
      </x:c>
      <x:c r="J394" s="7" t="str">
        <x:v>2026原典抜粋：大容量パレットストッカや拡張マガジンなどの豊富なオプションをご用意し、お客様の自動化・省力化に貢献するソリューションをご提案します。 / 砥石の自動工具交換機能やNC機能により、研削加工の自動化と高能率・高精度化を実現します。 / お客様の自動化・省力化に貢献します。</x:v>
      </x:c>
      <x:c r="K394" s="7" t="str">
        <x:v>原典記述の対照。個別機能の追加・性能差・初登場年は未判定。</x:v>
      </x:c>
      <x:c r="L394" s="7" t="str">
        <x:v>両年説明あり・機能差未判定</x:v>
      </x:c>
      <x:c r="M394" s="7" t="str">
        <x:v>出展説明の一次分類</x:v>
      </x:c>
      <x:c r="N394" s="7" t="str"/>
      <x:c r="O394" s="7" t="str">
        <x:v>承認・例外対応・停止・復帰の境界は未確認</x:v>
      </x:c>
      <x:c r="P394" s="7" t="str">
        <x:v>2026公式カタログ掲載・現地未確認
2026展示予定。既存製品・参考出展・構想等は原典で個別確認</x:v>
      </x:c>
      <x:c r="Q394" s="7" t="str">
        <x:v>AC171</x:v>
      </x:c>
      <x:c t="str" r="R394" s="21">
        <x:f>HYPERLINK("https://www.jimtof.org/search/jp/ESdetails?e=cIGcLA71ub0","JIMTOF2026 出展ページ")</x:f>
        <x:v>JIMTOF2026 出展ページ</x:v>
      </x:c>
      <x:c t="str" r="S394" s="21">
        <x:f>HYPERLINK("https://www.jimtof.org/2024/search/jp/ESdetails?e=15EOJWcvGE8","JIMTOF2024 出展ページ")</x:f>
        <x:v>JIMTOF2024 出展ページ</x:v>
      </x:c>
      <x:c r="T394" s="7" t="str">
        <x:v>EEX-EXH-2026-3211cafa924b2f84: https://www.jimtof.org/search/jp/ESdetails?e=cIGcLA71ub0
該当箇所: 出展紹介・主な出展物。追加カードの原典抜粋で検索
EEX-EXH-2024-44f5c8e1a79f9707: https://www.jimtof.org/2024/search/jp/ESdetails?e=15EOJWcvGE8
該当箇所: 出展紹介・主な出展物。追加カードの原典抜粋で検索</x:v>
      </x:c>
    </x:row>
    <x:row r="395" ht="155" customHeight="1">
      <x:c r="A395" s="7" t="str">
        <x:v>段取り・物理作業</x:v>
      </x:c>
      <x:c r="B395" s="7" t="str">
        <x:v>自動加工セル・工程集約</x:v>
      </x:c>
      <x:c r="C395" s="20" t="str">
        <x:v>日本オートマチックマシン株式会社</x:v>
      </x:c>
      <x:c r="D395" s="7" t="str">
        <x:v>新型の高速サーボプレスを用いた量産のご提案</x:v>
      </x:c>
      <x:c r="E395" s="7" t="str">
        <x:v>W2009</x:v>
      </x:c>
      <x:c r="F395" s="7" t="str">
        <x:v>認識を伴うピック・付帯加工・除去 ／ 自動加工セル・工程集約</x:v>
      </x:c>
      <x:c r="G395" s="7" t="str">
        <x:v>原典抜粋：最新のサーボプレスおよび油圧プレスを活用した自動化・省人化ソリューションをご提案します。 / さらに、刃の自動送り機構を搭載した新しい面取機を展示し、面取り作業の効率化や品質の安定化を実現する最新技術をご紹介します。 / ・新型の精密サーボプレスを用いた自動化のご提案 / ・油圧プレスと産業ロボットを用いた自動化のご提案</x:v>
      </x:c>
      <x:c r="H395" s="7" t="str">
        <x:v>形状や絡まりが変わる物理作業に固定手順で対応しにくい。 ／ 設備間の持替えや繰返し作業が、人手・待ち時間・品質差につながる。</x:v>
      </x:c>
      <x:c r="I395" s="7" t="str">
        <x:v>2024原典抜粋：【精密バイス】自動化、省人化へのご提案としてExc's(イクシーズ)シリーズを展示。 オートクランプバイスや自動搬送ロボットやCNC円テーブルとのコラボ展示で、自動搬送のイメージを具現化。自動化に不可欠な高精度バイスを多数出展する。 【プレス】新たに高速4柱サーボプレス”RSS1000P"を初公開。プレス機本体は当社独自のコンパクト設計で、生産ラインのレイアウトもしやすく省スペース化ができる。ストローク数は最大600s.p.m.まで設定可能なため、生産性向上にも貢献します。また新型プレス"Z"シリーズは高精度でカス</x:v>
      </x:c>
      <x:c r="J395" s="7" t="str">
        <x:v>2026原典抜粋：最新のサーボプレスおよび油圧プレスを活用した自動化・省人化ソリューションをご提案します。 / さらに、刃の自動送り機構を搭載した新しい面取機を展示し、面取り作業の効率化や品質の安定化を実現する最新技術をご紹介します。 / ・新型の精密サーボプレスを用いた自動化のご提案 / ・油圧プレスと産業ロボットを用いた自動化のご提案</x:v>
      </x:c>
      <x:c r="K395" s="7" t="str">
        <x:v>原典記述の対照。個別機能の追加・性能差・初登場年は未判定。</x:v>
      </x:c>
      <x:c r="L395" s="7" t="str">
        <x:v>両年説明あり・機能差未判定</x:v>
      </x:c>
      <x:c r="M395" s="7" t="str">
        <x:v>出展説明の一次分類</x:v>
      </x:c>
      <x:c r="N395" s="7" t="str"/>
      <x:c r="O395" s="7" t="str">
        <x:v>承認・例外対応・停止・復帰の境界は未確認</x:v>
      </x:c>
      <x:c r="P395" s="7" t="str">
        <x:v>2026公式カタログ掲載・現地未確認
2026展示予定。既存製品・参考出展・構想等は原典で個別確認</x:v>
      </x:c>
      <x:c r="Q395" s="7" t="str">
        <x:v>AC174</x:v>
      </x:c>
      <x:c t="str" r="R395" s="21">
        <x:f>HYPERLINK("https://www.jimtof.org/search/jp/ESdetails?e=sGohRmZeceo","JIMTOF2026 出展ページ")</x:f>
        <x:v>JIMTOF2026 出展ページ</x:v>
      </x:c>
      <x:c t="str" r="S395" s="21">
        <x:f>HYPERLINK("https://www.jimtof.org/2024/search/jp/ESdetails?e=gu-Bf9cZXn4","JIMTOF2024 出展ページ")</x:f>
        <x:v>JIMTOF2024 出展ページ</x:v>
      </x:c>
      <x:c r="T395" s="7" t="str">
        <x:v>EEX-EXH-2026-720ee83a35850033: https://www.jimtof.org/search/jp/ESdetails?e=sGohRmZeceo
該当箇所: 出展紹介・主な出展物。追加カードの原典抜粋で検索
EEX-EXH-2024-319924ee07900c3f: https://www.jimtof.org/2024/search/jp/ESdetails?e=gu-Bf9cZXn4
該当箇所: 出展紹介・主な出展物。追加カードの原典抜粋で検索</x:v>
      </x:c>
    </x:row>
    <x:row r="396" ht="155" customHeight="1">
      <x:c r="A396" s="7" t="str">
        <x:v>段取り・物理作業</x:v>
      </x:c>
      <x:c r="B396" s="7" t="str">
        <x:v>自動加工セル・工程集約</x:v>
      </x:c>
      <x:c r="C396" s="20" t="str">
        <x:v>日本精機株式会社</x:v>
      </x:c>
      <x:c r="D396" s="7" t="str">
        <x:v>静圧センタレスグラインダー：LSG-20（ロボットローダー仕様）</x:v>
      </x:c>
      <x:c r="E396" s="7" t="str">
        <x:v>E7092</x:v>
      </x:c>
      <x:c r="F396" s="7" t="str">
        <x:v>ワーク・パレット・切粉の搬送 ／ 自動加工セル・工程集約</x:v>
      </x:c>
      <x:c r="G396" s="7" t="str">
        <x:v>原典抜粋：機械精度・剛性・操作性といった機械本体の性能面向上だけでなく、自動化・省力化にも積極的に取り組み、出展機にはCNC装置やオートローダーを搭載して展示します。 / ●静圧センタレスグラインダー：LSG-20（ロボットローダー仕様） / 出展機は3軸CNC搭載型で、ロボット付きオートローダーが付属しております。 / 複雑な形状のワークを全自動でインフィード研削することができます。</x:v>
      </x:c>
      <x:c r="H396" s="7" t="str">
        <x:v>品種・量の変化に合わせて人の供給往復を減らす。 ／ 設備間の持替えや繰返し作業が、人手・待ち時間・品質差につながる。</x:v>
      </x:c>
      <x:c r="I396" s="7" t="str">
        <x:v>2024原典抜粋：静圧センタレスグラインダー2台を出展します。 機械精度・剛性・操作性といった機械本体の性能面向上だけでなく、自動化・省力化にも積極的に取り組み、出展機にはCNC装置やオートローダーを搭載して展示します。 高度化・省力化が進む加工現場の要求に応え得る、研削盤本機と周辺機器類の諸技術を組み合わせた研削加工システムを総合的にご提案致します。お客様の要望や課題解決の一助に、是非お立ち寄りください。 CNC静圧センタレスグラインダー「MSG-18」と「LSG-20」の2台を出展。 どちらの機種も主軸と調整車軸に静圧軸受を採用</x:v>
      </x:c>
      <x:c r="J396" s="7" t="str">
        <x:v>2026原典抜粋：機械精度・剛性・操作性といった機械本体の性能面向上だけでなく、自動化・省力化にも積極的に取り組み、出展機にはCNC装置やオートローダーを搭載して展示します。 / ●静圧センタレスグラインダー：LSG-20（ロボットローダー仕様） / 出展機は3軸CNC搭載型で、ロボット付きオートローダーが付属しております。 / 複雑な形状のワークを全自動でインフィード研削することができます。</x:v>
      </x:c>
      <x:c r="K396" s="7" t="str">
        <x:v>原典記述の対照。個別機能の追加・性能差・初登場年は未判定。</x:v>
      </x:c>
      <x:c r="L396" s="7" t="str">
        <x:v>両年説明あり・機能差未判定</x:v>
      </x:c>
      <x:c r="M396" s="7" t="str">
        <x:v>出展説明の一次分類</x:v>
      </x:c>
      <x:c r="N396" s="7" t="str"/>
      <x:c r="O396" s="7" t="str">
        <x:v>承認・例外対応・停止・復帰の境界は未確認</x:v>
      </x:c>
      <x:c r="P396" s="7" t="str">
        <x:v>2026公式カタログ掲載・現地未確認
2026展示予定。既存製品・参考出展・構想等は原典で個別確認</x:v>
      </x:c>
      <x:c r="Q396" s="7" t="str">
        <x:v>AC179</x:v>
      </x:c>
      <x:c t="str" r="R396" s="21">
        <x:f>HYPERLINK("https://www.jimtof.org/search/jp/ESdetails?e=Qva663phrKY","JIMTOF2026 出展ページ")</x:f>
        <x:v>JIMTOF2026 出展ページ</x:v>
      </x:c>
      <x:c t="str" r="S396" s="21">
        <x:f>HYPERLINK("https://www.jimtof.org/2024/search/jp/ESdetails?e=eCkrZJ7obRI","JIMTOF2024 出展ページ")</x:f>
        <x:v>JIMTOF2024 出展ページ</x:v>
      </x:c>
      <x:c r="T396" s="7" t="str">
        <x:v>EEX-EXH-2026-e68d8c12e3395528: https://www.jimtof.org/search/jp/ESdetails?e=Qva663phrKY
該当箇所: 出展紹介・主な出展物。追加カードの原典抜粋で検索
EEX-EXH-2024-354f4cd97c56470a: https://www.jimtof.org/2024/search/jp/ESdetails?e=eCkrZJ7obRI
該当箇所: 出展紹介・主な出展物。追加カードの原典抜粋で検索</x:v>
      </x:c>
    </x:row>
    <x:row r="397" ht="155" customHeight="1">
      <x:c r="A397" s="7" t="str">
        <x:v>段取り・物理作業</x:v>
      </x:c>
      <x:c r="B397" s="7" t="str">
        <x:v>自動加工セル・工程集約</x:v>
      </x:c>
      <x:c r="C397" s="20" t="str">
        <x:v>株式会社長谷川機械製作所</x:v>
      </x:c>
      <x:c r="D397" s="7" t="str">
        <x:v>展示会では、複合加工と自動化を軸に、当社の最新ソリューションを紹介します。</x:v>
      </x:c>
      <x:c r="E397" s="7" t="str">
        <x:v>E7051</x:v>
      </x:c>
      <x:c r="F397" s="7" t="str">
        <x:v>ワーク・パレット・切粉の搬送 ／ 自動加工セル・工程集約</x:v>
      </x:c>
      <x:c r="G397" s="7" t="str">
        <x:v>原典抜粋：今回の展示会では、「複合加工と自動化」をテーマに掲げます。 / 製造現場では人手不足への対応として自動化の重要性もますます高まっています。 / 展示会では、複合加工と自動化を軸に、当社の最新ソリューションを紹介します。 / 旋削機能を搭載した同時5軸マシニングセンタ「PM320-5XT」に自動供給ロボットを / 組み合わせた自動化システムを展示します。</x:v>
      </x:c>
      <x:c r="H397" s="7" t="str">
        <x:v>品種・量の変化に合わせて人の供給往復を減らす。 ／ 設備間の持替えや繰返し作業が、人手・待ち時間・品質差につながる。</x:v>
      </x:c>
      <x:c r="I397" s="7" t="str">
        <x:v>2024原典抜粋：「複合加工と自動化」をテーマにした。 高精度でコンパクトな複合加工機のニーズと、人手不足を解消するための自動化ニーズが高まる。 それらに応えるために、2スピンドル２タレットの複合加工機「CW42MY」だけでなく、小型精密CNCタレット旋盤「C42MYS」に協働ロボットを付加して展示する。 長谷川機械製作所の新製品、5軸精密マシニングセンタ「PM320-5X」。 オーバーハングを最小限に抑えた高剛性構造、振動及び熱変位解析を重ねた鋳物構造を採用 CNC傾斜円テーブルはバックラッシュを抑えたローラードライブにより高速か</x:v>
      </x:c>
      <x:c r="J397" s="7" t="str">
        <x:v>2026原典抜粋：今回の展示会では、「複合加工と自動化」をテーマに掲げます。 / 製造現場では人手不足への対応として自動化の重要性もますます高まっています。 / 展示会では、複合加工と自動化を軸に、当社の最新ソリューションを紹介します。 / 旋削機能を搭載した同時5軸マシニングセンタ「PM320-5XT」に自動供給ロボットを / 組み合わせた自動化システムを展示します。</x:v>
      </x:c>
      <x:c r="K397" s="7" t="str">
        <x:v>原典記述の対照。個別機能の追加・性能差・初登場年は未判定。</x:v>
      </x:c>
      <x:c r="L397" s="7" t="str">
        <x:v>両年説明あり・機能差未判定</x:v>
      </x:c>
      <x:c r="M397" s="7" t="str">
        <x:v>出展説明の一次分類</x:v>
      </x:c>
      <x:c r="N397" s="7" t="str"/>
      <x:c r="O397" s="7" t="str">
        <x:v>承認・例外対応・停止・復帰の境界は未確認</x:v>
      </x:c>
      <x:c r="P397" s="7" t="str">
        <x:v>2026公式カタログ掲載・現地未確認
2026展示予定。既存製品・参考出展・構想等は原典で個別確認</x:v>
      </x:c>
      <x:c r="Q397" s="7" t="str">
        <x:v>AC188</x:v>
      </x:c>
      <x:c t="str" r="R397" s="21">
        <x:f>HYPERLINK("https://www.jimtof.org/search/jp/ESdetails?e=gRk0brhHn-M","JIMTOF2026 出展ページ")</x:f>
        <x:v>JIMTOF2026 出展ページ</x:v>
      </x:c>
      <x:c t="str" r="S397" s="21">
        <x:f>HYPERLINK("https://www.jimtof.org/2024/search/jp/ESdetails?e=-bHzD_rkD3E","JIMTOF2024 出展ページ")</x:f>
        <x:v>JIMTOF2024 出展ページ</x:v>
      </x:c>
      <x:c r="T397" s="7" t="str">
        <x:v>EEX-EXH-2026-e84a14f7dc6094b9: https://www.jimtof.org/search/jp/ESdetails?e=gRk0brhHn-M
該当箇所: 出展紹介・主な出展物。追加カードの原典抜粋で検索
EEX-EXH-2024-448fe3cc2845819c: https://www.jimtof.org/2024/search/jp/ESdetails?e=-bHzD_rkD3E
該当箇所: 出展紹介・主な出展物。追加カードの原典抜粋で検索</x:v>
      </x:c>
    </x:row>
    <x:row r="398" ht="155" customHeight="1">
      <x:c r="A398" s="7" t="str">
        <x:v>段取り・物理作業</x:v>
      </x:c>
      <x:c r="B398" s="7" t="str">
        <x:v>自動加工セル・工程集約</x:v>
      </x:c>
      <x:c r="C398" s="20" t="str">
        <x:v>株式会社ファースト技研</x:v>
      </x:c>
      <x:c r="D398" s="7" t="str">
        <x:v>「スーパー割り切り：立型ターレットセンター(オートワークチェンジャー付)」</x:v>
      </x:c>
      <x:c r="E398" s="7" t="str">
        <x:v>S1006</x:v>
      </x:c>
      <x:c r="F398" s="7" t="str">
        <x:v>ワーク・パレット・切粉の搬送 ／ 自動加工セル・工程集約</x:v>
      </x:c>
      <x:c r="G398" s="7" t="str">
        <x:v>原典抜粋：■自動化にも完全対応 / ロボット含む搬送装置とのコンパクトかつ高効率な自動化ラインの構築が可能。</x:v>
      </x:c>
      <x:c r="H398" s="7" t="str">
        <x:v>品種・量の変化に合わせて人の供給往復を減らす。 ／ 設備間の持替えや繰返し作業が、人手・待ち時間・品質差につながる。</x:v>
      </x:c>
      <x:c r="I398" s="7" t="str">
        <x:v>2024原典抜粋：『省スペース』 『省エネルギー』 『低コスト』を実現した【割り切りシリーズ】 使いやすさ,コストパフォーマンスを徹底的に追求し、自動化システムが容易に出来る 「スーパー割り切り(小型ターレットセンター)＋AWC(オートワークチェンジャー）」に 割り切りローダー”キャリーくん”をセット展示いたします。 人手が足りないし、自動化をしたいがロボット操作に不慣れ・・・どうしよう・・・ ⇩ その悩み「割り切りローダー：キャリーくん」がスマートに運び、解決します！！ ◉シンプル構造で価格を抑えスマートに！！ ◉設備とセットでシ</x:v>
      </x:c>
      <x:c r="J398" s="7" t="str">
        <x:v>2026原典抜粋：■自動化にも完全対応 / ロボット含む搬送装置とのコンパクトかつ高効率な自動化ラインの構築が可能。</x:v>
      </x:c>
      <x:c r="K398" s="7" t="str">
        <x:v>原典記述の対照。個別機能の追加・性能差・初登場年は未判定。</x:v>
      </x:c>
      <x:c r="L398" s="7" t="str">
        <x:v>両年説明あり・機能差未判定</x:v>
      </x:c>
      <x:c r="M398" s="7" t="str">
        <x:v>出展説明の一次分類</x:v>
      </x:c>
      <x:c r="N398" s="7" t="str"/>
      <x:c r="O398" s="7" t="str">
        <x:v>承認・例外対応・停止・復帰の境界は未確認</x:v>
      </x:c>
      <x:c r="P398" s="7" t="str">
        <x:v>2026公式カタログ掲載・現地未確認
2026展示予定。既存製品・参考出展・構想等は原典で個別確認</x:v>
      </x:c>
      <x:c r="Q398" s="7" t="str">
        <x:v>AC193</x:v>
      </x:c>
      <x:c t="str" r="R398" s="21">
        <x:f>HYPERLINK("https://www.jimtof.org/search/jp/ESdetails?e=EE3GcaODxGA","JIMTOF2026 出展ページ")</x:f>
        <x:v>JIMTOF2026 出展ページ</x:v>
      </x:c>
      <x:c t="str" r="S398" s="21">
        <x:f>HYPERLINK("https://www.jimtof.org/2024/search/jp/ESdetails?e=xd6HijBGp38","JIMTOF2024 出展ページ")</x:f>
        <x:v>JIMTOF2024 出展ページ</x:v>
      </x:c>
      <x:c r="T398" s="7" t="str">
        <x:v>EEX-EXH-2026-c6b62421f514a00b: https://www.jimtof.org/search/jp/ESdetails?e=EE3GcaODxGA
該当箇所: 出展紹介・主な出展物。追加カードの原典抜粋で検索
EEX-EXH-2024-158d29a4db083695: https://www.jimtof.org/2024/search/jp/ESdetails?e=xd6HijBGp38
該当箇所: 出展紹介・主な出展物。追加カードの原典抜粋で検索</x:v>
      </x:c>
    </x:row>
    <x:row r="399" ht="155" customHeight="1">
      <x:c r="A399" s="7" t="str">
        <x:v>段取り・物理作業</x:v>
      </x:c>
      <x:c r="B399" s="7" t="str">
        <x:v>自動加工セル・工程集約</x:v>
      </x:c>
      <x:c r="C399" s="20" t="str">
        <x:v>フォルマー・ジャパン株式会社</x:v>
      </x:c>
      <x:c r="D399" s="7" t="str">
        <x:v>VGrind infinityは、直径0.2mmから200mmまでの工具加工に対応あらゆるサ イズを卓越した精度でカバーし、全円筒形状の工具も直径最大</x:v>
      </x:c>
      <x:c r="E399" s="7" t="str">
        <x:v>E2010</x:v>
      </x:c>
      <x:c r="F399" s="7" t="str">
        <x:v>自動加工セル・工程集約</x:v>
      </x:c>
      <x:c r="G399" s="7" t="str">
        <x:v>原典抜粋：独自のマシンコンセプトと最適化された自動化ソリューションにより、単なる研削盤ではなくまさに万能の存在。 / また、2本のスピンドルと研磨砥石および放電電極の自動交換によるVOLLMERの革新的な多面加工が可能なVHybrid260は、工具加工における2つの重要なプロセスを完全に統合するための鍵となる。 / また、自動化の真のオールラウンダーとして、あらゆる生 産ニーズに対応する多彩なオプションを提供。</x:v>
      </x:c>
      <x:c r="H399" s="7" t="str">
        <x:v>設備間の持替えや繰返し作業が、人手・待ち時間・品質差につながる。</x:v>
      </x:c>
      <x:c r="I399" s="7" t="str">
        <x:v>2024原典抜粋：従来の放電や研削に加え、VOLLMERはPCD工具レーザー加工機VLaser370を開発。本機の登場により回転工具を加工する弊社のラインナップは完全なものになりました。VOLLMERでブースでは日本初出展となるVLaser370をはじめ、最新型の超硬工具研削盤VGrind360S、工具研削・放電加工機VHybrid260の3機種を出展。回転工具の製造再研磨に対し最適な加工方法をご提案します。 貴社のニーズをお聞かせください。 /PCD工具用レーザー加工機 VLaser370 PCD、CVD-DやMCDといった素材の</x:v>
      </x:c>
      <x:c r="J399" s="7" t="str">
        <x:v>2026原典抜粋：独自のマシンコンセプトと最適化された自動化ソリューションにより、単なる研削盤ではなくまさに万能の存在。 / また、2本のスピンドルと研磨砥石および放電電極の自動交換によるVOLLMERの革新的な多面加工が可能なVHybrid260は、工具加工における2つの重要なプロセスを完全に統合するための鍵となる。 / また、自動化の真のオールラウンダーとして、あらゆる生 産ニーズに対応する多彩なオプションを提供。</x:v>
      </x:c>
      <x:c r="K399" s="7" t="str">
        <x:v>原典記述の対照。個別機能の追加・性能差・初登場年は未判定。</x:v>
      </x:c>
      <x:c r="L399" s="7" t="str">
        <x:v>両年説明あり・機能差未判定</x:v>
      </x:c>
      <x:c r="M399" s="7" t="str">
        <x:v>出展説明の一次分類</x:v>
      </x:c>
      <x:c r="N399" s="7" t="str"/>
      <x:c r="O399" s="7" t="str">
        <x:v>承認・例外対応・停止・復帰の境界は未確認</x:v>
      </x:c>
      <x:c r="P399" s="7" t="str">
        <x:v>2026公式カタログ掲載・現地未確認
2026展示予定。既存製品・参考出展・構想等は原典で個別確認</x:v>
      </x:c>
      <x:c r="Q399" s="7" t="str">
        <x:v>AC197</x:v>
      </x:c>
      <x:c t="str" r="R399" s="21">
        <x:f>HYPERLINK("https://www.jimtof.org/search/jp/ESdetails?e=WUN4zdX-bpQ","JIMTOF2026 出展ページ")</x:f>
        <x:v>JIMTOF2026 出展ページ</x:v>
      </x:c>
      <x:c t="str" r="S399" s="21">
        <x:f>HYPERLINK("https://www.jimtof.org/2024/search/jp/ESdetails?e=46cG1q7GwI4","JIMTOF2024 出展ページ")</x:f>
        <x:v>JIMTOF2024 出展ページ</x:v>
      </x:c>
      <x:c r="T399" s="7" t="str">
        <x:v>EEX-EXH-2026-7f8b2de5917f117e: https://www.jimtof.org/search/jp/ESdetails?e=WUN4zdX-bpQ
該当箇所: 出展紹介・主な出展物。追加カードの原典抜粋で検索
EEX-EXH-2024-49a513b8f3742299: https://www.jimtof.org/2024/search/jp/ESdetails?e=46cG1q7GwI4
該当箇所: 出展紹介・主な出展物。追加カードの原典抜粋で検索</x:v>
      </x:c>
    </x:row>
    <x:row r="400" ht="155" customHeight="1">
      <x:c r="A400" s="7" t="str">
        <x:v>段取り・物理作業</x:v>
      </x:c>
      <x:c r="B400" s="7" t="str">
        <x:v>自動加工セル・工程集約</x:v>
      </x:c>
      <x:c r="C400" s="20" t="str">
        <x:v>株式会社FUJI</x:v>
      </x:c>
      <x:c r="D400" s="7" t="str">
        <x:v>立型NC旋盤　「VN40」</x:v>
      </x:c>
      <x:c r="E400" s="7" t="str">
        <x:v>E3021</x:v>
      </x:c>
      <x:c r="F400" s="7" t="str">
        <x:v>爪・治具・ハンドと位置の段取り ／ 自動加工セル・工程集約</x:v>
      </x:c>
      <x:c r="G400" s="7" t="str">
        <x:v>原典抜粋：FUJIブースでは、『“つかみ方”で解決する自動化ソリューション』をコンセプトに、大径・重量物・異形ワークなど、従来は自動化が難しいとされてきた加工現場の課題に対する解決策をご提案します。 / 異形ワークのチャッキングを行うVN40、1スピンドルで表裏加工を完結するTN400ⅡR、大径・重量物ワークの半自動着脱に対応するACUFLEX400S、現場の工具・備品の受渡しを効率化するスマートロッカーシステムQuistを出展いたします。 / </x:v>
      </x:c>
      <x:c r="H400" s="7" t="str">
        <x:v>多品種で繰り返す機械的交換と再教示の負担。 ／ 設備間の持替えや繰返し作業が、人手・待ち時間・品質差につながる。</x:v>
      </x:c>
      <x:c r="I400" s="7" t="str">
        <x:v>2024原典抜粋：JIMTOF2024ではJIMTOF初出展となります新複合旋盤ACUFLEX 400Sをはじめ、FUJIのターンキーソリューションをテーマに、対向2軸旋盤 ANW400ⅢH、正面2軸旋盤 CSD300Ⅱ、NC旋盤 TN300Ⅱの3台を使ってFUJIの様々なターンキーの事例をご紹介します。 さらにはFUJIのスマートロッカーシステムQuistを使った治具や刃具管理の提案も致します。 Y軸付き１タレット複合旋盤「ACUFLEX 400S」 対向２軸旋盤「ANW400ⅢH」 正面２軸旋盤「CSD300Ⅱ」 NC旋盤「TN</x:v>
      </x:c>
      <x:c r="J400" s="7" t="str">
        <x:v>2026原典抜粋：FUJIブースでは、『“つかみ方”で解決する自動化ソリューション』をコンセプトに、大径・重量物・異形ワークなど、従来は自動化が難しいとされてきた加工現場の課題に対する解決策をご提案します。 / 異形ワークのチャッキングを行うVN40、1スピンドルで表裏加工を完結するTN400ⅡR、大径・重量物ワークの半自動着脱に対応するACUFLEX400S、現場の工具・備品の受渡しを効率化するスマートロッカーシステムQuistを出展いたします。 / </x:v>
      </x:c>
      <x:c r="K400" s="7" t="str">
        <x:v>原典記述の対照。個別機能の追加・性能差・初登場年は未判定。</x:v>
      </x:c>
      <x:c r="L400" s="7" t="str">
        <x:v>両年説明あり・機能差未判定</x:v>
      </x:c>
      <x:c r="M400" s="7" t="str">
        <x:v>出展説明の一次分類</x:v>
      </x:c>
      <x:c r="N400" s="7" t="str"/>
      <x:c r="O400" s="7" t="str">
        <x:v>承認・例外対応・停止・復帰の境界は未確認</x:v>
      </x:c>
      <x:c r="P400" s="7" t="str">
        <x:v>2026公式カタログ掲載・現地未確認
2026展示予定。既存製品・参考出展・構想等は原典で個別確認</x:v>
      </x:c>
      <x:c r="Q400" s="7" t="str">
        <x:v>AC198</x:v>
      </x:c>
      <x:c t="str" r="R400" s="21">
        <x:f>HYPERLINK("https://www.jimtof.org/search/jp/ESdetails?e=xJlXi-VNzio","JIMTOF2026 出展ページ")</x:f>
        <x:v>JIMTOF2026 出展ページ</x:v>
      </x:c>
      <x:c t="str" r="S400" s="21">
        <x:f>HYPERLINK("https://www.jimtof.org/2024/search/jp/ESdetails?e=UZiobfgROkY","JIMTOF2024 出展ページ")</x:f>
        <x:v>JIMTOF2024 出展ページ</x:v>
      </x:c>
      <x:c r="T400" s="7" t="str">
        <x:v>EEX-EXH-2026-c0de70c161714618: https://www.jimtof.org/search/jp/ESdetails?e=xJlXi-VNzio
該当箇所: 出展紹介・主な出展物。追加カードの原典抜粋で検索
EEX-EXH-2024-e023ed8f23dcf72e: https://www.jimtof.org/2024/search/jp/ESdetails?e=UZiobfgROkY
該当箇所: 出展紹介・主な出展物。追加カードの原典抜粋で検索</x:v>
      </x:c>
    </x:row>
    <x:row r="401" ht="155" customHeight="1">
      <x:c r="A401" s="7" t="str">
        <x:v>段取り・物理作業</x:v>
      </x:c>
      <x:c r="B401" s="7" t="str">
        <x:v>自動加工セル・工程集約</x:v>
      </x:c>
      <x:c r="C401" s="20" t="str">
        <x:v>株式会社富士機工</x:v>
      </x:c>
      <x:c r="D401" s="7" t="str">
        <x:v>油圧プレス機【デスクロータリー】金型載せ替え不要。段取り時間を生産時間に。</x:v>
      </x:c>
      <x:c r="E401" s="7" t="str">
        <x:v>E1043</x:v>
      </x:c>
      <x:c r="F401" s="7" t="str">
        <x:v>自動加工セル・工程集約</x:v>
      </x:c>
      <x:c r="G401" s="7" t="str">
        <x:v>原典抜粋：・【ボール盤NCβ２軸】自動位置決め装置付きで、長尺材の加工が速い。</x:v>
      </x:c>
      <x:c r="H401" s="7" t="str">
        <x:v>設備間の持替えや繰返し作業が、人手・待ち時間・品質差につながる。</x:v>
      </x:c>
      <x:c r="I401" s="7" t="str">
        <x:v>2024原典抜粋：開催当日は、パンチプレス・安全プレス機等を展示し実演加工を行う予定です。 メタルワークの省力化！ コストダウン！ 品質向上！さまざまな問題をご相談ください。 また、当社では新事業のエア漏れ診断サービスを始めました。 当日はサービスの概要のご説明をさせていただきます。 工場等でエア漏れによりロスしている電気代にご興味のある企業様、ぜひ当社ブースへお越しください。 社員一同心よりお待ちしております。 </x:v>
      </x:c>
      <x:c r="J401" s="7" t="str">
        <x:v>2026原典抜粋：・【ボール盤NCβ２軸】自動位置決め装置付きで、長尺材の加工が速い。</x:v>
      </x:c>
      <x:c r="K401" s="7" t="str">
        <x:v>原典記述の対照。個別機能の追加・性能差・初登場年は未判定。</x:v>
      </x:c>
      <x:c r="L401" s="7" t="str">
        <x:v>両年説明あり・機能差未判定</x:v>
      </x:c>
      <x:c r="M401" s="7" t="str">
        <x:v>出展説明の一次分類</x:v>
      </x:c>
      <x:c r="N401" s="7" t="str"/>
      <x:c r="O401" s="7" t="str">
        <x:v>承認・例外対応・停止・復帰の境界は未確認</x:v>
      </x:c>
      <x:c r="P401" s="7" t="str">
        <x:v>2026公式カタログ掲載・現地未確認
2026展示予定。既存製品・参考出展・構想等は原典で個別確認</x:v>
      </x:c>
      <x:c r="Q401" s="7" t="str">
        <x:v>AC199</x:v>
      </x:c>
      <x:c t="str" r="R401" s="21">
        <x:f>HYPERLINK("https://www.jimtof.org/search/jp/ESdetails?e=krDglZoYKFc","JIMTOF2026 出展ページ")</x:f>
        <x:v>JIMTOF2026 出展ページ</x:v>
      </x:c>
      <x:c t="str" r="S401" s="21">
        <x:f>HYPERLINK("https://www.jimtof.org/2024/search/jp/ESdetails?e=hGCfQjsQU9M","JIMTOF2024 出展ページ")</x:f>
        <x:v>JIMTOF2024 出展ページ</x:v>
      </x:c>
      <x:c r="T401" s="7" t="str">
        <x:v>EEX-EXH-2026-dfd6e029520a8dd8: https://www.jimtof.org/search/jp/ESdetails?e=krDglZoYKFc
該当箇所: 出展紹介・主な出展物。追加カードの原典抜粋で検索
EEX-EXH-2024-c93a9fa942eb32d2: https://www.jimtof.org/2024/search/jp/ESdetails?e=hGCfQjsQU9M
該当箇所: 出展紹介・主な出展物。追加カードの原典抜粋で検索</x:v>
      </x:c>
    </x:row>
    <x:row r="402" ht="155" customHeight="1">
      <x:c r="A402" s="7" t="str">
        <x:v>段取り・物理作業</x:v>
      </x:c>
      <x:c r="B402" s="7" t="str">
        <x:v>自動加工セル・工程集約</x:v>
      </x:c>
      <x:c r="C402" s="20" t="str">
        <x:v>牧野フライス精機株式会社</x:v>
      </x:c>
      <x:c r="D402" s="7" t="str">
        <x:v>高精密CNC工具研削盤SG10EX</x:v>
      </x:c>
      <x:c r="E402" s="7" t="str">
        <x:v>E7090</x:v>
      </x:c>
      <x:c r="F402" s="7" t="str">
        <x:v>自動計測・測定計画・品質データ ／ 自動加工セル・工程集約</x:v>
      </x:c>
      <x:c r="G402" s="7" t="str">
        <x:v>原典抜粋：弊社は、工具製造のさらなる高精度化・自動化を実現する最新技術を出展。 / 今回の展示では、新機種1台を含む計3台のCNC工具研削盤を出展するほか、内蔵型マイクロビジョンシステム「monocam2」の新機能を公開。 / また、小径工具の機内測定に対応する新システム「nanocam」を発表し、小径工具研削の新たなソリューションを提案。</x:v>
      </x:c>
      <x:c r="H402" s="7" t="str">
        <x:v>測定の段取り・搬送・記録に人手が残り、結果が加工改善につながりにくい。 ／ 設備間の持替えや繰返し作業が、人手・待ち時間・品質差につながる。</x:v>
      </x:c>
      <x:c r="I402" s="7" t="str">
        <x:v>2024原典抜粋：・Tool Creator® 標準工具から特殊工具まで対応する弊社の第三世代ソフトウェア。自動化などを想定し、様々な外部機器との連携やデータ読み込みなど、高度な拡張性を備える。 ・高精密CNC工具研削盤AGE30FX 自動ワーク交換装置と砥石・研削液ノズル交換装置を標準搭載した全自動機。会場では内蔵型マイクロビジョンシステムmonocam2による、最新の画像認識技術を使用した超硬ドリル刃先のホーニング加工デモを行う。 ・高精密CNC工具研削盤SG10 小径から中径工具を高精度に生産可能なコンパクト全自動機。会場では</x:v>
      </x:c>
      <x:c r="J402" s="7" t="str">
        <x:v>2026原典抜粋：弊社は、工具製造のさらなる高精度化・自動化を実現する最新技術を出展。 / 今回の展示では、新機種1台を含む計3台のCNC工具研削盤を出展するほか、内蔵型マイクロビジョンシステム「monocam2」の新機能を公開。 / また、小径工具の機内測定に対応する新システム「nanocam」を発表し、小径工具研削の新たなソリューションを提案。</x:v>
      </x:c>
      <x:c r="K402" s="7" t="str">
        <x:v>原典記述の対照。個別機能の追加・性能差・初登場年は未判定。</x:v>
      </x:c>
      <x:c r="L402" s="7" t="str">
        <x:v>両年説明あり・機能差未判定</x:v>
      </x:c>
      <x:c r="M402" s="7" t="str">
        <x:v>出展説明の一次分類</x:v>
      </x:c>
      <x:c r="N402" s="7" t="str"/>
      <x:c r="O402" s="7" t="str">
        <x:v>承認・例外対応・停止・復帰の境界は未確認</x:v>
      </x:c>
      <x:c r="P402" s="7" t="str">
        <x:v>2026公式カタログ掲載・現地未確認
2026展示予定。既存製品・参考出展・構想等は原典で個別確認</x:v>
      </x:c>
      <x:c r="Q402" s="7" t="str">
        <x:v>AC209</x:v>
      </x:c>
      <x:c t="str" r="R402" s="21">
        <x:f>HYPERLINK("https://www.jimtof.org/search/jp/ESdetails?e=jlC7OSSk2O4","JIMTOF2026 出展ページ")</x:f>
        <x:v>JIMTOF2026 出展ページ</x:v>
      </x:c>
      <x:c t="str" r="S402" s="21">
        <x:f>HYPERLINK("https://www.jimtof.org/2024/search/jp/ESdetails?e=uvTY1qMfjes","JIMTOF2024 出展ページ")</x:f>
        <x:v>JIMTOF2024 出展ページ</x:v>
      </x:c>
      <x:c r="T402" s="7" t="str">
        <x:v>EEX-EXH-2026-41a8f9ad241e4c0e: https://www.jimtof.org/search/jp/ESdetails?e=jlC7OSSk2O4
該当箇所: 出展紹介・主な出展物。追加カードの原典抜粋で検索
EEX-EXH-2024-8678f2b8e7d82522: https://www.jimtof.org/2024/search/jp/ESdetails?e=uvTY1qMfjes
該当箇所: 出展紹介・主な出展物。追加カードの原典抜粋で検索</x:v>
      </x:c>
    </x:row>
    <x:row r="403" ht="155" customHeight="1">
      <x:c r="A403" s="7" t="str">
        <x:v>段取り・物理作業</x:v>
      </x:c>
      <x:c r="B403" s="7" t="str">
        <x:v>自動加工セル・工程集約</x:v>
      </x:c>
      <x:c r="C403" s="20" t="str">
        <x:v>マツザワマシナリー株式会社</x:v>
      </x:c>
      <x:c r="D403" s="7" t="str">
        <x:v>（段差）円筒研削盤は、先進的な研削技術と研削盤製造の理念を融合して研究開発・製造され</x:v>
      </x:c>
      <x:c r="E403" s="7" t="str">
        <x:v>S1065</x:v>
      </x:c>
      <x:c r="F403" s="7" t="str">
        <x:v>認識を伴うピック・付帯加工・除去 ／ 自動加工セル・工程集約</x:v>
      </x:c>
      <x:c r="G403" s="7" t="str">
        <x:v>原典抜粋：たもので、円棒や異形ワークの横方向・半径方向研削に適用され、0.8-16/25mmの超硬合金棒材のショルダ径、 外径成形研削、複雑形状の工具、大長径比のダブルパンチ及び金型ワークの高速・高精度・全自動研削に用いられます。 / 全自動ツールポリッシュマシン / 切削工具の刃先R付けとポリッシングを自動化 / たもので、円棒や異形ワークの横方向・半径方向研削に適用され、0.8-16/25mmの超硬合金棒材のショルダ径、 外径成形研削、複雑形</x:v>
      </x:c>
      <x:c r="H403" s="7" t="str">
        <x:v>形状や絡まりが変わる物理作業に固定手順で対応しにくい。 ／ 設備間の持替えや繰返し作業が、人手・待ち時間・品質差につながる。</x:v>
      </x:c>
      <x:c r="I403" s="7" t="str">
        <x:v>2024原典抜粋：今までご好評いただいていた、各種工具研削盤メーカー松澤が新たに生まれ変わりマツザワマシナリーと して今回JIMTOFに出展させていただきました。同時に新しいマツザワマシナリーとして外周段付き円筒研削盤を販売させていただきます。従来の松澤の良い伝統を引き継ぎ、新しい未来に前進する意味でこの外周研削盤にMZを引き継ぎました。ぜひ、弊社のブースにお立ち寄りいただき我々の新しい決意を感じてください。 ８軸制御研削盤MZ-205 ブラストマシーン 測定器</x:v>
      </x:c>
      <x:c r="J403" s="7" t="str">
        <x:v>2026原典抜粋：たもので、円棒や異形ワークの横方向・半径方向研削に適用され、0.8-16/25mmの超硬合金棒材のショルダ径、 外径成形研削、複雑形状の工具、大長径比のダブルパンチ及び金型ワークの高速・高精度・全自動研削に用いられます。 / 全自動ツールポリッシュマシン / 切削工具の刃先R付けとポリッシングを自動化 / たもので、円棒や異形ワークの横方向・半径方向研削に適用され、0.8-16/25mmの超硬合金棒材のショルダ径、 外径成形研削、複雑形</x:v>
      </x:c>
      <x:c r="K403" s="7" t="str">
        <x:v>原典記述の対照。個別機能の追加・性能差・初登場年は未判定。</x:v>
      </x:c>
      <x:c r="L403" s="7" t="str">
        <x:v>両年説明あり・機能差未判定</x:v>
      </x:c>
      <x:c r="M403" s="7" t="str">
        <x:v>出展説明の一次分類</x:v>
      </x:c>
      <x:c r="N403" s="7" t="str"/>
      <x:c r="O403" s="7" t="str">
        <x:v>承認・例外対応・停止・復帰の境界は未確認</x:v>
      </x:c>
      <x:c r="P403" s="7" t="str">
        <x:v>2026公式カタログ掲載・現地未確認
2026展示予定。既存製品・参考出展・構想等は原典で個別確認</x:v>
      </x:c>
      <x:c r="Q403" s="7" t="str">
        <x:v>AC212</x:v>
      </x:c>
      <x:c t="str" r="R403" s="21">
        <x:f>HYPERLINK("https://www.jimtof.org/search/jp/ESdetails?e=z-dR3pMeEyA","JIMTOF2026 出展ページ")</x:f>
        <x:v>JIMTOF2026 出展ページ</x:v>
      </x:c>
      <x:c t="str" r="S403" s="21">
        <x:f>HYPERLINK("https://www.jimtof.org/2024/search/jp/ESdetails?e=zWtwHxsaw3Q","JIMTOF2024 出展ページ")</x:f>
        <x:v>JIMTOF2024 出展ページ</x:v>
      </x:c>
      <x:c r="T403" s="7" t="str">
        <x:v>EEX-EXH-2026-5b194844c6be3f53: https://www.jimtof.org/search/jp/ESdetails?e=z-dR3pMeEyA
該当箇所: 出展紹介・主な出展物。追加カードの原典抜粋で検索
EEX-EXH-2024-29beff07dabb63f0: https://www.jimtof.org/2024/search/jp/ESdetails?e=zWtwHxsaw3Q
該当箇所: 出展紹介・主な出展物。追加カードの原典抜粋で検索</x:v>
      </x:c>
    </x:row>
    <x:row r="404" ht="155" customHeight="1">
      <x:c r="A404" s="7" t="str">
        <x:v>段取り・物理作業</x:v>
      </x:c>
      <x:c r="B404" s="7" t="str">
        <x:v>自動加工セル・工程集約</x:v>
      </x:c>
      <x:c r="C404" s="20" t="str">
        <x:v>マツモト機械株式会社</x:v>
      </x:c>
      <x:c r="D404" s="7" t="str">
        <x:v>パイプえぐり加工機「Rカット」</x:v>
      </x:c>
      <x:c r="E404" s="7" t="str">
        <x:v>S1064</x:v>
      </x:c>
      <x:c r="F404" s="7" t="str">
        <x:v>認識を伴うピック・付帯加工・除去 ／ 自動加工セル・工程集約</x:v>
      </x:c>
      <x:c r="G404" s="7" t="str">
        <x:v>原典抜粋：弊社は、ロボットシステムやレーザ溶接システム、溶接装置とその周辺機器および自動機械の設計、製作を行っております。 / 本展示会では、パイプりぐり加工機、ベンディングロール、簡易自動溶接装置、固定管自動溶接装置の出展を予定しております。 / ・簡易自動溶接装置「トータルマック」 / ・デジタル制御・配管自動溶接装置</x:v>
      </x:c>
      <x:c r="H404" s="7" t="str">
        <x:v>形状や絡まりが変わる物理作業に固定手順で対応しにくい。 ／ 設備間の持替えや繰返し作業が、人手・待ち時間・品質差につながる。</x:v>
      </x:c>
      <x:c r="I404" s="7" t="str">
        <x:v>同一正規化名称の2024詳細なし。新規出展・技術不存在とは判断しない。</x:v>
      </x:c>
      <x:c r="J404" s="7" t="str">
        <x:v>2026原典抜粋：弊社は、ロボットシステムやレーザ溶接システム、溶接装置とその周辺機器および自動機械の設計、製作を行っております。 / 本展示会では、パイプりぐり加工機、ベンディングロール、簡易自動溶接装置、固定管自動溶接装置の出展を予定しております。 / ・簡易自動溶接装置「トータルマック」 / ・デジタル制御・配管自動溶接装置</x:v>
      </x:c>
      <x:c r="K404" s="7" t="str">
        <x:v>原典記述の対照。個別機能の追加・性能差・初登場年は未判定。</x:v>
      </x:c>
      <x:c r="L404" s="7" t="str">
        <x:v>年度資料不足・比較不能</x:v>
      </x:c>
      <x:c r="M404" s="7" t="str">
        <x:v>出展説明の一次分類</x:v>
      </x:c>
      <x:c r="N404" s="7" t="str"/>
      <x:c r="O404" s="7" t="str">
        <x:v>承認・例外対応・停止・復帰の境界は未確認</x:v>
      </x:c>
      <x:c r="P404" s="7" t="str">
        <x:v>2026公式カタログ掲載・現地未確認
2026展示予定。既存製品・参考出展・構想等は原典で個別確認</x:v>
      </x:c>
      <x:c r="Q404" s="7" t="str">
        <x:v>AC213</x:v>
      </x:c>
      <x:c t="str" r="R404" s="21">
        <x:f>HYPERLINK("https://www.jimtof.org/search/jp/ESdetails?e=yVcAwif6HR0","JIMTOF2026 出展ページ")</x:f>
        <x:v>JIMTOF2026 出展ページ</x:v>
      </x:c>
      <x:c r="S404" s="21" t="str"/>
      <x:c r="T404" s="7" t="str">
        <x:v>EEX-EXH-2026-bacd8437326ccedb: https://www.jimtof.org/search/jp/ESdetails?e=yVcAwif6HR0
該当箇所: 出展紹介・主な出展物。追加カードの原典抜粋で検索</x:v>
      </x:c>
    </x:row>
    <x:row r="405" ht="155" customHeight="1">
      <x:c r="A405" s="7" t="str">
        <x:v>段取り・物理作業</x:v>
      </x:c>
      <x:c r="B405" s="7" t="str">
        <x:v>自動加工セル・工程集約</x:v>
      </x:c>
      <x:c r="C405" s="20" t="str">
        <x:v>三井精機工業株式会社</x:v>
      </x:c>
      <x:c r="D405" s="7" t="str">
        <x:v>5軸制御横形マシニングセンタ　HPX63-5X</x:v>
      </x:c>
      <x:c r="E405" s="7" t="str">
        <x:v>E3029</x:v>
      </x:c>
      <x:c r="F405" s="7" t="str">
        <x:v>自動加工セル・工程集約</x:v>
      </x:c>
      <x:c r="G405" s="7" t="str">
        <x:v>原典抜粋：自動化をより効率よく行うためにU軸ストロークを最適化、対話型ソフト「G-MAPS」の直感操作で高精度加工と生産性の向上。</x:v>
      </x:c>
      <x:c r="H405" s="7" t="str">
        <x:v>設備間の持替えや繰返し作業が、人手・待ち時間・品質差につながる。</x:v>
      </x:c>
      <x:c r="I405" s="7" t="str">
        <x:v>2024原典抜粋：新機種の大型横形マシニングセンタ「HPX150」、更なる高精度を追求したジグ研削盤「J350GⅡ」の2台と省エネを極めた新機種のオイル式インバータコンプレッサ「ZV15AX3-R」を展示し、工作機械とコンプレッサが融合したカーボンニュートラルの事例をご紹介いたします。 ・大型横形マシニングセンタ HPX150 ・高精度ジグ研削盤 J350GⅡ ・オイル式インバーターコンプレッサ ZV15AX3-R</x:v>
      </x:c>
      <x:c r="J405" s="7" t="str">
        <x:v>2026原典抜粋：自動化をより効率よく行うためにU軸ストロークを最適化、対話型ソフト「G-MAPS」の直感操作で高精度加工と生産性の向上。</x:v>
      </x:c>
      <x:c r="K405" s="7" t="str">
        <x:v>原典記述の対照。個別機能の追加・性能差・初登場年は未判定。</x:v>
      </x:c>
      <x:c r="L405" s="7" t="str">
        <x:v>両年説明あり・機能差未判定</x:v>
      </x:c>
      <x:c r="M405" s="7" t="str">
        <x:v>出展説明の一次分類</x:v>
      </x:c>
      <x:c r="N405" s="7" t="str"/>
      <x:c r="O405" s="7" t="str">
        <x:v>承認・例外対応・停止・復帰の境界は未確認</x:v>
      </x:c>
      <x:c r="P405" s="7" t="str">
        <x:v>2026公式カタログ掲載・現地未確認
2026展示予定。既存製品・参考出展・構想等は原典で個別確認</x:v>
      </x:c>
      <x:c r="Q405" s="7" t="str">
        <x:v>AC219</x:v>
      </x:c>
      <x:c t="str" r="R405" s="21">
        <x:f>HYPERLINK("https://www.jimtof.org/search/jp/ESdetails?e=Nzaw4M44lcw","JIMTOF2026 出展ページ")</x:f>
        <x:v>JIMTOF2026 出展ページ</x:v>
      </x:c>
      <x:c t="str" r="S405" s="21">
        <x:f>HYPERLINK("https://www.jimtof.org/2024/search/jp/ESdetails?e=hIIJWwmaNOY","JIMTOF2024 出展ページ")</x:f>
        <x:v>JIMTOF2024 出展ページ</x:v>
      </x:c>
      <x:c r="T405" s="7" t="str">
        <x:v>EEX-EXH-2026-7fc72cdc86a3c989: https://www.jimtof.org/search/jp/ESdetails?e=Nzaw4M44lcw
該当箇所: 出展紹介・主な出展物。追加カードの原典抜粋で検索
EEX-EXH-2024-31180bf9a4f26c86: https://www.jimtof.org/2024/search/jp/ESdetails?e=hIIJWwmaNOY
該当箇所: 出展紹介・主な出展物。追加カードの原典抜粋で検索</x:v>
      </x:c>
    </x:row>
    <x:row r="406" ht="155" customHeight="1">
      <x:c r="A406" s="7" t="str">
        <x:v>段取り・物理作業</x:v>
      </x:c>
      <x:c r="B406" s="7" t="str">
        <x:v>自動加工セル・工程集約</x:v>
      </x:c>
      <x:c r="C406" s="20" t="str">
        <x:v>株式会社三井ハイテック</x:v>
      </x:c>
      <x:c r="D406" s="7" t="str">
        <x:v>精密NC研削盤(自動搬送、機上計測）</x:v>
      </x:c>
      <x:c r="E406" s="7" t="str">
        <x:v>E7071</x:v>
      </x:c>
      <x:c r="F406" s="7" t="str">
        <x:v>工場データ・計画・資源の連携 ／ 自動計測・測定計画・品質データ ／ 自動加工セル・工程集約</x:v>
      </x:c>
      <x:c r="G406" s="7" t="str">
        <x:v>原典抜粋：三井ハイテックは、精密加工を実現する小型多機能研削盤と、C&amp;Gシステムズの自動化生産支援システムを連携させたスマート研削加工ソリューションを展示します。 / デジタル技術を活用した作業の標準化、人的ミスの低減、効率的な工程管理により、段取り時間の短縮、品質の安定化、省人化を実現。 / ・精密NC研削盤(自動搬送、機上計測）</x:v>
      </x:c>
      <x:c r="H406" s="7" t="str">
        <x:v>現物・工具マスター・進捗が分断し変更に追従しにくい。 ／ 測定の段取り・搬送・記録に人手が残り、結果が加工改善につながりにくい。 ／ 設備間の持替えや繰返し作業が、人手・待ち時間・品質差につながる。</x:v>
      </x:c>
      <x:c r="I406" s="7" t="str">
        <x:v>2024原典抜粋：三井ハイテックは福岡県北九州市に本社を置く平面研削盤メーカーです。 この度、金型部品の基本となる超精密6面体の仕上げ加工を全自動で行うことができる自動外周6面加工機を新開発し、初めての展示会出展となりました。 本加工機は平面研削盤で加工を行う上で必要となる研削機能、ワーク搬送、ワークセット、測定、加工後の清掃といった全ての要素を人が介入する事無く完全自動で行うことが可能です。 本機は将来危ぶまれている人手不足の解消を目的として開発されており、熟練加工者が持つ研削技能の継承や若手加工者への教育を不要とします。これは金</x:v>
      </x:c>
      <x:c r="J406" s="7" t="str">
        <x:v>2026原典抜粋：三井ハイテックは、精密加工を実現する小型多機能研削盤と、C&amp;Gシステムズの自動化生産支援システムを連携させたスマート研削加工ソリューションを展示します。 / デジタル技術を活用した作業の標準化、人的ミスの低減、効率的な工程管理により、段取り時間の短縮、品質の安定化、省人化を実現。 / ・精密NC研削盤(自動搬送、機上計測）</x:v>
      </x:c>
      <x:c r="K406" s="7" t="str">
        <x:v>原典記述の対照。個別機能の追加・性能差・初登場年は未判定。</x:v>
      </x:c>
      <x:c r="L406" s="7" t="str">
        <x:v>両年説明あり・機能差未判定</x:v>
      </x:c>
      <x:c r="M406" s="7" t="str">
        <x:v>出展説明の一次分類</x:v>
      </x:c>
      <x:c r="N406" s="7" t="str"/>
      <x:c r="O406" s="7" t="str">
        <x:v>承認・例外対応・停止・復帰の境界は未確認</x:v>
      </x:c>
      <x:c r="P406" s="7" t="str">
        <x:v>2026公式カタログ掲載・現地未確認
2026展示予定。既存製品・参考出展・構想等は原典で個別確認</x:v>
      </x:c>
      <x:c r="Q406" s="7" t="str">
        <x:v>AC220</x:v>
      </x:c>
      <x:c t="str" r="R406" s="21">
        <x:f>HYPERLINK("https://www.jimtof.org/search/jp/ESdetails?e=qoCbIK0OzT4","JIMTOF2026 出展ページ")</x:f>
        <x:v>JIMTOF2026 出展ページ</x:v>
      </x:c>
      <x:c t="str" r="S406" s="21">
        <x:f>HYPERLINK("https://www.jimtof.org/2024/search/jp/ESdetails?e=s4tEvaiPXOo","JIMTOF2024 出展ページ")</x:f>
        <x:v>JIMTOF2024 出展ページ</x:v>
      </x:c>
      <x:c r="T406" s="7" t="str">
        <x:v>EEX-EXH-2026-8278ec058d2d2947: https://www.jimtof.org/search/jp/ESdetails?e=qoCbIK0OzT4
該当箇所: 出展紹介・主な出展物。追加カードの原典抜粋で検索
EEX-EXH-2024-02567a674fcc12c9: https://www.jimtof.org/2024/search/jp/ESdetails?e=s4tEvaiPXOo
該当箇所: 出展紹介・主な出展物。追加カードの原典抜粋で検索</x:v>
      </x:c>
    </x:row>
    <x:row r="407" ht="155" customHeight="1">
      <x:c r="A407" s="7" t="str">
        <x:v>段取り・物理作業</x:v>
      </x:c>
      <x:c r="B407" s="7" t="str">
        <x:v>自動加工セル・工程集約</x:v>
      </x:c>
      <x:c r="C407" s="20" t="str">
        <x:v>村田機械株式会社</x:v>
      </x:c>
      <x:c r="D407" s="7" t="str">
        <x:v>【NEW】大型・重量ワークの自動化</x:v>
      </x:c>
      <x:c r="E407" s="7" t="str">
        <x:v>E3031</x:v>
      </x:c>
      <x:c r="F407" s="7" t="str">
        <x:v>ワーク・パレット・切粉の搬送 ／ 自動加工セル・工程集約</x:v>
      </x:c>
      <x:c r="G407" s="7" t="str">
        <x:v>原典抜粋：製造業における人手不足や技能継承の課題を背景に、省人化・自動化へのニーズはますます高まっています。 / ムラテックでは、長年培ってきた自動化システムの実績とノウハウを活かし、生産現場に合わせた最適な自動化をご提案します。 / 今回の出展では、ガントリーローダによる大型・重量ワーク搬送の自動化を実現する立型CNCターニングセンタ「MVH600」や、 / これから自動化を始めるお客様に向け、導入しやすい自動化仕様をワンパッケージ化した「MS</x:v>
      </x:c>
      <x:c r="H407" s="7" t="str">
        <x:v>品種・量の変化に合わせて人の供給往復を減らす。 ／ 設備間の持替えや繰返し作業が、人手・待ち時間・品質差につながる。</x:v>
      </x:c>
      <x:c r="I407" s="7" t="str">
        <x:v>2024原典抜粋：昨今の労働人口問題やモノづくりにおける人手不足により、省人化や自動化が注目を集め、さまざまな生産現場に導入されています。かつては量産目的の自動化が一般的なイメージでしたが、現在では、それぞれの環境に最適な自動化が求められています。 ムラテックは、30年以上にわたる自動化生産システムの経験と実績を活かし、皆様に期待を抱いて頂けるような提案でご要望にお応えします。 今回の出展では生産設備の自動化だけでなく、材料投入や完成品の取り出し、段取り替えなど作業者の介入を要する場面での省人化・自動化をコンセプトとしました。お客様</x:v>
      </x:c>
      <x:c r="J407" s="7" t="str">
        <x:v>2026原典抜粋：製造業における人手不足や技能継承の課題を背景に、省人化・自動化へのニーズはますます高まっています。 / ムラテックでは、長年培ってきた自動化システムの実績とノウハウを活かし、生産現場に合わせた最適な自動化をご提案します。 / 今回の出展では、ガントリーローダによる大型・重量ワーク搬送の自動化を実現する立型CNCターニングセンタ「MVH600」や、 / これから自動化を始めるお客様に向け、導入しやすい自動化仕様をワンパッケージ化した「MS</x:v>
      </x:c>
      <x:c r="K407" s="7" t="str">
        <x:v>原典記述の対照。個別機能の追加・性能差・初登場年は未判定。</x:v>
      </x:c>
      <x:c r="L407" s="7" t="str">
        <x:v>両年説明あり・機能差未判定</x:v>
      </x:c>
      <x:c r="M407" s="7" t="str">
        <x:v>出展説明の一次分類</x:v>
      </x:c>
      <x:c r="N407" s="7" t="str"/>
      <x:c r="O407" s="7" t="str">
        <x:v>承認・例外対応・停止・復帰の境界は未確認</x:v>
      </x:c>
      <x:c r="P407" s="7" t="str">
        <x:v>2026公式カタログ掲載・現地未確認
2026展示予定。既存製品・参考出展・構想等は原典で個別確認</x:v>
      </x:c>
      <x:c r="Q407" s="7" t="str">
        <x:v>AC224</x:v>
      </x:c>
      <x:c t="str" r="R407" s="21">
        <x:f>HYPERLINK("https://www.jimtof.org/search/jp/ESdetails?e=Jc5GYaUqS1I","JIMTOF2026 出展ページ")</x:f>
        <x:v>JIMTOF2026 出展ページ</x:v>
      </x:c>
      <x:c t="str" r="S407" s="21">
        <x:f>HYPERLINK("https://www.jimtof.org/2024/search/jp/ESdetails?e=adMRptVL49I","JIMTOF2024 出展ページ")</x:f>
        <x:v>JIMTOF2024 出展ページ</x:v>
      </x:c>
      <x:c r="T407" s="7" t="str">
        <x:v>EEX-EXH-2026-8add052d1108d4ea: https://www.jimtof.org/search/jp/ESdetails?e=Jc5GYaUqS1I
該当箇所: 出展紹介・主な出展物。追加カードの原典抜粋で検索
EEX-EXH-2024-4853ea05faa8c415: https://www.jimtof.org/2024/search/jp/ESdetails?e=adMRptVL49I
該当箇所: 出展紹介・主な出展物。追加カードの原典抜粋で検索</x:v>
      </x:c>
    </x:row>
    <x:row r="408" ht="155" customHeight="1">
      <x:c r="A408" s="7" t="str">
        <x:v>段取り・物理作業</x:v>
      </x:c>
      <x:c r="B408" s="7" t="str">
        <x:v>自動加工セル・工程集約</x:v>
      </x:c>
      <x:c r="C408" s="20" t="str">
        <x:v>ユナイテッドグラインディング株式会社</x:v>
      </x:c>
      <x:c r="D408" s="7" t="str">
        <x:v>UNITED GRINDING GROUP</x:v>
      </x:c>
      <x:c r="E408" s="7" t="str">
        <x:v>E8001</x:v>
      </x:c>
      <x:c r="F408" s="7" t="str">
        <x:v>ワーク・パレット・切粉の搬送 ／ 自動加工セル・工程集約</x:v>
      </x:c>
      <x:c r="G408" s="7" t="str">
        <x:v>原典抜粋：工具製造から測定、自動化までをカバーするトータルソリューションをご紹介します。 / さらにBLOHM、JUNG、の技術・サービスもご紹介し、お客様の生産性向上、高精度化、自動化、省人化を支援します。 / ・AUTOMATED TOOL PRODUCTION（ATP）自動化責任者来日。 / 工具製造自動化のノウハウを直接ご相談いただけます。 / 工具製造、再研磨、測定、自動化までを含めたトータルソリューションをご提案いたします。</x:v>
      </x:c>
      <x:c r="H408" s="7" t="str">
        <x:v>品種・量の変化に合わせて人の供給往復を減らす。 ／ 設備間の持替えや繰返し作業が、人手・待ち時間・品質差につながる。</x:v>
      </x:c>
      <x:c r="I408" s="7" t="str">
        <x:v>同一正規化名称の2024詳細なし。新規出展・技術不存在とは判断しない。</x:v>
      </x:c>
      <x:c r="J408" s="7" t="str">
        <x:v>2026原典抜粋：工具製造から測定、自動化までをカバーするトータルソリューションをご紹介します。 / さらにBLOHM、JUNG、の技術・サービスもご紹介し、お客様の生産性向上、高精度化、自動化、省人化を支援します。 / ・AUTOMATED TOOL PRODUCTION（ATP）自動化責任者来日。 / 工具製造自動化のノウハウを直接ご相談いただけます。 / 工具製造、再研磨、測定、自動化までを含めたトータルソリューションをご提案いたします。</x:v>
      </x:c>
      <x:c r="K408" s="7" t="str">
        <x:v>原典記述の対照。個別機能の追加・性能差・初登場年は未判定。</x:v>
      </x:c>
      <x:c r="L408" s="7" t="str">
        <x:v>年度資料不足・比較不能</x:v>
      </x:c>
      <x:c r="M408" s="7" t="str">
        <x:v>出展説明の一次分類</x:v>
      </x:c>
      <x:c r="N408" s="7" t="str"/>
      <x:c r="O408" s="7" t="str">
        <x:v>承認・例外対応・停止・復帰の境界は未確認</x:v>
      </x:c>
      <x:c r="P408" s="7" t="str">
        <x:v>2026公式カタログ掲載・現地未確認
2026展示予定。既存製品・参考出展・構想等は原典で個別確認</x:v>
      </x:c>
      <x:c r="Q408" s="7" t="str">
        <x:v>AC235</x:v>
      </x:c>
      <x:c t="str" r="R408" s="21">
        <x:f>HYPERLINK("https://www.jimtof.org/search/jp/ESdetails?e=21UIMFf4EUI","JIMTOF2026 出展ページ")</x:f>
        <x:v>JIMTOF2026 出展ページ</x:v>
      </x:c>
      <x:c r="S408" s="21" t="str"/>
      <x:c r="T408" s="7" t="str">
        <x:v>EEX-EXH-2026-54c4a3eb1080a3bb: https://www.jimtof.org/search/jp/ESdetails?e=21UIMFf4EUI
該当箇所: 出展紹介・主な出展物。追加カードの原典抜粋で検索</x:v>
      </x:c>
    </x:row>
    <x:row r="409" ht="155" customHeight="1">
      <x:c r="A409" s="7" t="str">
        <x:v>段取り・物理作業</x:v>
      </x:c>
      <x:c r="B409" s="7" t="str">
        <x:v>自動加工セル・工程集約</x:v>
      </x:c>
      <x:c r="C409" s="20" t="str">
        <x:v>ユナイテッドマシニング株式会社</x:v>
      </x:c>
      <x:c r="D409" s="7" t="str">
        <x:v>高精度3Dフェムト秒レーザ加工機、CUT P 350 ワイヤ放電加工機</x:v>
      </x:c>
      <x:c r="E409" s="7" t="str">
        <x:v>E8001</x:v>
      </x:c>
      <x:c r="F409" s="7" t="str">
        <x:v>自動加工セル・工程集約</x:v>
      </x:c>
      <x:c r="G409" s="7" t="str">
        <x:v>原典抜粋：さらに、高性能スピンドル、自動化、デジタル化ソリューションにより、直感的な操作を通じて生産性・効率・使いやすさを向上させます。</x:v>
      </x:c>
      <x:c r="H409" s="7" t="str">
        <x:v>設備間の持替えや繰返し作業が、人手・待ち時間・品質差につながる。</x:v>
      </x:c>
      <x:c r="I409" s="7" t="str">
        <x:v>同一正規化名称の2024詳細なし。新規出展・技術不存在とは判断しない。</x:v>
      </x:c>
      <x:c r="J409" s="7" t="str">
        <x:v>2026原典抜粋：さらに、高性能スピンドル、自動化、デジタル化ソリューションにより、直感的な操作を通じて生産性・効率・使いやすさを向上させます。</x:v>
      </x:c>
      <x:c r="K409" s="7" t="str">
        <x:v>原典記述の対照。個別機能の追加・性能差・初登場年は未判定。</x:v>
      </x:c>
      <x:c r="L409" s="7" t="str">
        <x:v>年度資料不足・比較不能</x:v>
      </x:c>
      <x:c r="M409" s="7" t="str">
        <x:v>出展説明の一次分類</x:v>
      </x:c>
      <x:c r="N409" s="7" t="str"/>
      <x:c r="O409" s="7" t="str">
        <x:v>承認・例外対応・停止・復帰の境界は未確認</x:v>
      </x:c>
      <x:c r="P409" s="7" t="str">
        <x:v>2026公式カタログ掲載・現地未確認
2026展示予定。既存製品・参考出展・構想等は原典で個別確認</x:v>
      </x:c>
      <x:c r="Q409" s="7" t="str">
        <x:v>AC236</x:v>
      </x:c>
      <x:c t="str" r="R409" s="21">
        <x:f>HYPERLINK("https://www.jimtof.org/search/jp/ESdetails?e=C2YWs9rQy3U","JIMTOF2026 出展ページ")</x:f>
        <x:v>JIMTOF2026 出展ページ</x:v>
      </x:c>
      <x:c r="S409" s="21" t="str"/>
      <x:c r="T409" s="7" t="str">
        <x:v>EEX-EXH-2026-0c463f125124710f: https://www.jimtof.org/search/jp/ESdetails?e=C2YWs9rQy3U
該当箇所: 出展紹介・主な出展物。追加カードの原典抜粋で検索</x:v>
      </x:c>
    </x:row>
    <x:row r="410" ht="155" customHeight="1">
      <x:c r="A410" s="7" t="str">
        <x:v>段取り・物理作業</x:v>
      </x:c>
      <x:c r="B410" s="7" t="str">
        <x:v>自動加工セル・工程集約</x:v>
      </x:c>
      <x:c r="C410" s="20" t="str">
        <x:v>吉川鐵工株式会社</x:v>
      </x:c>
      <x:c r="D410" s="7" t="str">
        <x:v>①FRE-01搭載 XY卓上自動機</x:v>
      </x:c>
      <x:c r="E410" s="7" t="str">
        <x:v>E7055</x:v>
      </x:c>
      <x:c r="F410" s="7" t="str">
        <x:v>認識を伴うピック・付帯加工・除去 ／ 自動加工セル・工程集約</x:v>
      </x:c>
      <x:c r="G410" s="7" t="str">
        <x:v>原典抜粋：【省人化・自動化】 / 供給・搬送・カシメ・取出しまで、工程の自動化 / ①FRE-01搭載 XY卓上自動機 / ②FRE-05+リベット自動供給装置+協働ロボット / 電動サーボタイプのリベッティング・マシンに、リベット自動供給装置及び協働ロボットアームを取付けた装置。 / 部品およびリベットの供給→組立→カシメ→搬出といった工程の自動化イメージをご紹介。</x:v>
      </x:c>
      <x:c r="H410" s="7" t="str">
        <x:v>形状や絡まりが変わる物理作業に固定手順で対応しにくい。 ／ 設備間の持替えや繰返し作業が、人手・待ち時間・品質差につながる。</x:v>
      </x:c>
      <x:c r="I410" s="7" t="str">
        <x:v>2024原典抜粋：リベッティング・マシンにしか加工できない様々なカシメを紹介。 ・【生産性向上】リベット自動供給装置 ・【1工程で綺麗な仕上がり】絞り加工カシメ ・【カシメのカスタマイズ】様々なインサートによるリベット形状の違い ・【脱属人化】ユーザーフレンドリーな新型コントローラー ・【労働環境良化・疲労軽減】新型スイッチ ①FRE-05＋リベット自動供給＋協働ロボット 電動サーボタイプのリベッティング・マシンに、リベット自動供給装置及び協働ロボットアームを取付けた装置。部品及びリベットの供給→組立→カシメ→搬出といった工程の自動</x:v>
      </x:c>
      <x:c r="J410" s="7" t="str">
        <x:v>2026原典抜粋：【省人化・自動化】 / 供給・搬送・カシメ・取出しまで、工程の自動化 / ①FRE-01搭載 XY卓上自動機 / ②FRE-05+リベット自動供給装置+協働ロボット / 電動サーボタイプのリベッティング・マシンに、リベット自動供給装置及び協働ロボットアームを取付けた装置。 / 部品およびリベットの供給→組立→カシメ→搬出といった工程の自動化イメージをご紹介。</x:v>
      </x:c>
      <x:c r="K410" s="7" t="str">
        <x:v>原典記述の対照。個別機能の追加・性能差・初登場年は未判定。</x:v>
      </x:c>
      <x:c r="L410" s="7" t="str">
        <x:v>両年説明あり・機能差未判定</x:v>
      </x:c>
      <x:c r="M410" s="7" t="str">
        <x:v>出展説明の一次分類</x:v>
      </x:c>
      <x:c r="N410" s="7" t="str"/>
      <x:c r="O410" s="7" t="str">
        <x:v>承認・例外対応・停止・復帰の境界は未確認</x:v>
      </x:c>
      <x:c r="P410" s="7" t="str">
        <x:v>2026公式カタログ掲載・現地未確認
2026展示予定。既存製品・参考出展・構想等は原典で個別確認</x:v>
      </x:c>
      <x:c r="Q410" s="7" t="str">
        <x:v>AC238</x:v>
      </x:c>
      <x:c t="str" r="R410" s="21">
        <x:f>HYPERLINK("https://www.jimtof.org/search/jp/ESdetails?e=HjByZxxPSok","JIMTOF2026 出展ページ")</x:f>
        <x:v>JIMTOF2026 出展ページ</x:v>
      </x:c>
      <x:c t="str" r="S410" s="21">
        <x:f>HYPERLINK("https://www.jimtof.org/2024/search/jp/ESdetails?e=SnqZSY1MFMk","JIMTOF2024 出展ページ")</x:f>
        <x:v>JIMTOF2024 出展ページ</x:v>
      </x:c>
      <x:c r="T410" s="7" t="str">
        <x:v>EEX-EXH-2026-43847f0d8d9f485f: https://www.jimtof.org/search/jp/ESdetails?e=HjByZxxPSok
該当箇所: 出展紹介・主な出展物。追加カードの原典抜粋で検索
EEX-EXH-2024-d565dd3e7eb0517e: https://www.jimtof.org/2024/search/jp/ESdetails?e=SnqZSY1MFMk
該当箇所: 出展紹介・主な出展物。追加カードの原典抜粋で検索</x:v>
      </x:c>
    </x:row>
    <x:row r="411" ht="155" customHeight="1">
      <x:c r="A411" s="7" t="str">
        <x:v>段取り・物理作業</x:v>
      </x:c>
      <x:c r="B411" s="7" t="str">
        <x:v>自動加工セル・工程集約</x:v>
      </x:c>
      <x:c r="C411" s="20" t="str">
        <x:v>碌々スマートテクノロジー株式会社</x:v>
      </x:c>
      <x:c r="D411" s="7" t="str">
        <x:v>超高精度高速微細加工機　AndroidⅢ</x:v>
      </x:c>
      <x:c r="E411" s="7" t="str">
        <x:v>E2025</x:v>
      </x:c>
      <x:c r="F411" s="7" t="str">
        <x:v>自動加工セル・工程集約</x:v>
      </x:c>
      <x:c r="G411" s="7" t="str">
        <x:v>原典抜粋：微細加工における「困りごと」である加工技術、補正技術、可視化技術、計測技術、予測技術、自動化技術など、さまざまな課題の解決に向けて、お客様の課題解決と成果創出に貢献するソリューションカンパニーとして、最適なご提案をいたします。</x:v>
      </x:c>
      <x:c r="H411" s="7" t="str">
        <x:v>設備間の持替えや繰返し作業が、人手・待ち時間・品質差につながる。</x:v>
      </x:c>
      <x:c r="I411" s="7" t="str">
        <x:v>2024原典抜粋：当社の出展テーマは「微細加工のソリューションカンパニーへ」。 切削加工だけではなく、研削加工までを網羅する複合微細加工機、高精度加工と自動搬送を両立したMEGA、新たに高速主軸を手に入れたVisionを出展いたします。 加えて、本展示会ではマシンだけではなく最新の加工サンプルや画期的なソフトウェアを展示します。是非、新生碌々のトータルソリューション提案を会場でご覧ください。 複合仕様コンセプトマシン 高精度高速小径微細加工機「MEGA-Ⅶ」 超高精度高速微細加工機「Vision-600」</x:v>
      </x:c>
      <x:c r="J411" s="7" t="str">
        <x:v>2026原典抜粋：微細加工における「困りごと」である加工技術、補正技術、可視化技術、計測技術、予測技術、自動化技術など、さまざまな課題の解決に向けて、お客様の課題解決と成果創出に貢献するソリューションカンパニーとして、最適なご提案をいたします。</x:v>
      </x:c>
      <x:c r="K411" s="7" t="str">
        <x:v>原典記述の対照。個別機能の追加・性能差・初登場年は未判定。</x:v>
      </x:c>
      <x:c r="L411" s="7" t="str">
        <x:v>両年説明あり・機能差未判定</x:v>
      </x:c>
      <x:c r="M411" s="7" t="str">
        <x:v>出展説明の一次分類</x:v>
      </x:c>
      <x:c r="N411" s="7" t="str"/>
      <x:c r="O411" s="7" t="str">
        <x:v>承認・例外対応・停止・復帰の境界は未確認</x:v>
      </x:c>
      <x:c r="P411" s="7" t="str">
        <x:v>2026公式カタログ掲載・現地未確認
2026展示予定。既存製品・参考出展・構想等は原典で個別確認</x:v>
      </x:c>
      <x:c r="Q411" s="7" t="str">
        <x:v>AC244</x:v>
      </x:c>
      <x:c t="str" r="R411" s="21">
        <x:f>HYPERLINK("https://www.jimtof.org/search/jp/ESdetails?e=qZD6fx1n_QM","JIMTOF2026 出展ページ")</x:f>
        <x:v>JIMTOF2026 出展ページ</x:v>
      </x:c>
      <x:c t="str" r="S411" s="21">
        <x:f>HYPERLINK("https://www.jimtof.org/2024/search/jp/ESdetails?e=5YM1aAp3B-4","JIMTOF2024 出展ページ")</x:f>
        <x:v>JIMTOF2024 出展ページ</x:v>
      </x:c>
      <x:c r="T411" s="7" t="str">
        <x:v>EEX-EXH-2026-06412089488b96b5: https://www.jimtof.org/search/jp/ESdetails?e=qZD6fx1n_QM
該当箇所: 出展紹介・主な出展物。追加カードの原典抜粋で検索
EEX-EXH-2024-7450f69b863569d6: https://www.jimtof.org/2024/search/jp/ESdetails?e=5YM1aAp3B-4
該当箇所: 出展紹介・主な出展物。追加カードの原典抜粋で検索</x:v>
      </x:c>
    </x:row>
    <x:row r="412" ht="155" customHeight="1">
      <x:c r="A412" s="7" t="str">
        <x:v>段取り・物理作業</x:v>
      </x:c>
      <x:c r="B412" s="7" t="str">
        <x:v>自動加工セル・工程集約</x:v>
      </x:c>
      <x:c r="C412" s="20" t="str">
        <x:v>Rollomatic Japan株式会社</x:v>
      </x:c>
      <x:c r="D412" s="7" t="str">
        <x:v>Road to Automation：工具研削の自律性向上提案</x:v>
      </x:c>
      <x:c r="E412" s="7" t="str">
        <x:v>S2005</x:v>
      </x:c>
      <x:c r="F412" s="7" t="str">
        <x:v>自動加工セル・工程集約 ／ 作業分析・技能継承・教育</x:v>
      </x:c>
      <x:c r="G412" s="7" t="str">
        <x:v>研削高度化、接続、情報・教育・運用支援を含む6段階の自動化を提案。</x:v>
      </x:c>
      <x:c r="H412" s="7" t="str">
        <x:v>設備間の持替えや繰返し作業が、人手・待ち時間・品質差につながる。 ／ 作業を記録・分析し、改善点や技能を共有する負担がある。</x:v>
      </x:c>
      <x:c r="I412" s="7" t="str">
        <x:v>同一名称の2024詳細なし。</x:v>
      </x:c>
      <x:c r="J412" s="7" t="str">
        <x:v>研削高度化、接続、情報・教育・運用支援を含む6段階の自動化を提案。</x:v>
      </x:c>
      <x:c r="K412" s="7" t="str">
        <x:v>2024差分は比較不能。自律性を高める具体製品・判断対象は記述不足。</x:v>
      </x:c>
      <x:c r="L412" s="7" t="str">
        <x:v>年度資料不足・比較不能</x:v>
      </x:c>
      <x:c r="M412" s="7" t="str">
        <x:v>出展説明の一次分類</x:v>
      </x:c>
      <x:c r="N412" s="7" t="str"/>
      <x:c r="O412" s="7" t="str">
        <x:v>承認・例外対応・停止・復帰の境界は未確認</x:v>
      </x:c>
      <x:c r="P412" s="7" t="str">
        <x:v>2026公式カタログ掲載・現地未確認
2026展示予定。既存製品・参考出展・構想等は原典で個別確認</x:v>
      </x:c>
      <x:c r="Q412" s="7" t="str">
        <x:v>AC245</x:v>
      </x:c>
      <x:c t="str" r="R412" s="21">
        <x:f>HYPERLINK("https://www.jimtof.org/search/jp/ESdetails?e=9af8P2FUMY8","JIMTOF2026 出展ページ")</x:f>
        <x:v>JIMTOF2026 出展ページ</x:v>
      </x:c>
      <x:c r="S412" s="21" t="str"/>
      <x:c r="T412" s="7" t="str">
        <x:v>EEX-EXH-2026-d26755a7bc74fe39: https://www.jimtof.org/search/jp/ESdetails?e=9af8P2FUMY8
該当箇所: 出展紹介・主な出展物。追加カードの原典抜粋で検索</x:v>
      </x:c>
    </x:row>
    <x:row r="413" ht="155" customHeight="1">
      <x:c r="A413" s="7" t="str">
        <x:v>段取り・物理作業</x:v>
      </x:c>
      <x:c r="B413" s="7" t="str">
        <x:v>自動加工セル・工程集約</x:v>
      </x:c>
      <x:c r="C413" s="20" t="str">
        <x:v>株式会社和井田製作所</x:v>
      </x:c>
      <x:c r="D413" s="7" t="str">
        <x:v>1. デジタルプロファイル研削盤 SPG-XV：AR砥石表示とリアルタイムギャップ表示で加工状態を見える化し、スキルレスで高精度・高再現性の加工を実現</x:v>
      </x:c>
      <x:c r="E413" s="7" t="str">
        <x:v>E7098</x:v>
      </x:c>
      <x:c r="F413" s="7" t="str">
        <x:v>自動加工セル・工程集約</x:v>
      </x:c>
      <x:c r="G413" s="7" t="str">
        <x:v>原典抜粋：1. デジタルプロファイル研削盤 SPG-XV：AR砥石表示とリアルタイムギャップ表示で加工状態を見える化し、スキルレスで高精度・高再現性の加工を実現します。 / 3.全自動インサート外周研削盤 APX-40W：ワーク傾き計測装置によりダイレクトクラ / 4.全自動6軸刃先研削盤 GIG-202：全自動5軸インサート研削盤に回転割出装置を追加した6軸機。 / 交換式ボールカッターなど直刃工具の刃先加工に対応し、HSKツーリングによる自動</x:v>
      </x:c>
      <x:c r="H413" s="7" t="str">
        <x:v>設備間の持替えや繰返し作業が、人手・待ち時間・品質差につながる。</x:v>
      </x:c>
      <x:c r="I413" s="7" t="str">
        <x:v>2024原典抜粋：「研削盤の新時代 ～自動化と究極の精度の融合～」をテーマに5種類の機種をご紹介いたします。 出展機種：SPG-Z1(NEW!)、APX-30(NEW!)、SPG-XV、SJG-L1、DCG-G1 1. デジタルプロファイル研削盤 SPG-Z1：デジタルプロファイル研削盤に協働ロボットとATC/AWCを搭載。自動加工だけではなく、オペレーターによる加工も想定したフレキシブルな運用を可能とし、新たなプロファイル研削盤の自動化を提案いたします。 2.全自動インサート外周研削盤 APX-30 ：サイクルタイム低減、消費電力</x:v>
      </x:c>
      <x:c r="J413" s="7" t="str">
        <x:v>2026原典抜粋：1. デジタルプロファイル研削盤 SPG-XV：AR砥石表示とリアルタイムギャップ表示で加工状態を見える化し、スキルレスで高精度・高再現性の加工を実現します。 / 3.全自動インサート外周研削盤 APX-40W：ワーク傾き計測装置によりダイレクトクラ / 4.全自動6軸刃先研削盤 GIG-202：全自動5軸インサート研削盤に回転割出装置を追加した6軸機。 / 交換式ボールカッターなど直刃工具の刃先加工に対応し、HSKツーリングによる自動</x:v>
      </x:c>
      <x:c r="K413" s="7" t="str">
        <x:v>原典記述の対照。個別機能の追加・性能差・初登場年は未判定。</x:v>
      </x:c>
      <x:c r="L413" s="7" t="str">
        <x:v>両年説明あり・機能差未判定</x:v>
      </x:c>
      <x:c r="M413" s="7" t="str">
        <x:v>出展説明の一次分類</x:v>
      </x:c>
      <x:c r="N413" s="7" t="str"/>
      <x:c r="O413" s="7" t="str">
        <x:v>承認・例外対応・停止・復帰の境界は未確認</x:v>
      </x:c>
      <x:c r="P413" s="7" t="str">
        <x:v>2026公式カタログ掲載・現地未確認
2026展示予定。既存製品・参考出展・構想等は原典で個別確認</x:v>
      </x:c>
      <x:c r="Q413" s="7" t="str">
        <x:v>AC247</x:v>
      </x:c>
      <x:c t="str" r="R413" s="21">
        <x:f>HYPERLINK("https://www.jimtof.org/search/jp/ESdetails?e=TQR71SThQ18","JIMTOF2026 出展ページ")</x:f>
        <x:v>JIMTOF2026 出展ページ</x:v>
      </x:c>
      <x:c t="str" r="S413" s="21">
        <x:f>HYPERLINK("https://www.jimtof.org/2024/search/jp/ESdetails?e=Dl9ua3W17WE","JIMTOF2024 出展ページ")</x:f>
        <x:v>JIMTOF2024 出展ページ</x:v>
      </x:c>
      <x:c r="T413" s="7" t="str">
        <x:v>EEX-EXH-2026-891a0e945d6e08f6: https://www.jimtof.org/search/jp/ESdetails?e=TQR71SThQ18
該当箇所: 出展紹介・主な出展物。追加カードの原典抜粋で検索
EEX-EXH-2024-271be5192fb3fe5e: https://www.jimtof.org/2024/search/jp/ESdetails?e=Dl9ua3W17WE
該当箇所: 出展紹介・主な出展物。追加カードの原典抜粋で検索</x:v>
      </x:c>
    </x:row>
    <x:row r="414" ht="155" customHeight="1">
      <x:c r="A414" s="7" t="str">
        <x:v>段取り・物理作業</x:v>
      </x:c>
      <x:c r="B414" s="7" t="str">
        <x:v>自動加工セル・工程集約</x:v>
      </x:c>
      <x:c r="C414" s="20" t="str">
        <x:v>Agie Charmilles SA</x:v>
      </x:c>
      <x:c r="D414" s="7" t="str">
        <x:v>CUT P 350　ワイヤ放電加工機</x:v>
      </x:c>
      <x:c r="E414" s="7" t="str">
        <x:v>E8001</x:v>
      </x:c>
      <x:c r="F414" s="7" t="str">
        <x:v>自動加工セル・工程集約</x:v>
      </x:c>
      <x:c r="G414" s="7" t="str">
        <x:v>原典抜粋：当社の自動化対応システムは、金型加工と精密部品加工を支え、高精度、信頼性、性能を提供します。</x:v>
      </x:c>
      <x:c r="H414" s="7" t="str">
        <x:v>設備間の持替えや繰返し作業が、人手・待ち時間・品質差につながる。</x:v>
      </x:c>
      <x:c r="I414" s="7" t="str">
        <x:v>同一正規化名称の2024詳細なし。新規出展・技術不存在とは判断しない。</x:v>
      </x:c>
      <x:c r="J414" s="7" t="str">
        <x:v>2026原典抜粋：当社の自動化対応システムは、金型加工と精密部品加工を支え、高精度、信頼性、性能を提供します。</x:v>
      </x:c>
      <x:c r="K414" s="7" t="str">
        <x:v>原典記述の対照。個別機能の追加・性能差・初登場年は未判定。</x:v>
      </x:c>
      <x:c r="L414" s="7" t="str">
        <x:v>年度資料不足・比較不能</x:v>
      </x:c>
      <x:c r="M414" s="7" t="str">
        <x:v>出展説明の一次分類</x:v>
      </x:c>
      <x:c r="N414" s="7" t="str"/>
      <x:c r="O414" s="7" t="str">
        <x:v>承認・例外対応・停止・復帰の境界は未確認</x:v>
      </x:c>
      <x:c r="P414" s="7" t="str">
        <x:v>2026公式カタログ掲載・現地未確認
2026展示予定。既存製品・参考出展・構想等は原典で個別確認</x:v>
      </x:c>
      <x:c r="Q414" s="7" t="str">
        <x:v>AC248</x:v>
      </x:c>
      <x:c t="str" r="R414" s="21">
        <x:f>HYPERLINK("https://www.jimtof.org/search/jp/ESdetails?e=mHTLRA9SdB0","JIMTOF2026 出展ページ")</x:f>
        <x:v>JIMTOF2026 出展ページ</x:v>
      </x:c>
      <x:c r="S414" s="21" t="str"/>
      <x:c r="T414" s="7" t="str">
        <x:v>EEX-EXH-2026-3eb1a3e98b1cfaf9: https://www.jimtof.org/search/jp/ESdetails?e=mHTLRA9SdB0
該当箇所: 出展紹介・主な出展物。追加カードの原典抜粋で検索</x:v>
      </x:c>
    </x:row>
    <x:row r="415" ht="155" customHeight="1">
      <x:c r="A415" s="7" t="str">
        <x:v>段取り・物理作業</x:v>
      </x:c>
      <x:c r="B415" s="7" t="str">
        <x:v>自動加工セル・工程集約</x:v>
      </x:c>
      <x:c r="C415" s="20" t="str">
        <x:v>Blohm Jung GmbH</x:v>
      </x:c>
      <x:c r="D415" s="7" t="str">
        <x:v>カタログ・サンプル展示</x:v>
      </x:c>
      <x:c r="E415" s="7" t="str">
        <x:v>E8001</x:v>
      </x:c>
      <x:c r="F415" s="7" t="str">
        <x:v>自動加工セル・工程集約</x:v>
      </x:c>
      <x:c r="G415" s="7" t="str">
        <x:v>原典抜粋：また、自動化や工程最適化を通じて、生産性向上と安定した品質確保を支援します。 / ・自動車部品</x:v>
      </x:c>
      <x:c r="H415" s="7" t="str">
        <x:v>設備間の持替えや繰返し作業が、人手・待ち時間・品質差につながる。</x:v>
      </x:c>
      <x:c r="I415" s="7" t="str">
        <x:v>同一正規化名称の2024詳細なし。新規出展・技術不存在とは判断しない。</x:v>
      </x:c>
      <x:c r="J415" s="7" t="str">
        <x:v>2026原典抜粋：また、自動化や工程最適化を通じて、生産性向上と安定した品質確保を支援します。 / ・自動車部品</x:v>
      </x:c>
      <x:c r="K415" s="7" t="str">
        <x:v>原典記述の対照。個別機能の追加・性能差・初登場年は未判定。</x:v>
      </x:c>
      <x:c r="L415" s="7" t="str">
        <x:v>年度資料不足・比較不能</x:v>
      </x:c>
      <x:c r="M415" s="7" t="str">
        <x:v>出展説明の一次分類</x:v>
      </x:c>
      <x:c r="N415" s="7" t="str"/>
      <x:c r="O415" s="7" t="str">
        <x:v>承認・例外対応・停止・復帰の境界は未確認</x:v>
      </x:c>
      <x:c r="P415" s="7" t="str">
        <x:v>2026公式カタログ掲載・現地未確認
2026展示予定。既存製品・参考出展・構想等は原典で個別確認</x:v>
      </x:c>
      <x:c r="Q415" s="7" t="str">
        <x:v>AC251</x:v>
      </x:c>
      <x:c t="str" r="R415" s="21">
        <x:f>HYPERLINK("https://www.jimtof.org/search/jp/ESdetails?e=dSHD282NmEc","JIMTOF2026 出展ページ")</x:f>
        <x:v>JIMTOF2026 出展ページ</x:v>
      </x:c>
      <x:c r="S415" s="21" t="str"/>
      <x:c r="T415" s="7" t="str">
        <x:v>EEX-EXH-2026-39e340ba804ebaad: https://www.jimtof.org/search/jp/ESdetails?e=dSHD282NmEc
該当箇所: 出展紹介・主な出展物。追加カードの原典抜粋で検索</x:v>
      </x:c>
    </x:row>
    <x:row r="416" ht="155" customHeight="1">
      <x:c r="A416" s="7" t="str">
        <x:v>段取り・物理作業</x:v>
      </x:c>
      <x:c r="B416" s="7" t="str">
        <x:v>自動加工セル・工程集約</x:v>
      </x:c>
      <x:c r="C416" s="20" t="str">
        <x:v>BUFFOLI TRANSFER S.p.A.</x:v>
      </x:c>
      <x:c r="D416" s="7" t="str">
        <x:v>CNCトランスファーマシン</x:v>
      </x:c>
      <x:c r="E416" s="7" t="str">
        <x:v>E1034</x:v>
      </x:c>
      <x:c r="F416" s="7" t="str">
        <x:v>外観検査・撮像と追加学習 ／ 自動加工セル・工程集約</x:v>
      </x:c>
      <x:c r="G416" s="7" t="str">
        <x:v>原典抜粋：人材不足が深刻化する製造業界において【搬送・ロボット・検査・ソフトウェア】までを一体化した自動化・ターンキーシステムを提供します。 / さらにAIによる品質検査や予知保全など、Industry 4.0/5.0を見据えた次世代の自動化技術にも注目です。</x:v>
      </x:c>
      <x:c r="H416" s="7" t="str">
        <x:v>少量不良データ、撮像ばらつき、見逃しと過検出。 ／ 設備間の持替えや繰返し作業が、人手・待ち時間・品質差につながる。</x:v>
      </x:c>
      <x:c r="I416" s="7" t="str">
        <x:v>同一正規化名称の2024詳細なし。新規出展・技術不存在とは判断しない。</x:v>
      </x:c>
      <x:c r="J416" s="7" t="str">
        <x:v>2026原典抜粋：人材不足が深刻化する製造業界において【搬送・ロボット・検査・ソフトウェア】までを一体化した自動化・ターンキーシステムを提供します。 / さらにAIによる品質検査や予知保全など、Industry 4.0/5.0を見据えた次世代の自動化技術にも注目です。</x:v>
      </x:c>
      <x:c r="K416" s="7" t="str">
        <x:v>原典記述の対照。個別機能の追加・性能差・初登場年は未判定。</x:v>
      </x:c>
      <x:c r="L416" s="7" t="str">
        <x:v>年度資料不足・比較不能</x:v>
      </x:c>
      <x:c r="M416" s="7" t="str">
        <x:v>出展説明の一次分類</x:v>
      </x:c>
      <x:c r="N416" s="7" t="str"/>
      <x:c r="O416" s="7" t="str">
        <x:v>承認・例外対応・停止・復帰の境界は未確認</x:v>
      </x:c>
      <x:c r="P416" s="7" t="str">
        <x:v>2026公式カタログ掲載・現地未確認
2026展示予定。既存製品・参考出展・構想等は原典で個別確認</x:v>
      </x:c>
      <x:c r="Q416" s="7" t="str">
        <x:v>AC252</x:v>
      </x:c>
      <x:c t="str" r="R416" s="21">
        <x:f>HYPERLINK("https://www.jimtof.org/search/jp/ESdetails?e=XR5ASqmy4zw","JIMTOF2026 出展ページ")</x:f>
        <x:v>JIMTOF2026 出展ページ</x:v>
      </x:c>
      <x:c r="S416" s="21" t="str"/>
      <x:c r="T416" s="7" t="str">
        <x:v>EEX-EXH-2026-606bae6e521953bf: https://www.jimtof.org/search/jp/ESdetails?e=XR5ASqmy4zw
該当箇所: 出展紹介・主な出展物。追加カードの原典抜粋で検索</x:v>
      </x:c>
    </x:row>
    <x:row r="417" ht="155" customHeight="1">
      <x:c r="A417" s="7" t="str">
        <x:v>段取り・物理作業</x:v>
      </x:c>
      <x:c r="B417" s="7" t="str">
        <x:v>自動加工セル・工程集約</x:v>
      </x:c>
      <x:c r="C417" s="20" t="str">
        <x:v>DGDY SHEET METAL MACHINERY CO.,LTD</x:v>
      </x:c>
      <x:c r="D417" s="7" t="str">
        <x:v>Full Electric Servo CNC Bending Machine</x:v>
      </x:c>
      <x:c r="E417" s="7" t="str">
        <x:v>E1019</x:v>
      </x:c>
      <x:c r="F417" s="7" t="str">
        <x:v>自動加工セル・工程集約</x:v>
      </x:c>
      <x:c r="G417" s="7" t="str">
        <x:v>原典抜粋：Panel Bender / One-time Positioning, Multi-angle Bending / Different Thicknesses Materials, Completed in One Mold / Automatic Tool Changing, Automatic Avoidance / Numerical Control System / Offline Programming, Graphic I</x:v>
      </x:c>
      <x:c r="H417" s="7" t="str">
        <x:v>設備間の持替えや繰返し作業が、人手・待ち時間・品質差につながる。</x:v>
      </x:c>
      <x:c r="I417" s="7" t="str">
        <x:v>同一正規化名称の2024詳細なし。新規出展・技術不存在とは判断しない。</x:v>
      </x:c>
      <x:c r="J417" s="7" t="str">
        <x:v>2026原典抜粋：Panel Bender / One-time Positioning, Multi-angle Bending / Different Thicknesses Materials, Completed in One Mold / Automatic Tool Changing, Automatic Avoidance / Numerical Control System / Offline Programming, Graphic I</x:v>
      </x:c>
      <x:c r="K417" s="7" t="str">
        <x:v>原典記述の対照。個別機能の追加・性能差・初登場年は未判定。</x:v>
      </x:c>
      <x:c r="L417" s="7" t="str">
        <x:v>年度資料不足・比較不能</x:v>
      </x:c>
      <x:c r="M417" s="7" t="str">
        <x:v>出展説明の一次分類</x:v>
      </x:c>
      <x:c r="N417" s="7" t="str"/>
      <x:c r="O417" s="7" t="str">
        <x:v>承認・例外対応・停止・復帰の境界は未確認</x:v>
      </x:c>
      <x:c r="P417" s="7" t="str">
        <x:v>2026公式カタログ掲載・現地未確認
2026展示予定。既存製品・参考出展・構想等は原典で個別確認</x:v>
      </x:c>
      <x:c r="Q417" s="7" t="str">
        <x:v>AC256</x:v>
      </x:c>
      <x:c t="str" r="R417" s="21">
        <x:f>HYPERLINK("https://www.jimtof.org/search/jp/ESdetails?e=Rtj9rox8Zj4","JIMTOF2026 出展ページ")</x:f>
        <x:v>JIMTOF2026 出展ページ</x:v>
      </x:c>
      <x:c r="S417" s="21" t="str"/>
      <x:c r="T417" s="7" t="str">
        <x:v>EEX-EXH-2026-1dba700d81292c04: https://www.jimtof.org/search/jp/ESdetails?e=Rtj9rox8Zj4
該当箇所: 出展紹介・主な出展物。追加カードの原典抜粋で検索</x:v>
      </x:c>
    </x:row>
    <x:row r="418" ht="155" customHeight="1">
      <x:c r="A418" s="7" t="str">
        <x:v>段取り・物理作業</x:v>
      </x:c>
      <x:c r="B418" s="7" t="str">
        <x:v>自動加工セル・工程集約</x:v>
      </x:c>
      <x:c r="C418" s="20" t="str">
        <x:v>FAPTECH (HANGZHOU) CO.,LTD.</x:v>
      </x:c>
      <x:c r="D418" s="7" t="str">
        <x:v>ロータリートランスファーマシン（サンプル出展）</x:v>
      </x:c>
      <x:c r="E418" s="7" t="str">
        <x:v>E2026</x:v>
      </x:c>
      <x:c r="F418" s="7" t="str">
        <x:v>自動加工セル・工程集約</x:v>
      </x:c>
      <x:c r="G418" s="7" t="str">
        <x:v>原典抜粋：【ファップテック ロータリートランスファーマシン】 / ～鍛造・鋳造品の多方向機械加工を一台に集約し、省人化・省スペースを実現～ / バルブや継手、水道メーターケース、空圧機器部品の機械加工を1台で担います。 / 単工程のNC機を直線的に並べ、工程ごとにワークを搬送するトランスファーマシンを一台のロータリートランスファーマシンに置き換えることで、工程間の精度管理が不要となります。 / 管理する人や手間、場所も省くことができ、工場の生産性</x:v>
      </x:c>
      <x:c r="H418" s="7" t="str">
        <x:v>設備間の持替えや繰返し作業が、人手・待ち時間・品質差につながる。</x:v>
      </x:c>
      <x:c r="I418" s="7" t="str">
        <x:v>同一正規化名称の2024詳細なし。新規出展・技術不存在とは判断しない。</x:v>
      </x:c>
      <x:c r="J418" s="7" t="str">
        <x:v>2026原典抜粋：【ファップテック ロータリートランスファーマシン】 / ～鍛造・鋳造品の多方向機械加工を一台に集約し、省人化・省スペースを実現～ / バルブや継手、水道メーターケース、空圧機器部品の機械加工を1台で担います。 / 単工程のNC機を直線的に並べ、工程ごとにワークを搬送するトランスファーマシンを一台のロータリートランスファーマシンに置き換えることで、工程間の精度管理が不要となります。 / 管理する人や手間、場所も省くことができ、工場の生産性</x:v>
      </x:c>
      <x:c r="K418" s="7" t="str">
        <x:v>原典記述の対照。個別機能の追加・性能差・初登場年は未判定。</x:v>
      </x:c>
      <x:c r="L418" s="7" t="str">
        <x:v>年度資料不足・比較不能</x:v>
      </x:c>
      <x:c r="M418" s="7" t="str">
        <x:v>出展説明の一次分類</x:v>
      </x:c>
      <x:c r="N418" s="7" t="str"/>
      <x:c r="O418" s="7" t="str">
        <x:v>承認・例外対応・停止・復帰の境界は未確認</x:v>
      </x:c>
      <x:c r="P418" s="7" t="str">
        <x:v>2026公式カタログ掲載・現地未確認
2026展示予定。既存製品・参考出展・構想等は原典で個別確認</x:v>
      </x:c>
      <x:c r="Q418" s="7" t="str">
        <x:v>AC260</x:v>
      </x:c>
      <x:c t="str" r="R418" s="21">
        <x:f>HYPERLINK("https://www.jimtof.org/search/jp/ESdetails?e=50efK4rQsHs","JIMTOF2026 出展ページ")</x:f>
        <x:v>JIMTOF2026 出展ページ</x:v>
      </x:c>
      <x:c r="S418" s="21" t="str"/>
      <x:c r="T418" s="7" t="str">
        <x:v>EEX-EXH-2026-71042226949434d5: https://www.jimtof.org/search/jp/ESdetails?e=50efK4rQsHs
該当箇所: 出展紹介・主な出展物。追加カードの原典抜粋で検索</x:v>
      </x:c>
    </x:row>
    <x:row r="419" ht="155" customHeight="1">
      <x:c r="A419" s="7" t="str">
        <x:v>段取り・物理作業</x:v>
      </x:c>
      <x:c r="B419" s="7" t="str">
        <x:v>自動加工セル・工程集約</x:v>
      </x:c>
      <x:c r="C419" s="20" t="str">
        <x:v>KAI HUNG MACHINERY CO., LTD.</x:v>
      </x:c>
      <x:c r="D419" s="7" t="str">
        <x:v>ロータリートランスファーマシン 3Dモデル</x:v>
      </x:c>
      <x:c r="E419" s="7" t="str">
        <x:v>E1009-5</x:v>
      </x:c>
      <x:c r="F419" s="7" t="str">
        <x:v>自動加工セル・工程集約</x:v>
      </x:c>
      <x:c r="G419" s="7" t="str">
        <x:v>原典抜粋：2.Production efficiency is 5–12 times higher than the conventional machining equipment.The machine offers high precision, energy savings, reduced floor space requirements, and compatibility with automation systems, allow</x:v>
      </x:c>
      <x:c r="H419" s="7" t="str">
        <x:v>設備間の持替えや繰返し作業が、人手・待ち時間・品質差につながる。</x:v>
      </x:c>
      <x:c r="I419" s="7" t="str">
        <x:v>同一正規化名称の2024詳細なし。新規出展・技術不存在とは判断しない。</x:v>
      </x:c>
      <x:c r="J419" s="7" t="str">
        <x:v>2026原典抜粋：2.Production efficiency is 5–12 times higher than the conventional machining equipment.The machine offers high precision, energy savings, reduced floor space requirements, and compatibility with automation systems, allow</x:v>
      </x:c>
      <x:c r="K419" s="7" t="str">
        <x:v>原典記述の対照。個別機能の追加・性能差・初登場年は未判定。</x:v>
      </x:c>
      <x:c r="L419" s="7" t="str">
        <x:v>年度資料不足・比較不能</x:v>
      </x:c>
      <x:c r="M419" s="7" t="str">
        <x:v>出展説明の一次分類</x:v>
      </x:c>
      <x:c r="N419" s="7" t="str"/>
      <x:c r="O419" s="7" t="str">
        <x:v>承認・例外対応・停止・復帰の境界は未確認</x:v>
      </x:c>
      <x:c r="P419" s="7" t="str">
        <x:v>2026公式カタログ掲載・現地未確認
2026展示予定。既存製品・参考出展・構想等は原典で個別確認</x:v>
      </x:c>
      <x:c r="Q419" s="7" t="str">
        <x:v>AC268</x:v>
      </x:c>
      <x:c t="str" r="R419" s="21">
        <x:f>HYPERLINK("https://www.jimtof.org/search/jp/ESdetails?e=8qrXuJ0N8KM","JIMTOF2026 出展ページ")</x:f>
        <x:v>JIMTOF2026 出展ページ</x:v>
      </x:c>
      <x:c r="S419" s="21" t="str"/>
      <x:c r="T419" s="7" t="str">
        <x:v>EEX-EXH-2026-eee5f5bb1b44f5c1: https://www.jimtof.org/search/jp/ESdetails?e=8qrXuJ0N8KM
該当箇所: 出展紹介・主な出展物。追加カードの原典抜粋で検索</x:v>
      </x:c>
    </x:row>
    <x:row r="420" ht="155" customHeight="1">
      <x:c r="A420" s="7" t="str">
        <x:v>段取り・物理作業</x:v>
      </x:c>
      <x:c r="B420" s="7" t="str">
        <x:v>自動加工セル・工程集約</x:v>
      </x:c>
      <x:c r="C420" s="20" t="str">
        <x:v>Matrix Precision Co., Ltd</x:v>
      </x:c>
      <x:c r="D420" s="7" t="str">
        <x:v>CNC歯車創成研削盤 GVC-0260</x:v>
      </x:c>
      <x:c r="E420" s="7" t="str">
        <x:v>S2019</x:v>
      </x:c>
      <x:c r="F420" s="7" t="str">
        <x:v>自動加工セル・工程集約</x:v>
      </x:c>
      <x:c r="G420" s="7" t="str">
        <x:v>原典抜粋：高速・高能率な精密研削と自動化システムに対応する。</x:v>
      </x:c>
      <x:c r="H420" s="7" t="str">
        <x:v>設備間の持替えや繰返し作業が、人手・待ち時間・品質差につながる。</x:v>
      </x:c>
      <x:c r="I420" s="7" t="str">
        <x:v>2024原典抜粋：MATRIX社製の成形研削盤高い評価を得ています。長年の経験の蓄積を経て、さらに高精度CNC歯車成形創成複合研削盤GVC-0500を発売しました。この研削盤は、小規模および中規模のロット生産向けに設計されています。最大外径500mmのワークを同一機械で加工可能です。研削および創造的な研削機能は、有名ブランドのコントローラ、高速ワークピース主軸および砥石主軸を使用し、CNC歯車研削用に自社開発の歯車研削ソフトウェアーと組み合わせています。高効率、高精度の優れた性能は世界のトップブランドに匹敵し、最良の選択となります。</x:v>
      </x:c>
      <x:c r="J420" s="7" t="str">
        <x:v>2026原典抜粋：高速・高能率な精密研削と自動化システムに対応する。</x:v>
      </x:c>
      <x:c r="K420" s="7" t="str">
        <x:v>原典記述の対照。個別機能の追加・性能差・初登場年は未判定。</x:v>
      </x:c>
      <x:c r="L420" s="7" t="str">
        <x:v>両年説明あり・機能差未判定</x:v>
      </x:c>
      <x:c r="M420" s="7" t="str">
        <x:v>出展説明の一次分類</x:v>
      </x:c>
      <x:c r="N420" s="7" t="str"/>
      <x:c r="O420" s="7" t="str">
        <x:v>承認・例外対応・停止・復帰の境界は未確認</x:v>
      </x:c>
      <x:c r="P420" s="7" t="str">
        <x:v>2026公式カタログ掲載・現地未確認
2026展示予定。既存製品・参考出展・構想等は原典で個別確認</x:v>
      </x:c>
      <x:c r="Q420" s="7" t="str">
        <x:v>AC272</x:v>
      </x:c>
      <x:c t="str" r="R420" s="21">
        <x:f>HYPERLINK("https://www.jimtof.org/search/jp/ESdetails?e=vvseLw_Wxp0","JIMTOF2026 出展ページ")</x:f>
        <x:v>JIMTOF2026 出展ページ</x:v>
      </x:c>
      <x:c t="str" r="S420" s="21">
        <x:f>HYPERLINK("https://www.jimtof.org/2024/search/jp/ESdetails?e=CqObrYG0IY8","JIMTOF2024 出展ページ")</x:f>
        <x:v>JIMTOF2024 出展ページ</x:v>
      </x:c>
      <x:c r="T420" s="7" t="str">
        <x:v>EEX-EXH-2026-c4882a21138dab6c: https://www.jimtof.org/search/jp/ESdetails?e=vvseLw_Wxp0
該当箇所: 出展紹介・主な出展物。追加カードの原典抜粋で検索
EEX-EXH-2024-091c8777fd5c1e0e: https://www.jimtof.org/2024/search/jp/ESdetails?e=CqObrYG0IY8
該当箇所: 出展紹介・主な出展物。追加カードの原典抜粋で検索</x:v>
      </x:c>
    </x:row>
    <x:row r="421" ht="155" customHeight="1">
      <x:c r="A421" s="7" t="str">
        <x:v>段取り・物理作業</x:v>
      </x:c>
      <x:c r="B421" s="7" t="str">
        <x:v>自動加工セル・工程集約</x:v>
      </x:c>
      <x:c r="C421" s="20" t="str">
        <x:v>NINGBO BLIN MACHINERY CO LTD</x:v>
      </x:c>
      <x:c r="D421" s="7" t="str">
        <x:v>傾斜ベッド型CNC旋盤／CNCターニングセンタ「S PRECISE」シリーズ</x:v>
      </x:c>
      <x:c r="E421" s="7" t="str">
        <x:v>S1073</x:v>
      </x:c>
      <x:c r="F421" s="7" t="str">
        <x:v>自動加工セル・工程集約</x:v>
      </x:c>
      <x:c r="G421" s="7" t="str">
        <x:v>原典抜粋：■ ツールセッター、パーツキャッチャー、ロボット等のオプションに対応したモジュール設計、独立タンクによる油・クーラント分離機能、主要部品には国際的に定評のあるブランド製品を採用</x:v>
      </x:c>
      <x:c r="H421" s="7" t="str">
        <x:v>設備間の持替えや繰返し作業が、人手・待ち時間・品質差につながる。</x:v>
      </x:c>
      <x:c r="I421" s="7" t="str">
        <x:v>2024原典抜粋：■ JAPAN TAKISAWAと同様の構造を採用、ベッドはフラットベッド、スライドボードは30°傾斜設計を採用、高剛性、優れた加工柔軟性 ■超コンパクトな構造、広い内部スペース、モダンな外観 ■ JAPANの技術を採用、JAPANエンジニアが設計、ほとんどの部品はドイツ/日本/台湾ブランドを採用 ■モジュール化設計を採用、強力な拡張機能を備え、ツールセッター、パーツキャッチャー、ロボットなど、さまざまな特別な構成の選択が容易。 BL-S200 スラントベッドCNC旋盤</x:v>
      </x:c>
      <x:c r="J421" s="7" t="str">
        <x:v>2026原典抜粋：■ ツールセッター、パーツキャッチャー、ロボット等のオプションに対応したモジュール設計、独立タンクによる油・クーラント分離機能、主要部品には国際的に定評のあるブランド製品を採用</x:v>
      </x:c>
      <x:c r="K421" s="7" t="str">
        <x:v>原典記述の対照。個別機能の追加・性能差・初登場年は未判定。</x:v>
      </x:c>
      <x:c r="L421" s="7" t="str">
        <x:v>両年説明あり・機能差未判定</x:v>
      </x:c>
      <x:c r="M421" s="7" t="str">
        <x:v>出展説明の一次分類</x:v>
      </x:c>
      <x:c r="N421" s="7" t="str"/>
      <x:c r="O421" s="7" t="str">
        <x:v>承認・例外対応・停止・復帰の境界は未確認</x:v>
      </x:c>
      <x:c r="P421" s="7" t="str">
        <x:v>2026公式カタログ掲載・現地未確認
2026展示予定。既存製品・参考出展・構想等は原典で個別確認</x:v>
      </x:c>
      <x:c r="Q421" s="7" t="str">
        <x:v>AC275</x:v>
      </x:c>
      <x:c t="str" r="R421" s="21">
        <x:f>HYPERLINK("https://www.jimtof.org/search/jp/ESdetails?e=-DLoNC4r21w","JIMTOF2026 出展ページ")</x:f>
        <x:v>JIMTOF2026 出展ページ</x:v>
      </x:c>
      <x:c t="str" r="S421" s="21">
        <x:f>HYPERLINK("https://www.jimtof.org/2024/search/jp/ESdetails?e=AKC0LsfHQI4","JIMTOF2024 出展ページ")</x:f>
        <x:v>JIMTOF2024 出展ページ</x:v>
      </x:c>
      <x:c r="T421" s="7" t="str">
        <x:v>EEX-EXH-2026-df9fd9e3f835e55a: https://www.jimtof.org/search/jp/ESdetails?e=-DLoNC4r21w
該当箇所: 出展紹介・主な出展物。追加カードの原典抜粋で検索
EEX-EXH-2024-da04f7774fd05b78: https://www.jimtof.org/2024/search/jp/ESdetails?e=AKC0LsfHQI4
該当箇所: 出展紹介・主な出展物。追加カードの原典抜粋で検索</x:v>
      </x:c>
    </x:row>
    <x:row r="422" ht="155" customHeight="1">
      <x:c r="A422" s="7" t="str">
        <x:v>段取り・物理作業</x:v>
      </x:c>
      <x:c r="B422" s="7" t="str">
        <x:v>自動加工セル・工程集約</x:v>
      </x:c>
      <x:c r="C422" s="20" t="str">
        <x:v>PERFECT MACHINE CO., LTD.</x:v>
      </x:c>
      <x:c r="D422" s="7" t="str">
        <x:v>精密平面切削盤-コラム型PFG-50100DT</x:v>
      </x:c>
      <x:c r="E422" s="7" t="str">
        <x:v>S1081</x:v>
      </x:c>
      <x:c r="F422" s="7" t="str">
        <x:v>計測から加工へのフィードバック ／ 自動加工セル・工程集約</x:v>
      </x:c>
      <x:c r="G422" s="7" t="str">
        <x:v>原典抜粋：自動砥石ドレッシングおよび補正機能により、作業員数を削減し、加工効率を向上させます。 / 静圧回転テーブルとの組み合わせにより、最適な安定性と高い剛性を実現し、半導体、航空宇宙、自動車産業における精密部品加工に最適な選択肢となります。 / 自動砥石ドレッシングおよび補正機能により、作業員数を削減し、加工効率を向上させます。 / 静圧回転テーブルとの組み合わせにより、最適な安定性と高い剛性を実現し、半導体、航空宇宙、自動車産業における精密</x:v>
      </x:c>
      <x:c r="H422" s="7" t="str">
        <x:v>検査結果を次の加工に戻す待ち時間と補正のばらつき。 ／ 設備間の持替えや繰返し作業が、人手・待ち時間・品質差につながる。</x:v>
      </x:c>
      <x:c r="I422" s="7" t="str">
        <x:v>2024原典抜粋：DTシリーズ ** タッチパネル ** 上下自動送り ** 前後連続送り研磨機能 ** 自動潤滑装置 ** 前後微調整装置(0.001mm/１メモリ)(サドル型用) ** 後部カバー標準裝備 ** 前後ストローク調整は操作板から制御 ** テーブル左右移動はセンサーと電磁バルブで制御 タッチパネル平面研削盤-DTシリーズ 模型: PFG-50100DT</x:v>
      </x:c>
      <x:c r="J422" s="7" t="str">
        <x:v>2026原典抜粋：自動砥石ドレッシングおよび補正機能により、作業員数を削減し、加工効率を向上させます。 / 静圧回転テーブルとの組み合わせにより、最適な安定性と高い剛性を実現し、半導体、航空宇宙、自動車産業における精密部品加工に最適な選択肢となります。 / 自動砥石ドレッシングおよび補正機能により、作業員数を削減し、加工効率を向上させます。 / 静圧回転テーブルとの組み合わせにより、最適な安定性と高い剛性を実現し、半導体、航空宇宙、自動車産業における精密</x:v>
      </x:c>
      <x:c r="K422" s="7" t="str">
        <x:v>原典記述の対照。個別機能の追加・性能差・初登場年は未判定。</x:v>
      </x:c>
      <x:c r="L422" s="7" t="str">
        <x:v>両年説明あり・機能差未判定</x:v>
      </x:c>
      <x:c r="M422" s="7" t="str">
        <x:v>出展説明の一次分類</x:v>
      </x:c>
      <x:c r="N422" s="7" t="str"/>
      <x:c r="O422" s="7" t="str">
        <x:v>承認・例外対応・停止・復帰の境界は未確認</x:v>
      </x:c>
      <x:c r="P422" s="7" t="str">
        <x:v>2026公式カタログ掲載・現地未確認
2026展示予定。既存製品・参考出展・構想等は原典で個別確認</x:v>
      </x:c>
      <x:c r="Q422" s="7" t="str">
        <x:v>AC276</x:v>
      </x:c>
      <x:c t="str" r="R422" s="21">
        <x:f>HYPERLINK("https://www.jimtof.org/search/jp/ESdetails?e=uL4EJoJ_Wco","JIMTOF2026 出展ページ")</x:f>
        <x:v>JIMTOF2026 出展ページ</x:v>
      </x:c>
      <x:c t="str" r="S422" s="21">
        <x:f>HYPERLINK("https://www.jimtof.org/2024/search/jp/ESdetails?e=bcsDhP9ayoI","JIMTOF2024 出展ページ")</x:f>
        <x:v>JIMTOF2024 出展ページ</x:v>
      </x:c>
      <x:c r="T422" s="7" t="str">
        <x:v>EEX-EXH-2026-166eb1d478702025: https://www.jimtof.org/search/jp/ESdetails?e=uL4EJoJ_Wco
該当箇所: 出展紹介・主な出展物。追加カードの原典抜粋で検索
EEX-EXH-2024-518e5c72e0650c69: https://www.jimtof.org/2024/search/jp/ESdetails?e=bcsDhP9ayoI
該当箇所: 出展紹介・主な出展物。追加カードの原典抜粋で検索</x:v>
      </x:c>
    </x:row>
    <x:row r="423" ht="155" customHeight="1">
      <x:c r="A423" s="7" t="str">
        <x:v>段取り・物理作業</x:v>
      </x:c>
      <x:c r="B423" s="7" t="str">
        <x:v>自動加工セル・工程集約</x:v>
      </x:c>
      <x:c r="C423" s="20" t="str">
        <x:v>Röders GmbH</x:v>
      </x:c>
      <x:c r="D423" s="7" t="str">
        <x:v>ドイツ レダース社製ハイスピードミリング・グラインディングセンタ RXP601DS</x:v>
      </x:c>
      <x:c r="E423" s="7" t="str">
        <x:v>E3014</x:v>
      </x:c>
      <x:c r="F423" s="7" t="str">
        <x:v>自動計測・測定計画・品質データ ／ 自動加工セル・工程集約</x:v>
      </x:c>
      <x:c r="G423" s="7" t="str">
        <x:v>原典抜粋：レダース社のハイスピードミリング・グラインディングセンタは、全軸リニアモーター＋ダイレクトドライブによる遊びのない高速・高精度な加工が特長です。 / 制御装置は自社製で、他社のコントローラーにはない処理速度0.1ms、先読みブロック10000ブロックにより高加速や高減速を可能にし、加工スピードを落とすことなく（プログラム待ち）加工が行えます。 / また、ハイスピードミリング加工後にジグ研削、機上測定をワンチャックで行えるため「加工時間短</x:v>
      </x:c>
      <x:c r="H423" s="7" t="str">
        <x:v>測定の段取り・搬送・記録に人手が残り、結果が加工改善につながりにくい。 ／ 設備間の持替えや繰返し作業が、人手・待ち時間・品質差につながる。</x:v>
      </x:c>
      <x:c r="I423" s="7" t="str">
        <x:v>同一正規化名称の2024詳細なし。新規出展・技術不存在とは判断しない。</x:v>
      </x:c>
      <x:c r="J423" s="7" t="str">
        <x:v>2026原典抜粋：レダース社のハイスピードミリング・グラインディングセンタは、全軸リニアモーター＋ダイレクトドライブによる遊びのない高速・高精度な加工が特長です。 / 制御装置は自社製で、他社のコントローラーにはない処理速度0.1ms、先読みブロック10000ブロックにより高加速や高減速を可能にし、加工スピードを落とすことなく（プログラム待ち）加工が行えます。 / また、ハイスピードミリング加工後にジグ研削、機上測定をワンチャックで行えるため「加工時間短</x:v>
      </x:c>
      <x:c r="K423" s="7" t="str">
        <x:v>原典記述の対照。個別機能の追加・性能差・初登場年は未判定。</x:v>
      </x:c>
      <x:c r="L423" s="7" t="str">
        <x:v>年度資料不足・比較不能</x:v>
      </x:c>
      <x:c r="M423" s="7" t="str">
        <x:v>出展説明の一次分類</x:v>
      </x:c>
      <x:c r="N423" s="7" t="str"/>
      <x:c r="O423" s="7" t="str">
        <x:v>承認・例外対応・停止・復帰の境界は未確認</x:v>
      </x:c>
      <x:c r="P423" s="7" t="str">
        <x:v>2026公式カタログ掲載・現地未確認
2026展示予定。既存製品・参考出展・構想等は原典で個別確認</x:v>
      </x:c>
      <x:c r="Q423" s="7" t="str">
        <x:v>AC280</x:v>
      </x:c>
      <x:c t="str" r="R423" s="21">
        <x:f>HYPERLINK("https://www.jimtof.org/search/jp/ESdetails?e=ZjA8l9ImAE8","JIMTOF2026 出展ページ")</x:f>
        <x:v>JIMTOF2026 出展ページ</x:v>
      </x:c>
      <x:c r="S423" s="21" t="str"/>
      <x:c r="T423" s="7" t="str">
        <x:v>EEX-EXH-2026-8dbb00228000aa6c: https://www.jimtof.org/search/jp/ESdetails?e=ZjA8l9ImAE8
該当箇所: 出展紹介・主な出展物。追加カードの原典抜粋で検索</x:v>
      </x:c>
    </x:row>
    <x:row r="424" ht="155" customHeight="1">
      <x:c r="A424" s="7" t="str">
        <x:v>段取り・物理作業</x:v>
      </x:c>
      <x:c r="B424" s="7" t="str">
        <x:v>自動加工セル・工程集約</x:v>
      </x:c>
      <x:c r="C424" s="20" t="str">
        <x:v>Schwäbische Werkzeugmaschinen GmbH</x:v>
      </x:c>
      <x:c r="D424" s="7" t="str">
        <x:v>出展物：　U軸システムKOMtronic</x:v>
      </x:c>
      <x:c r="E424" s="7" t="str">
        <x:v>E3027</x:v>
      </x:c>
      <x:c r="F424" s="7" t="str">
        <x:v>自動加工セル・工程集約</x:v>
      </x:c>
      <x:c r="G424" s="7" t="str">
        <x:v>原典抜粋：マルチスピンドル・マシニングセンタ市場で世界をリードし、自動車、EV、航空宇宙、ヒューマノイド、医療機器など幅広い産業向けに生産ソリューションを提供しています。 / SWは、同時５軸付きマルチスピンドル・マシニングセンタ、自動化システム、オンライン上でのデジタル化を組み合わせた「Smart manufacturing solution」を展開しています。</x:v>
      </x:c>
      <x:c r="H424" s="7" t="str">
        <x:v>設備間の持替えや繰返し作業が、人手・待ち時間・品質差につながる。</x:v>
      </x:c>
      <x:c r="I424" s="7" t="str">
        <x:v>同一正規化名称の2024詳細なし。新規出展・技術不存在とは判断しない。</x:v>
      </x:c>
      <x:c r="J424" s="7" t="str">
        <x:v>2026原典抜粋：マルチスピンドル・マシニングセンタ市場で世界をリードし、自動車、EV、航空宇宙、ヒューマノイド、医療機器など幅広い産業向けに生産ソリューションを提供しています。 / SWは、同時５軸付きマルチスピンドル・マシニングセンタ、自動化システム、オンライン上でのデジタル化を組み合わせた「Smart manufacturing solution」を展開しています。</x:v>
      </x:c>
      <x:c r="K424" s="7" t="str">
        <x:v>原典記述の対照。個別機能の追加・性能差・初登場年は未判定。</x:v>
      </x:c>
      <x:c r="L424" s="7" t="str">
        <x:v>年度資料不足・比較不能</x:v>
      </x:c>
      <x:c r="M424" s="7" t="str">
        <x:v>出展説明の一次分類</x:v>
      </x:c>
      <x:c r="N424" s="7" t="str"/>
      <x:c r="O424" s="7" t="str">
        <x:v>承認・例外対応・停止・復帰の境界は未確認</x:v>
      </x:c>
      <x:c r="P424" s="7" t="str">
        <x:v>2026公式カタログ掲載・現地未確認
2026展示予定。既存製品・参考出展・構想等は原典で個別確認</x:v>
      </x:c>
      <x:c r="Q424" s="7" t="str">
        <x:v>AC282</x:v>
      </x:c>
      <x:c t="str" r="R424" s="21">
        <x:f>HYPERLINK("https://www.jimtof.org/search/jp/ESdetails?e=kw9LLCnBLZI","JIMTOF2026 出展ページ")</x:f>
        <x:v>JIMTOF2026 出展ページ</x:v>
      </x:c>
      <x:c r="S424" s="21" t="str"/>
      <x:c r="T424" s="7" t="str">
        <x:v>EEX-EXH-2026-2ddab123ec038212: https://www.jimtof.org/search/jp/ESdetails?e=kw9LLCnBLZI
該当箇所: 出展紹介・主な出展物。追加カードの原典抜粋で検索</x:v>
      </x:c>
    </x:row>
    <x:row r="425" ht="155" customHeight="1">
      <x:c r="A425" s="7" t="str">
        <x:v>段取り・物理作業</x:v>
      </x:c>
      <x:c r="B425" s="7" t="str">
        <x:v>自動加工セル・工程集約</x:v>
      </x:c>
      <x:c r="C425" s="20" t="str">
        <x:v>Tongtai Machine Tool Co., Ltd.</x:v>
      </x:c>
      <x:c r="D425" s="7" t="str">
        <x:v>本展では、半導体、EV、航空宇宙、精密金型分野に向けた「硬脆材料加工ソリューション」をご提案いたします。メイン展示となる超音波援用マシニングセンタ「V</x:v>
      </x:c>
      <x:c r="E425" s="7" t="str">
        <x:v>E1009-3</x:v>
      </x:c>
      <x:c r="F425" s="7" t="str">
        <x:v>NC送り最適化・加工中の適応制御 ／ 自動加工セル・工程集約</x:v>
      </x:c>
      <x:c r="G425" s="7" t="str">
        <x:v>原典抜粋：最大の特長である「自動周波数追従システム」は、材料特性に応じて振幅と周波数をリアルタイムで最適化。</x:v>
      </x:c>
      <x:c r="H425" s="7" t="str">
        <x:v>負荷変動による過負荷と、余裕のある区間の加工時間。 ／ 設備間の持替えや繰返し作業が、人手・待ち時間・品質差につながる。</x:v>
      </x:c>
      <x:c r="I425" s="7" t="str">
        <x:v>同一正規化名称の2024詳細なし。新規出展・技術不存在とは判断しない。</x:v>
      </x:c>
      <x:c r="J425" s="7" t="str">
        <x:v>2026原典抜粋：最大の特長である「自動周波数追従システム」は、材料特性に応じて振幅と周波数をリアルタイムで最適化。</x:v>
      </x:c>
      <x:c r="K425" s="7" t="str">
        <x:v>原典記述の対照。個別機能の追加・性能差・初登場年は未判定。</x:v>
      </x:c>
      <x:c r="L425" s="7" t="str">
        <x:v>年度資料不足・比較不能</x:v>
      </x:c>
      <x:c r="M425" s="7" t="str">
        <x:v>出展説明の一次分類</x:v>
      </x:c>
      <x:c r="N425" s="7" t="str"/>
      <x:c r="O425" s="7" t="str">
        <x:v>承認・例外対応・停止・復帰の境界は未確認</x:v>
      </x:c>
      <x:c r="P425" s="7" t="str">
        <x:v>2026公式カタログ掲載・現地未確認
2026展示予定。既存製品・参考出展・構想等は原典で個別確認</x:v>
      </x:c>
      <x:c r="Q425" s="7" t="str">
        <x:v>AC289</x:v>
      </x:c>
      <x:c t="str" r="R425" s="21">
        <x:f>HYPERLINK("https://www.jimtof.org/search/jp/ESdetails?e=DIbCyaCMEL8","JIMTOF2026 出展ページ")</x:f>
        <x:v>JIMTOF2026 出展ページ</x:v>
      </x:c>
      <x:c r="S425" s="21" t="str"/>
      <x:c r="T425" s="7" t="str">
        <x:v>EEX-EXH-2026-bf72a60018da6e7c: https://www.jimtof.org/search/jp/ESdetails?e=DIbCyaCMEL8
該当箇所: 出展紹介・主な出展物。追加カードの原典抜粋で検索</x:v>
      </x:c>
    </x:row>
    <x:row r="426" ht="155" customHeight="1">
      <x:c r="A426" s="7" t="str">
        <x:v>段取り・物理作業</x:v>
      </x:c>
      <x:c r="B426" s="7" t="str">
        <x:v>自動加工セル・工程集約</x:v>
      </x:c>
      <x:c r="C426" s="20" t="str">
        <x:v>United Machining Mill AG - MIKRON MILL</x:v>
      </x:c>
      <x:c r="D426" s="7" t="str">
        <x:v>高い動的精度と自由曲面加工における優れた精度で高く評価されており、自動化に対応し拡張性を備えた生産セル展開可能な機械構成は、他にはない独自性を誇ります</x:v>
      </x:c>
      <x:c r="E426" s="7" t="str">
        <x:v>E8001</x:v>
      </x:c>
      <x:c r="F426" s="7" t="str">
        <x:v>自動加工セル・工程集約</x:v>
      </x:c>
      <x:c r="G426" s="7" t="str">
        <x:v>原典抜粋：高い動的精度と自由曲面加工における優れた精度で高く評価されており、自動化に対応し拡張性を備えた生産セル展開可能な機械構成は、他にはない独自性を誇ります。</x:v>
      </x:c>
      <x:c r="H426" s="7" t="str">
        <x:v>設備間の持替えや繰返し作業が、人手・待ち時間・品質差につながる。</x:v>
      </x:c>
      <x:c r="I426" s="7" t="str">
        <x:v>同一正規化名称の2024詳細なし。新規出展・技術不存在とは判断しない。</x:v>
      </x:c>
      <x:c r="J426" s="7" t="str">
        <x:v>2026原典抜粋：高い動的精度と自由曲面加工における優れた精度で高く評価されており、自動化に対応し拡張性を備えた生産セル展開可能な機械構成は、他にはない独自性を誇ります。</x:v>
      </x:c>
      <x:c r="K426" s="7" t="str">
        <x:v>原典記述の対照。個別機能の追加・性能差・初登場年は未判定。</x:v>
      </x:c>
      <x:c r="L426" s="7" t="str">
        <x:v>年度資料不足・比較不能</x:v>
      </x:c>
      <x:c r="M426" s="7" t="str">
        <x:v>出展説明の一次分類</x:v>
      </x:c>
      <x:c r="N426" s="7" t="str"/>
      <x:c r="O426" s="7" t="str">
        <x:v>承認・例外対応・停止・復帰の境界は未確認</x:v>
      </x:c>
      <x:c r="P426" s="7" t="str">
        <x:v>2026公式カタログ掲載・現地未確認
2026展示予定。既存製品・参考出展・構想等は原典で個別確認</x:v>
      </x:c>
      <x:c r="Q426" s="7" t="str">
        <x:v>AC291</x:v>
      </x:c>
      <x:c t="str" r="R426" s="21">
        <x:f>HYPERLINK("https://www.jimtof.org/search/jp/ESdetails?e=YixMbmW6WD0","JIMTOF2026 出展ページ")</x:f>
        <x:v>JIMTOF2026 出展ページ</x:v>
      </x:c>
      <x:c r="S426" s="21" t="str"/>
      <x:c r="T426" s="7" t="str">
        <x:v>EEX-EXH-2026-66bd137625ce375b: https://www.jimtof.org/search/jp/ESdetails?e=YixMbmW6WD0
該当箇所: 出展紹介・主な出展物。追加カードの原典抜粋で検索</x:v>
      </x:c>
    </x:row>
    <x:row r="427" ht="155" customHeight="1">
      <x:c r="A427" s="7" t="str">
        <x:v>段取り・物理作業</x:v>
      </x:c>
      <x:c r="B427" s="7" t="str">
        <x:v>自動加工セル・工程集約</x:v>
      </x:c>
      <x:c r="C427" s="20" t="str">
        <x:v>United Machining Solutions Management AG</x:v>
      </x:c>
      <x:c r="D427" s="7" t="str">
        <x:v>UNITED GRINDING GROUP</x:v>
      </x:c>
      <x:c r="E427" s="7" t="str">
        <x:v>E8001</x:v>
      </x:c>
      <x:c r="F427" s="7" t="str">
        <x:v>自動加工セル・工程集約</x:v>
      </x:c>
      <x:c r="G427" s="7" t="str">
        <x:v>原典抜粋：さらに、UNITED MACHININGからは、AGIE CHARMILLES | CHARMILLES | MIKRON MILL | LIECHTI | STEP TEC | SYSTEM 3Rが加わり、切削加工、放電加工、レーザ加工、自動化分野における幅広いソリューションをご提案します。 / 本展示では、高精度部品加工、金型製作、切削工具製造など幅広い製造現場に向けて、生産性向上、高精度化、自動化、省人化を実現するソリューションを</x:v>
      </x:c>
      <x:c r="H427" s="7" t="str">
        <x:v>設備間の持替えや繰返し作業が、人手・待ち時間・品質差につながる。</x:v>
      </x:c>
      <x:c r="I427" s="7" t="str">
        <x:v>同一正規化名称の2024詳細なし。新規出展・技術不存在とは判断しない。</x:v>
      </x:c>
      <x:c r="J427" s="7" t="str">
        <x:v>2026原典抜粋：さらに、UNITED MACHININGからは、AGIE CHARMILLES | CHARMILLES | MIKRON MILL | LIECHTI | STEP TEC | SYSTEM 3Rが加わり、切削加工、放電加工、レーザ加工、自動化分野における幅広いソリューションをご提案します。 / 本展示では、高精度部品加工、金型製作、切削工具製造など幅広い製造現場に向けて、生産性向上、高精度化、自動化、省人化を実現するソリューションを</x:v>
      </x:c>
      <x:c r="K427" s="7" t="str">
        <x:v>原典記述の対照。個別機能の追加・性能差・初登場年は未判定。</x:v>
      </x:c>
      <x:c r="L427" s="7" t="str">
        <x:v>年度資料不足・比較不能</x:v>
      </x:c>
      <x:c r="M427" s="7" t="str">
        <x:v>出展説明の一次分類</x:v>
      </x:c>
      <x:c r="N427" s="7" t="str"/>
      <x:c r="O427" s="7" t="str">
        <x:v>承認・例外対応・停止・復帰の境界は未確認</x:v>
      </x:c>
      <x:c r="P427" s="7" t="str">
        <x:v>2026公式カタログ掲載・現地未確認
2026展示予定。既存製品・参考出展・構想等は原典で個別確認</x:v>
      </x:c>
      <x:c r="Q427" s="7" t="str">
        <x:v>AC292</x:v>
      </x:c>
      <x:c t="str" r="R427" s="21">
        <x:f>HYPERLINK("https://www.jimtof.org/search/jp/ESdetails?e=_thCHqnMq9s","JIMTOF2026 出展ページ")</x:f>
        <x:v>JIMTOF2026 出展ページ</x:v>
      </x:c>
      <x:c r="S427" s="21" t="str"/>
      <x:c r="T427" s="7" t="str">
        <x:v>EEX-EXH-2026-2109c0e318b1202c: https://www.jimtof.org/search/jp/ESdetails?e=_thCHqnMq9s
該当箇所: 出展紹介・主な出展物。追加カードの原典抜粋で検索</x:v>
      </x:c>
    </x:row>
    <x:row r="428" ht="155" customHeight="1">
      <x:c r="A428" s="7" t="str">
        <x:v>段取り・物理作業</x:v>
      </x:c>
      <x:c r="B428" s="7" t="str">
        <x:v>自動加工セル・工程集約</x:v>
      </x:c>
      <x:c r="C428" s="20" t="str">
        <x:v>YANGZHOU METALFORMING MACHINE TOOL CO.,LTD</x:v>
      </x:c>
      <x:c r="D428" s="7" t="str">
        <x:v>さらに、YADONは、トランスファーライン、多ステーションプレスライン、多機ラインを含む自動化スタンピングソリューションの提供においても業界をリードし</x:v>
      </x:c>
      <x:c r="E428" s="7" t="str">
        <x:v>S1088</x:v>
      </x:c>
      <x:c r="F428" s="7" t="str">
        <x:v>自動加工セル・工程集約</x:v>
      </x:c>
      <x:c r="G428" s="7" t="str">
        <x:v>原典抜粋：さらに、YADONは、トランスファーライン、多ステーションプレスライン、多機ラインを含む自動化スタンピングソリューションの提供においても業界をリードしております。</x:v>
      </x:c>
      <x:c r="H428" s="7" t="str">
        <x:v>設備間の持替えや繰返し作業が、人手・待ち時間・品質差につながる。</x:v>
      </x:c>
      <x:c r="I428" s="7" t="str">
        <x:v>同一正規化名称の2024詳細なし。新規出展・技術不存在とは判断しない。</x:v>
      </x:c>
      <x:c r="J428" s="7" t="str">
        <x:v>2026原典抜粋：さらに、YADONは、トランスファーライン、多ステーションプレスライン、多機ラインを含む自動化スタンピングソリューションの提供においても業界をリードしております。</x:v>
      </x:c>
      <x:c r="K428" s="7" t="str">
        <x:v>原典記述の対照。個別機能の追加・性能差・初登場年は未判定。</x:v>
      </x:c>
      <x:c r="L428" s="7" t="str">
        <x:v>年度資料不足・比較不能</x:v>
      </x:c>
      <x:c r="M428" s="7" t="str">
        <x:v>出展説明の一次分類</x:v>
      </x:c>
      <x:c r="N428" s="7" t="str"/>
      <x:c r="O428" s="7" t="str">
        <x:v>承認・例外対応・停止・復帰の境界は未確認</x:v>
      </x:c>
      <x:c r="P428" s="7" t="str">
        <x:v>2026公式カタログ掲載・現地未確認
2026展示予定。既存製品・参考出展・構想等は原典で個別確認</x:v>
      </x:c>
      <x:c r="Q428" s="7" t="str">
        <x:v>AC298</x:v>
      </x:c>
      <x:c t="str" r="R428" s="21">
        <x:f>HYPERLINK("https://www.jimtof.org/search/jp/ESdetails?e=IP8LxjVq_vg","JIMTOF2026 出展ページ")</x:f>
        <x:v>JIMTOF2026 出展ページ</x:v>
      </x:c>
      <x:c r="S428" s="21" t="str"/>
      <x:c r="T428" s="7" t="str">
        <x:v>EEX-EXH-2026-6e4fdf8d0532940b: https://www.jimtof.org/search/jp/ESdetails?e=IP8LxjVq_vg
該当箇所: 出展紹介・主な出展物。追加カードの原典抜粋で検索</x:v>
      </x:c>
    </x:row>
    <x:row r="429" ht="155" customHeight="1">
      <x:c r="A429" s="7" t="str">
        <x:v>工場運用</x:v>
      </x:c>
      <x:c r="B429" s="7" t="str">
        <x:v>工具データ・在庫・購買</x:v>
      </x:c>
      <x:c r="C429" s="20" t="str">
        <x:v>モリマシナリー</x:v>
      </x:c>
      <x:c r="D429" s="7" t="str">
        <x:v>ツールソムリエ</x:v>
      </x:c>
      <x:c r="E429" s="7" t="str">
        <x:v>S3048</x:v>
      </x:c>
      <x:c r="F429" s="7" t="str">
        <x:v>工具在庫・供給</x:v>
      </x:c>
      <x:c r="G429" s="7" t="str">
        <x:v>工具管理、機械、ロボット、プリセッターを連携</x:v>
      </x:c>
      <x:c r="H429" s="7" t="str">
        <x:v>工具の所在不明・重複購入と入出庫・供給作業の負担</x:v>
      </x:c>
      <x:c r="I429" s="7" t="str">
        <x:v>工具収納・情報管理を掲載</x:v>
      </x:c>
      <x:c r="J429" s="7" t="str">
        <x:v>ロボット供給を説明するが2026は実機を出展しない</x:v>
      </x:c>
      <x:c r="K429" s="7" t="str">
        <x:v>出展説明・公式資料の記載比較。初発明年・実演成功・性能向上を証明するものではない。</x:v>
      </x:c>
      <x:c r="L429" s="7" t="str">
        <x:v>比較記録あり</x:v>
      </x:c>
      <x:c r="M429" s="7" t="str">
        <x:v>個別タスク整理</x:v>
      </x:c>
      <x:c r="N429" s="7" t="str"/>
      <x:c r="O429" s="7" t="str">
        <x:v>管理画面の選択を起点にする説明。完全自律な補充判断は未確認</x:v>
      </x:c>
      <x:c r="P429" s="7" t="str">
        <x:v>2026は動画・資料展示、実機なし
説明動画・資料のみ。実機展示なし</x:v>
      </x:c>
      <x:c r="Q429" s="7" t="str">
        <x:v>FC041</x:v>
      </x:c>
      <x:c t="str" r="R429" s="21">
        <x:f>HYPERLINK("https://www.jimtof.org/search/jp/ESdetails?e=ZvT3Lci-hnM","JIMTOF2026 出展ページ")</x:f>
        <x:v>JIMTOF2026 出展ページ</x:v>
      </x:c>
      <x:c t="str" r="S429" s="21">
        <x:f>HYPERLINK("https://www.jimtof.org/2024/search/jp/ESdetails?e=yEoPl5sH6Sg","JIMTOF2024 出展ページ")</x:f>
        <x:v>JIMTOF2024 出展ページ</x:v>
      </x:c>
      <x:c r="T429" s="7" t="str">
        <x:v>EOV-V024-2024-1: https://www.jimtof.org/2024/search/jp/ESdetails?e=yEoPl5sH6Sg
該当箇所: main &gt; div.col-md-8.mb-5 の出展紹介、見出し「主な出展物」直後
EOV-V024-2026-1: https://www.jimtof.org/search/jp/ESdetails?e=ZvT3Lci-hnM
該当箇所: main &gt; div.col-md-8.mb-5 の出展紹介、見出し「主な出展物」直後</x:v>
      </x:c>
    </x:row>
    <x:row r="430" ht="155" customHeight="1">
      <x:c r="A430" s="7" t="str">
        <x:v>工場運用</x:v>
      </x:c>
      <x:c r="B430" s="7" t="str">
        <x:v>工具データ・在庫・購買</x:v>
      </x:c>
      <x:c r="C430" s="20" t="str">
        <x:v>エバ工業株式会社</x:v>
      </x:c>
      <x:c r="D430" s="7" t="str">
        <x:v>タワー型ツールストッカー</x:v>
      </x:c>
      <x:c r="E430" s="7" t="str">
        <x:v>E7065</x:v>
      </x:c>
      <x:c r="F430" s="7" t="str">
        <x:v>工具データ・在庫・購買</x:v>
      </x:c>
      <x:c r="G430" s="7" t="str">
        <x:v>原典抜粋：ツール管理の課題を解決する、タワー型ツールストッカー「VTS（Vertical Tool Stocker System）」をご紹介します。 / わずか約2.3m×2.3mの設置面積に、最大約600本の工具を高密度に収納。 / 工具を探す・取りに行く工数や、分散保管によるムダ、重複発注の削減に貢献します。 / 複列型の収納構造に加え、取出予約などの運用にも対応。 / 走行軸を廃し、NC可動範囲を効率よく活用した機構により、省スペース・大容</x:v>
      </x:c>
      <x:c r="H430" s="7" t="str">
        <x:v>工具を探す・登録する・補充する手間や、在庫情報の分断がある。</x:v>
      </x:c>
      <x:c r="I430" s="7" t="str">
        <x:v>2024原典抜粋：今回は自動化装置の中から、昨今数多くご用命頂いているツールストッカを展示いたします。 工具の管理・交換作業の自動化を実現します。 生産性向上に大変有効な装置ですので是非、弊社ブースにて実機をご覧ください。 VPPやFMSなど他の装置は3D模型で展示しています。 ツールストッカー&amp;ツールチェンジャー</x:v>
      </x:c>
      <x:c r="J430" s="7" t="str">
        <x:v>2026原典抜粋：ツール管理の課題を解決する、タワー型ツールストッカー「VTS（Vertical Tool Stocker System）」をご紹介します。 / わずか約2.3m×2.3mの設置面積に、最大約600本の工具を高密度に収納。 / 工具を探す・取りに行く工数や、分散保管によるムダ、重複発注の削減に貢献します。 / 複列型の収納構造に加え、取出予約などの運用にも対応。 / 走行軸を廃し、NC可動範囲を効率よく活用した機構により、省スペース・大容</x:v>
      </x:c>
      <x:c r="K430" s="7" t="str">
        <x:v>原典記述の対照。個別機能の追加・性能差・初登場年は未判定。</x:v>
      </x:c>
      <x:c r="L430" s="7" t="str">
        <x:v>両年説明あり・機能差未判定</x:v>
      </x:c>
      <x:c r="M430" s="7" t="str">
        <x:v>出展説明の一次分類</x:v>
      </x:c>
      <x:c r="N430" s="7" t="str"/>
      <x:c r="O430" s="7" t="str">
        <x:v>承認・例外対応・停止・復帰の境界は未確認</x:v>
      </x:c>
      <x:c r="P430" s="7" t="str">
        <x:v>2026公式カタログ掲載・現地未確認
2026展示予定。既存製品・参考出展・構想等は原典で個別確認</x:v>
      </x:c>
      <x:c r="Q430" s="7" t="str">
        <x:v>AC038</x:v>
      </x:c>
      <x:c t="str" r="R430" s="21">
        <x:f>HYPERLINK("https://www.jimtof.org/search/jp/ESdetails?e=BQDEsiMInIU","JIMTOF2026 出展ページ")</x:f>
        <x:v>JIMTOF2026 出展ページ</x:v>
      </x:c>
      <x:c t="str" r="S430" s="21">
        <x:f>HYPERLINK("https://www.jimtof.org/2024/search/jp/ESdetails?e=x5qyFu-kuHM","JIMTOF2024 出展ページ")</x:f>
        <x:v>JIMTOF2024 出展ページ</x:v>
      </x:c>
      <x:c r="T430" s="7" t="str">
        <x:v>EEX-EXH-2026-82c1d23abea2ae6d: https://www.jimtof.org/search/jp/ESdetails?e=BQDEsiMInIU
該当箇所: 出展紹介・主な出展物。追加カードの原典抜粋で検索
EEX-EXH-2024-bc3ee84b31999653: https://www.jimtof.org/2024/search/jp/ESdetails?e=x5qyFu-kuHM
該当箇所: 出展紹介・主な出展物。追加カードの原典抜粋で検索</x:v>
      </x:c>
    </x:row>
    <x:row r="431" ht="155" customHeight="1">
      <x:c r="A431" s="7" t="str">
        <x:v>工場運用</x:v>
      </x:c>
      <x:c r="B431" s="7" t="str">
        <x:v>工具データ・在庫・購買</x:v>
      </x:c>
      <x:c r="C431" s="20" t="str">
        <x:v>オーエスジー株式会社</x:v>
      </x:c>
      <x:c r="D431" s="7" t="str">
        <x:v>オーエスジーの最新技術を結集し、さまざまな被削材や加工環境に対応する</x:v>
      </x:c>
      <x:c r="E431" s="7" t="str">
        <x:v>W1070</x:v>
      </x:c>
      <x:c r="F431" s="7" t="str">
        <x:v>工具データ・在庫・購買</x:v>
      </x:c>
      <x:c r="G431" s="7" t="str">
        <x:v>原典抜粋：オーエスジーは、自動化、省人化を通じ、環境配慮につながる製品を提案します。 / 硬脆材加工用工具「６ＣｘＯＳＧ」、工具管理DX「ＭＯＮＯｌｉｔｈｂｏｘ（モノリスボックス）」、環境配慮型工具、精密・微細工具、ダイヤモンド工具、転造工具</x:v>
      </x:c>
      <x:c r="H431" s="7" t="str">
        <x:v>工具を探す・登録する・補充する手間や、在庫情報の分断がある。</x:v>
      </x:c>
      <x:c r="I431" s="7" t="str">
        <x:v>2024原典抜粋：オーエスジーは、自動化、省人化を通じ、環境配慮につながる製品を提案します。精密・微細加工、自動車、航空機、金型に関連する切削工具を展示します。難削材から非鉄金属まで幅広い被削材に対応し、多様化するモノづくりのニーズにお応えする新製品と最新の加工技術の提案をぜひご覧ください。 Ａブランド工具「Ａタップ」 ・ 「Ａドリル」 ・ 「Ａエンドミル」 ・ 「Ａスレッドミル」、硬脆材加工用工具「6C ｘ OSG」、工具自動販売機「MONOlithbox（モノリスボックス）」、環境配慮型工具、精密・微細工具、ダイヤモンド工具、ツ</x:v>
      </x:c>
      <x:c r="J431" s="7" t="str">
        <x:v>2026原典抜粋：オーエスジーは、自動化、省人化を通じ、環境配慮につながる製品を提案します。 / 硬脆材加工用工具「６ＣｘＯＳＧ」、工具管理DX「ＭＯＮＯｌｉｔｈｂｏｘ（モノリスボックス）」、環境配慮型工具、精密・微細工具、ダイヤモンド工具、転造工具</x:v>
      </x:c>
      <x:c r="K431" s="7" t="str">
        <x:v>原典記述の対照。個別機能の追加・性能差・初登場年は未判定。</x:v>
      </x:c>
      <x:c r="L431" s="7" t="str">
        <x:v>両年説明あり・機能差未判定</x:v>
      </x:c>
      <x:c r="M431" s="7" t="str">
        <x:v>出展説明の一次分類</x:v>
      </x:c>
      <x:c r="N431" s="7" t="str"/>
      <x:c r="O431" s="7" t="str">
        <x:v>承認・例外対応・停止・復帰の境界は未確認</x:v>
      </x:c>
      <x:c r="P431" s="7" t="str">
        <x:v>2026公式カタログ掲載・現地未確認
2026展示予定。既存製品・参考出展・構想等は原典で個別確認</x:v>
      </x:c>
      <x:c r="Q431" s="7" t="str">
        <x:v>AC042</x:v>
      </x:c>
      <x:c t="str" r="R431" s="21">
        <x:f>HYPERLINK("https://www.jimtof.org/search/jp/ESdetails?e=AooPnMJlHW4","JIMTOF2026 出展ページ")</x:f>
        <x:v>JIMTOF2026 出展ページ</x:v>
      </x:c>
      <x:c t="str" r="S431" s="21">
        <x:f>HYPERLINK("https://www.jimtof.org/2024/search/jp/ESdetails?e=soucpoaRRyI","JIMTOF2024 出展ページ")</x:f>
        <x:v>JIMTOF2024 出展ページ</x:v>
      </x:c>
      <x:c r="T431" s="7" t="str">
        <x:v>EEX-EXH-2026-89ee86275a54f434: https://www.jimtof.org/search/jp/ESdetails?e=AooPnMJlHW4
該当箇所: 出展紹介・主な出展物。追加カードの原典抜粋で検索
EEX-EXH-2024-9a837f72519b8764: https://www.jimtof.org/2024/search/jp/ESdetails?e=soucpoaRRyI
該当箇所: 出展紹介・主な出展物。追加カードの原典抜粋で検索</x:v>
      </x:c>
    </x:row>
    <x:row r="432" ht="155" customHeight="1">
      <x:c r="A432" s="7" t="str">
        <x:v>工場運用</x:v>
      </x:c>
      <x:c r="B432" s="7" t="str">
        <x:v>工具データ・在庫・購買</x:v>
      </x:c>
      <x:c r="C432" s="20" t="str">
        <x:v>京セラ株式会社</x:v>
      </x:c>
      <x:c r="D432" s="7" t="str">
        <x:v>旋削工具、回転工具・ソリッド工具</x:v>
      </x:c>
      <x:c r="E432" s="7" t="str">
        <x:v>W1046</x:v>
      </x:c>
      <x:c r="F432" s="7" t="str">
        <x:v>工具データ・在庫・購買</x:v>
      </x:c>
      <x:c r="G432" s="7" t="str">
        <x:v>原典抜粋：京セラは「Creating Sustainable Value in Machining」をコンセプトに出展します。 / 加工状態を可視化・監視・分析するセンシングソリューション「VIMOA」、工具選定を支援する「EASY TOOL GUIDE」を展示し、生産現場のDX推進を支援します。 / また、CAD／CAMメーカー様や加工ユーザー様との連携事例を通じ、加工課題の解決につながる最適なソリューションを紹介します。</x:v>
      </x:c>
      <x:c r="H432" s="7" t="str">
        <x:v>工具を探す・登録する・補充する手間や、在庫情報の分断がある。</x:v>
      </x:c>
      <x:c r="I432" s="7" t="str">
        <x:v>2024原典抜粋：京セラは、「Technology Leads to a Bright Future」をコンセプトに出展します。 【1】新製品を一堂に展示。CVDコーティング材種「CA115P/CA125P」、PVDコーティング材種「PR18シリーズ」をはじめ、小径ソリッドドリル「KDA Mini」、自動盤用突切り工具「KGZ」などの最新切削工具を多数出展。 【2】強い生産現場づくりへ、デジタルツールを活用し、DXを後押しする京セラのトータルサポートの取り組みを紹介。工具選びを便利にするツール「EASY TOOL GUIDE」、加工</x:v>
      </x:c>
      <x:c r="J432" s="7" t="str">
        <x:v>2026原典抜粋：京セラは「Creating Sustainable Value in Machining」をコンセプトに出展します。 / 加工状態を可視化・監視・分析するセンシングソリューション「VIMOA」、工具選定を支援する「EASY TOOL GUIDE」を展示し、生産現場のDX推進を支援します。 / また、CAD／CAMメーカー様や加工ユーザー様との連携事例を通じ、加工課題の解決につながる最適なソリューションを紹介します。</x:v>
      </x:c>
      <x:c r="K432" s="7" t="str">
        <x:v>原典記述の対照。個別機能の追加・性能差・初登場年は未判定。</x:v>
      </x:c>
      <x:c r="L432" s="7" t="str">
        <x:v>両年説明あり・機能差未判定</x:v>
      </x:c>
      <x:c r="M432" s="7" t="str">
        <x:v>出展説明の一次分類</x:v>
      </x:c>
      <x:c r="N432" s="7" t="str"/>
      <x:c r="O432" s="7" t="str">
        <x:v>承認・例外対応・停止・復帰の境界は未確認</x:v>
      </x:c>
      <x:c r="P432" s="7" t="str">
        <x:v>2026公式カタログ掲載・現地未確認
2026展示予定。既存製品・参考出展・構想等は原典で個別確認</x:v>
      </x:c>
      <x:c r="Q432" s="7" t="str">
        <x:v>AC062</x:v>
      </x:c>
      <x:c t="str" r="R432" s="21">
        <x:f>HYPERLINK("https://www.jimtof.org/search/jp/ESdetails?e=E4SA18YM2G4","JIMTOF2026 出展ページ")</x:f>
        <x:v>JIMTOF2026 出展ページ</x:v>
      </x:c>
      <x:c t="str" r="S432" s="21">
        <x:f>HYPERLINK("https://www.jimtof.org/2024/search/jp/ESdetails?e=0vdiPA6Ji_M","JIMTOF2024 出展ページ")</x:f>
        <x:v>JIMTOF2024 出展ページ</x:v>
      </x:c>
      <x:c r="T432" s="7" t="str">
        <x:v>EEX-EXH-2026-916418fd838030de: https://www.jimtof.org/search/jp/ESdetails?e=E4SA18YM2G4
該当箇所: 出展紹介・主な出展物。追加カードの原典抜粋で検索
EEX-EXH-2024-52636389a1fe85b6: https://www.jimtof.org/2024/search/jp/ESdetails?e=0vdiPA6Ji_M
該当箇所: 出展紹介・主な出展物。追加カードの原典抜粋で検索</x:v>
      </x:c>
    </x:row>
    <x:row r="433" ht="155" customHeight="1">
      <x:c r="A433" s="7" t="str">
        <x:v>工場運用</x:v>
      </x:c>
      <x:c r="B433" s="7" t="str">
        <x:v>工具データ・在庫・購買</x:v>
      </x:c>
      <x:c r="C433" s="20" t="str">
        <x:v>CIMSOURCE Japan株式会社</x:v>
      </x:c>
      <x:c r="D433" s="7" t="str">
        <x:v>『ToolsUnited』(ツールズユナイテッド)</x:v>
      </x:c>
      <x:c r="E433" s="7" t="str">
        <x:v>W1085</x:v>
      </x:c>
      <x:c r="F433" s="7" t="str">
        <x:v>工具データ・在庫・購買 ／ 図面・設計データの管理と連携</x:v>
      </x:c>
      <x:c r="G433" s="7" t="str">
        <x:v>原典抜粋：切削工具のデジタル情報で効率化に貢献する / 工具管理システム(TMS)やCAMへの工具登録を支援、国際規格ISO13399やドイツDIN4000に準拠した工具データおよび図面データ3D STEP,2D DXFファイルを提供する。 / 『ToolsUnited』に掲載されていない、工具においても必要な状況を依頼が出来る『ToolLink』(ツールリンク)、クラウドベースの工具管理システム『ToolPal』(ツールパル)など、貴社の工具の</x:v>
      </x:c>
      <x:c r="H433" s="7" t="str">
        <x:v>工具を探す・登録する・補充する手間や、在庫情報の分断がある。 ／ 図面・工具・品質・工程情報が別々に保存され、再利用しにくい。</x:v>
      </x:c>
      <x:c r="I433" s="7" t="str">
        <x:v>2024原典抜粋：CIMSOURCEはデジタルツールの技術（ソフト）を製造業へ提供しています。 最先端の工具メーカーである三菱マテリアルや京セラ、ユーザーではコマツがお客様です。 CIMSOURCEの規格および技術は金属加工業界のDXのキーとなります。 1992年にStandard Open Base（StOB）を開発し、国際規格ISO13399とDIN4000と調和してきて以来、CIMSOURCEは工具サプライヤーに製品データベースを提供し、世界中の製造現場へ工具データベースを提供しています。 CIMSOURCEの全製品は、工具デ</x:v>
      </x:c>
      <x:c r="J433" s="7" t="str">
        <x:v>2026原典抜粋：切削工具のデジタル情報で効率化に貢献する / 工具管理システム(TMS)やCAMへの工具登録を支援、国際規格ISO13399やドイツDIN4000に準拠した工具データおよび図面データ3D STEP,2D DXFファイルを提供する。 / 『ToolsUnited』に掲載されていない、工具においても必要な状況を依頼が出来る『ToolLink』(ツールリンク)、クラウドベースの工具管理システム『ToolPal』(ツールパル)など、貴社の工具の</x:v>
      </x:c>
      <x:c r="K433" s="7" t="str">
        <x:v>原典記述の対照。個別機能の追加・性能差・初登場年は未判定。</x:v>
      </x:c>
      <x:c r="L433" s="7" t="str">
        <x:v>両年説明あり・機能差未判定</x:v>
      </x:c>
      <x:c r="M433" s="7" t="str">
        <x:v>出展説明の一次分類</x:v>
      </x:c>
      <x:c r="N433" s="7" t="str"/>
      <x:c r="O433" s="7" t="str">
        <x:v>承認・例外対応・停止・復帰の境界は未確認</x:v>
      </x:c>
      <x:c r="P433" s="7" t="str">
        <x:v>2026公式カタログ掲載・現地未確認
2026展示予定。既存製品・参考出展・構想等は原典で個別確認</x:v>
      </x:c>
      <x:c r="Q433" s="7" t="str">
        <x:v>AC104</x:v>
      </x:c>
      <x:c t="str" r="R433" s="21">
        <x:f>HYPERLINK("https://www.jimtof.org/search/jp/ESdetails?e=qRD_BxF9DJo","JIMTOF2026 出展ページ")</x:f>
        <x:v>JIMTOF2026 出展ページ</x:v>
      </x:c>
      <x:c t="str" r="S433" s="21">
        <x:f>HYPERLINK("https://www.jimtof.org/2024/search/jp/ESdetails?e=wnB2kPvDLJE","JIMTOF2024 出展ページ")</x:f>
        <x:v>JIMTOF2024 出展ページ</x:v>
      </x:c>
      <x:c r="T433" s="7" t="str">
        <x:v>EEX-EXH-2026-01e20e87bdb59892: https://www.jimtof.org/search/jp/ESdetails?e=qRD_BxF9DJo
該当箇所: 出展紹介・主な出展物。追加カードの原典抜粋で検索
EEX-EXH-2024-9a19f9a263f0dfca: https://www.jimtof.org/2024/search/jp/ESdetails?e=wnB2kPvDLJE
該当箇所: 出展紹介・主な出展物。追加カードの原典抜粋で検索</x:v>
      </x:c>
    </x:row>
    <x:row r="434" ht="155" customHeight="1">
      <x:c r="A434" s="7" t="str">
        <x:v>工場運用</x:v>
      </x:c>
      <x:c r="B434" s="7" t="str">
        <x:v>工具データ・在庫・購買</x:v>
      </x:c>
      <x:c r="C434" s="20" t="str">
        <x:v>有限会社曽根田工業</x:v>
      </x:c>
      <x:c r="D434" s="7" t="str">
        <x:v>maxVpoint　タングステンヘッドの超硬ボーリングホルダー</x:v>
      </x:c>
      <x:c r="E434" s="7" t="str">
        <x:v>W1050</x:v>
      </x:c>
      <x:c r="F434" s="7" t="str">
        <x:v>工具データ・在庫・購買</x:v>
      </x:c>
      <x:c r="G434" s="7" t="str">
        <x:v>原典抜粋：・DXスマートキャビネット</x:v>
      </x:c>
      <x:c r="H434" s="7" t="str">
        <x:v>工具を探す・登録する・補充する手間や、在庫情報の分断がある。</x:v>
      </x:c>
      <x:c r="I434" s="7" t="str">
        <x:v>同一正規化名称の2024詳細なし。新規出展・技術不存在とは判断しない。</x:v>
      </x:c>
      <x:c r="J434" s="7" t="str">
        <x:v>2026原典抜粋：・DXスマートキャビネット</x:v>
      </x:c>
      <x:c r="K434" s="7" t="str">
        <x:v>原典記述の対照。個別機能の追加・性能差・初登場年は未判定。</x:v>
      </x:c>
      <x:c r="L434" s="7" t="str">
        <x:v>年度資料不足・比較不能</x:v>
      </x:c>
      <x:c r="M434" s="7" t="str">
        <x:v>出展説明の一次分類</x:v>
      </x:c>
      <x:c r="N434" s="7" t="str"/>
      <x:c r="O434" s="7" t="str">
        <x:v>承認・例外対応・停止・復帰の境界は未確認</x:v>
      </x:c>
      <x:c r="P434" s="7" t="str">
        <x:v>2026公式カタログ掲載・現地未確認
2026展示予定。既存製品・参考出展・構想等は原典で個別確認</x:v>
      </x:c>
      <x:c r="Q434" s="7" t="str">
        <x:v>AC124</x:v>
      </x:c>
      <x:c t="str" r="R434" s="21">
        <x:f>HYPERLINK("https://www.jimtof.org/search/jp/ESdetails?e=GmcV3KL5k6M","JIMTOF2026 出展ページ")</x:f>
        <x:v>JIMTOF2026 出展ページ</x:v>
      </x:c>
      <x:c r="S434" s="21" t="str"/>
      <x:c r="T434" s="7" t="str">
        <x:v>EEX-EXH-2026-6c09024686b35965: https://www.jimtof.org/search/jp/ESdetails?e=GmcV3KL5k6M
該当箇所: 出展紹介・主な出展物。追加カードの原典抜粋で検索</x:v>
      </x:c>
    </x:row>
    <x:row r="435" ht="155" customHeight="1">
      <x:c r="A435" s="7" t="str">
        <x:v>工場運用</x:v>
      </x:c>
      <x:c r="B435" s="7" t="str">
        <x:v>工具データ・在庫・購買</x:v>
      </x:c>
      <x:c r="C435" s="20" t="str">
        <x:v>ZOLLER Japan株式会社</x:v>
      </x:c>
      <x:c r="D435" s="7" t="str">
        <x:v>genius</x:v>
      </x:c>
      <x:c r="E435" s="7" t="str">
        <x:v>S1002</x:v>
      </x:c>
      <x:c r="F435" s="7" t="str">
        <x:v>工具データ・在庫・購買</x:v>
      </x:c>
      <x:c r="G435" s="7" t="str">
        <x:v>原典抜粋：急騰する切削工具を如何に管理し、コストダウンするか、を主なテーマとした製品展示を行う。 / 「管理」する意味は様々だが、工具測定機、ツールプリセッター、ツールバランサーの高精度と高機能、工具管理システムの仕組み等により、最適な「管理」を提案する。 / genius / venturion / smile / toolBalancer / pomBasic / toolOrganizer / zidCode</x:v>
      </x:c>
      <x:c r="H435" s="7" t="str">
        <x:v>工具を探す・登録する・補充する手間や、在庫情報の分断がある。</x:v>
      </x:c>
      <x:c r="I435" s="7" t="str">
        <x:v>同一正規化名称の2024詳細なし。新規出展・技術不存在とは判断しない。</x:v>
      </x:c>
      <x:c r="J435" s="7" t="str">
        <x:v>2026原典抜粋：急騰する切削工具を如何に管理し、コストダウンするか、を主なテーマとした製品展示を行う。 / 「管理」する意味は様々だが、工具測定機、ツールプリセッター、ツールバランサーの高精度と高機能、工具管理システムの仕組み等により、最適な「管理」を提案する。 / genius / venturion / smile / toolBalancer / pomBasic / toolOrganizer / zidCode</x:v>
      </x:c>
      <x:c r="K435" s="7" t="str">
        <x:v>原典記述の対照。個別機能の追加・性能差・初登場年は未判定。</x:v>
      </x:c>
      <x:c r="L435" s="7" t="str">
        <x:v>年度資料不足・比較不能</x:v>
      </x:c>
      <x:c r="M435" s="7" t="str">
        <x:v>出展説明の一次分類</x:v>
      </x:c>
      <x:c r="N435" s="7" t="str"/>
      <x:c r="O435" s="7" t="str">
        <x:v>承認・例外対応・停止・復帰の境界は未確認</x:v>
      </x:c>
      <x:c r="P435" s="7" t="str">
        <x:v>2026公式カタログ掲載・現地未確認
2026展示予定。既存製品・参考出展・構想等は原典で個別確認</x:v>
      </x:c>
      <x:c r="Q435" s="7" t="str">
        <x:v>AC138</x:v>
      </x:c>
      <x:c t="str" r="R435" s="21">
        <x:f>HYPERLINK("https://www.jimtof.org/search/jp/ESdetails?e=jOy4EwAr6xI","JIMTOF2026 出展ページ")</x:f>
        <x:v>JIMTOF2026 出展ページ</x:v>
      </x:c>
      <x:c r="S435" s="21" t="str"/>
      <x:c r="T435" s="7" t="str">
        <x:v>EEX-EXH-2026-3828f130cd66f8e7: https://www.jimtof.org/search/jp/ESdetails?e=jOy4EwAr6xI
該当箇所: 出展紹介・主な出展物。追加カードの原典抜粋で検索</x:v>
      </x:c>
    </x:row>
    <x:row r="436" ht="155" customHeight="1">
      <x:c r="A436" s="7" t="str">
        <x:v>工場運用</x:v>
      </x:c>
      <x:c r="B436" s="7" t="str">
        <x:v>工具データ・在庫・購買</x:v>
      </x:c>
      <x:c r="C436" s="20" t="str">
        <x:v>株式会社ミスミ</x:v>
      </x:c>
      <x:c r="D436" s="7" t="str">
        <x:v>間接材トータルコストダウンサービス「MISUMI floow」自販機2種とミスミの切削工具を展示します。</x:v>
      </x:c>
      <x:c r="E436" s="7" t="str">
        <x:v>W3099</x:v>
      </x:c>
      <x:c r="F436" s="7" t="str">
        <x:v>工具データ・在庫・購買</x:v>
      </x:c>
      <x:c r="G436" s="7" t="str">
        <x:v>原典抜粋：自販機内在庫は重量センサーで管理し取り出し数量や在庫数を自動把握。 / 補充分も自動発注しお届けします。</x:v>
      </x:c>
      <x:c r="H436" s="7" t="str">
        <x:v>工具を探す・登録する・補充する手間や、在庫情報の分断がある。</x:v>
      </x:c>
      <x:c r="I436" s="7" t="str">
        <x:v>同一正規化名称の2024詳細なし。新規出展・技術不存在とは判断しない。</x:v>
      </x:c>
      <x:c r="J436" s="7" t="str">
        <x:v>2026原典抜粋：自販機内在庫は重量センサーで管理し取り出し数量や在庫数を自動把握。 / 補充分も自動発注しお届けします。</x:v>
      </x:c>
      <x:c r="K436" s="7" t="str">
        <x:v>原典記述の対照。個別機能の追加・性能差・初登場年は未判定。</x:v>
      </x:c>
      <x:c r="L436" s="7" t="str">
        <x:v>年度資料不足・比較不能</x:v>
      </x:c>
      <x:c r="M436" s="7" t="str">
        <x:v>出展説明の一次分類</x:v>
      </x:c>
      <x:c r="N436" s="7" t="str"/>
      <x:c r="O436" s="7" t="str">
        <x:v>承認・例外対応・停止・復帰の境界は未確認</x:v>
      </x:c>
      <x:c r="P436" s="7" t="str">
        <x:v>2026公式カタログ掲載・現地未確認
2026展示予定。既存製品・参考出展・構想等は原典で個別確認</x:v>
      </x:c>
      <x:c r="Q436" s="7" t="str">
        <x:v>AC216</x:v>
      </x:c>
      <x:c t="str" r="R436" s="21">
        <x:f>HYPERLINK("https://www.jimtof.org/search/jp/ESdetails?e=h6ienur8wVM","JIMTOF2026 出展ページ")</x:f>
        <x:v>JIMTOF2026 出展ページ</x:v>
      </x:c>
      <x:c r="S436" s="21" t="str"/>
      <x:c r="T436" s="7" t="str">
        <x:v>EEX-EXH-2026-df2de585aa6fd08a: https://www.jimtof.org/search/jp/ESdetails?e=h6ienur8wVM
該当箇所: 出展紹介・主な出展物。追加カードの原典抜粋で検索</x:v>
      </x:c>
    </x:row>
    <x:row r="437" ht="155" customHeight="1">
      <x:c r="A437" s="7" t="str">
        <x:v>工場運用</x:v>
      </x:c>
      <x:c r="B437" s="7" t="str">
        <x:v>工具データ・在庫・購買</x:v>
      </x:c>
      <x:c r="C437" s="20" t="str">
        <x:v>株式会社ミスミ</x:v>
      </x:c>
      <x:c r="D437" s="7" t="str">
        <x:v>間接材トータルコストダウンサービス「MISUMI floow」自販機2種とミスミの切削工具を展示します。</x:v>
      </x:c>
      <x:c r="E437" s="7" t="str">
        <x:v>W1085</x:v>
      </x:c>
      <x:c r="F437" s="7" t="str">
        <x:v>工具データ・在庫・購買</x:v>
      </x:c>
      <x:c r="G437" s="7" t="str">
        <x:v>原典抜粋：自販機内在庫は重量センサーで管理し取り出し数量や在庫数を自動把握。 / 補充分も自動発注しお届けします。</x:v>
      </x:c>
      <x:c r="H437" s="7" t="str">
        <x:v>工具を探す・登録する・補充する手間や、在庫情報の分断がある。</x:v>
      </x:c>
      <x:c r="I437" s="7" t="str">
        <x:v>同一正規化名称の2024詳細なし。新規出展・技術不存在とは判断しない。</x:v>
      </x:c>
      <x:c r="J437" s="7" t="str">
        <x:v>2026原典抜粋：自販機内在庫は重量センサーで管理し取り出し数量や在庫数を自動把握。 / 補充分も自動発注しお届けします。</x:v>
      </x:c>
      <x:c r="K437" s="7" t="str">
        <x:v>原典記述の対照。個別機能の追加・性能差・初登場年は未判定。</x:v>
      </x:c>
      <x:c r="L437" s="7" t="str">
        <x:v>年度資料不足・比較不能</x:v>
      </x:c>
      <x:c r="M437" s="7" t="str">
        <x:v>出展説明の一次分類</x:v>
      </x:c>
      <x:c r="N437" s="7" t="str"/>
      <x:c r="O437" s="7" t="str">
        <x:v>承認・例外対応・停止・復帰の境界は未確認</x:v>
      </x:c>
      <x:c r="P437" s="7" t="str">
        <x:v>2026公式カタログ掲載・現地未確認
2026展示予定。既存製品・参考出展・構想等は原典で個別確認</x:v>
      </x:c>
      <x:c r="Q437" s="7" t="str">
        <x:v>AC217</x:v>
      </x:c>
      <x:c t="str" r="R437" s="21">
        <x:f>HYPERLINK("https://www.jimtof.org/search/jp/ESdetails?e=LcjgLguZjr4","JIMTOF2026 出展ページ")</x:f>
        <x:v>JIMTOF2026 出展ページ</x:v>
      </x:c>
      <x:c r="S437" s="21" t="str"/>
      <x:c r="T437" s="7" t="str">
        <x:v>EEX-EXH-2026-e80bcf8092a2c421: https://www.jimtof.org/search/jp/ESdetails?e=LcjgLguZjr4
該当箇所: 出展紹介・主な出展物。追加カードの原典抜粋で検索</x:v>
      </x:c>
    </x:row>
    <x:row r="438" ht="155" customHeight="1">
      <x:c r="A438" s="7" t="str">
        <x:v>工場運用</x:v>
      </x:c>
      <x:c r="B438" s="7" t="str">
        <x:v>工具データ・在庫・購買</x:v>
      </x:c>
      <x:c r="C438" s="20" t="str">
        <x:v>INCOS INC</x:v>
      </x:c>
      <x:c r="D438" s="7" t="str">
        <x:v>boxcon：工具貸出・返却・在庫管理</x:v>
      </x:c>
      <x:c r="E438" s="7" t="str">
        <x:v>S3006</x:v>
      </x:c>
      <x:c r="F438" s="7" t="str">
        <x:v>工具データ・在庫・購買</x:v>
      </x:c>
      <x:c r="G438" s="7" t="str">
        <x:v>2026はリアルタイム追跡・認証・履歴と自律製造対応を強調。</x:v>
      </x:c>
      <x:c r="H438" s="7" t="str">
        <x:v>工具を探す・登録する・補充する手間や、在庫情報の分断がある。</x:v>
      </x:c>
      <x:c r="I438" s="7" t="str">
        <x:v>2024もIoT・ロードセル・LED・ロック等とソフトによる工具在庫管理を説明。</x:v>
      </x:c>
      <x:c r="J438" s="7" t="str">
        <x:v>2026はリアルタイム追跡・認証・履歴と自律製造対応を強調。</x:v>
      </x:c>
      <x:c r="K438" s="7" t="str">
        <x:v>IoT工具管理は継続。自律製造向けという訴求を、自律判断機能の追加と混同しない。</x:v>
      </x:c>
      <x:c r="L438" s="7" t="str">
        <x:v>両年説明あり・機能差未判定</x:v>
      </x:c>
      <x:c r="M438" s="7" t="str">
        <x:v>出展説明の一次分類</x:v>
      </x:c>
      <x:c r="N438" s="7" t="str"/>
      <x:c r="O438" s="7" t="str">
        <x:v>承認・例外対応・停止・復帰の境界は未確認</x:v>
      </x:c>
      <x:c r="P438" s="7" t="str">
        <x:v>2026公式カタログ掲載・現地未確認
2026展示予定。既存製品・参考出展・構想等は原典で個別確認</x:v>
      </x:c>
      <x:c r="Q438" s="7" t="str">
        <x:v>AC265</x:v>
      </x:c>
      <x:c t="str" r="R438" s="21">
        <x:f>HYPERLINK("https://www.jimtof.org/search/jp/ESdetails?e=fAg9O7WHKh0","JIMTOF2026 出展ページ")</x:f>
        <x:v>JIMTOF2026 出展ページ</x:v>
      </x:c>
      <x:c t="str" r="S438" s="21">
        <x:f>HYPERLINK("https://www.jimtof.org/2024/search/jp/ESdetails?e=bz4bGc4T6ag","JIMTOF2024 出展ページ")</x:f>
        <x:v>JIMTOF2024 出展ページ</x:v>
      </x:c>
      <x:c r="T438" s="7" t="str">
        <x:v>EEX-EXH-2026-50a336f6fb27482a: https://www.jimtof.org/search/jp/ESdetails?e=fAg9O7WHKh0
該当箇所: 出展紹介・主な出展物。追加カードの原典抜粋で検索
EEX-EXH-2024-eec5a9541dad389d: https://www.jimtof.org/2024/search/jp/ESdetails?e=bz4bGc4T6ag
該当箇所: 出展紹介・主な出展物。追加カードの原典抜粋で検索</x:v>
      </x:c>
    </x:row>
    <x:row r="439" ht="155" customHeight="1">
      <x:c r="A439" s="7" t="str">
        <x:v>工場運用</x:v>
      </x:c>
      <x:c r="B439" s="7" t="str">
        <x:v>工具データ・在庫・購買</x:v>
      </x:c>
      <x:c r="C439" s="20" t="str">
        <x:v>WinTool AG</x:v>
      </x:c>
      <x:c r="D439" s="7" t="str">
        <x:v>WinTool：工具情報と現物・工程資源の連携</x:v>
      </x:c>
      <x:c r="E439" s="7" t="str">
        <x:v>E1049</x:v>
      </x:c>
      <x:c r="F439" s="7" t="str">
        <x:v>工具情報・所在・在庫を工程と結ぶ</x:v>
      </x:c>
      <x:c r="G439" s="7" t="str">
        <x:v>WinToolは工具情報と工程資源を連携。在庫ルールで購買要求。</x:v>
      </x:c>
      <x:c r="H439" s="7" t="str">
        <x:v>工具を探す・登録する・補充する手間や、在庫情報の分断がある。 ／ 図面・工具・品質・工程情報が別々に保存され、再利用しにくい。 ／ 現物・工具マスター・進捗が分断し変更に追従しにくい。</x:v>
      </x:c>
      <x:c r="I439" s="7" t="str">
        <x:v>2024も工具ライブラリ・CAM／NC・在庫・段取り・収納／プリセッター連携を説明。</x:v>
      </x:c>
      <x:c r="J439" s="7" t="str">
        <x:v>2026は現物情報と生産資源・BOPへの対応、一貫性を強調。</x:v>
      </x:c>
      <x:c r="K439" s="7" t="str">
        <x:v>工具・CAM・在庫連携は2024から継続。2026は資源の一貫性を強調。</x:v>
      </x:c>
      <x:c r="L439" s="7" t="str">
        <x:v>個別比較あり</x:v>
      </x:c>
      <x:c r="M439" s="7" t="str">
        <x:v>詳細比較済み</x:v>
      </x:c>
      <x:c r="N439" s="7" t="str"/>
      <x:c r="O439" s="7" t="str">
        <x:v>管理者承認後ERPへ送信。AIによる自律発注とは記載なし。</x:v>
      </x:c>
      <x:c r="P439" s="7" t="str">
        <x:v>2026公式カタログ掲載・現地未確認
2026展示予定。既存製品・参考出展・構想等は原典で個別確認</x:v>
      </x:c>
      <x:c r="Q439" s="7" t="str">
        <x:v>AC295</x:v>
      </x:c>
      <x:c t="str" r="R439" s="21">
        <x:f>HYPERLINK("https://www.jimtof.org/search/jp/ESdetails?e=sSFZV23clJo","JIMTOF2026 出展ページ")</x:f>
        <x:v>JIMTOF2026 出展ページ</x:v>
      </x:c>
      <x:c t="str" r="S439" s="21">
        <x:f>HYPERLINK("https://www.jimtof.org/2024/search/jp/ESdetails?e=-n22F1d_CDc","JIMTOF2024 出展ページ")</x:f>
        <x:v>JIMTOF2024 出展ページ</x:v>
      </x:c>
      <x:c r="T439" s="7" t="str">
        <x:v>EEX-EXH-2026-4fb92ba6b82546d7: https://www.jimtof.org/search/jp/ESdetails?e=sSFZV23clJo
該当箇所: 出展紹介・主な出展物。追加カードの原典抜粋で検索
EEX-EXH-2024-3f1fa1966a57e011: https://www.jimtof.org/2024/search/jp/ESdetails?e=-n22F1d_CDc
該当箇所: 出展紹介・主な出展物。追加カードの原典抜粋で検索
EDP-18: https://www.wintool.com/en/tool-management-software/cnc-inventory-manager/erp-integration
該当箇所: 最低在庫で購買要求を生成し、管理者承認後にERPへ自動送信
EDP-19: https://www.wintool.com/software/cnc-prozessverwaltung
該当箇所: 工具積卸リスト・在庫確認・プリセッター指示・NCと測定値の転送</x:v>
      </x:c>
    </x:row>
    <x:row r="440" ht="155" customHeight="1">
      <x:c r="A440" s="7" t="str">
        <x:v>生産準備</x:v>
      </x:c>
      <x:c r="B440" s="7" t="str">
        <x:v>図面・設計データの管理と連携</x:v>
      </x:c>
      <x:c r="C440" s="20" t="str">
        <x:v>EPLAN</x:v>
      </x:c>
      <x:c r="D440" s="7" t="str">
        <x:v>Eplan P8／Pro Panel</x:v>
      </x:c>
      <x:c r="E440" s="7" t="str">
        <x:v>S1067</x:v>
      </x:c>
      <x:c r="F440" s="7" t="str">
        <x:v>設計製造データ連携</x:v>
      </x:c>
      <x:c r="G440" s="7" t="str">
        <x:v>設計資産の標準化・再利用と製造データの一貫化</x:v>
      </x:c>
      <x:c r="H440" s="7" t="str">
        <x:v>設計・加工準備・製造間のデータ分断と設計資産の再利用</x:v>
      </x:c>
      <x:c r="I440" s="7" t="str">
        <x:v>電気設計から盤製造までのデータ接続を掲載</x:v>
      </x:c>
      <x:c r="J440" s="7" t="str">
        <x:v>同じデータ中心の設計製造連携を掲載</x:v>
      </x:c>
      <x:c r="K440" s="7" t="str">
        <x:v>出展説明・公式資料の記載比較。初発明年・実演成功・性能向上を証明するものではない。</x:v>
      </x:c>
      <x:c r="L440" s="7" t="str">
        <x:v>比較記録あり</x:v>
      </x:c>
      <x:c r="M440" s="7" t="str">
        <x:v>個別タスク整理</x:v>
      </x:c>
      <x:c r="N440" s="7" t="str"/>
      <x:c r="O440" s="7" t="str">
        <x:v>設計判断・最終承認を自律化する説明ではない</x:v>
      </x:c>
      <x:c r="P440" s="7" t="str">
        <x:v>JIMTOF2026公式カタログ掲載・現地未確認
2026展示予定・提供段階未確認</x:v>
      </x:c>
      <x:c r="Q440" s="7" t="str">
        <x:v>FC016</x:v>
      </x:c>
      <x:c t="str" r="R440" s="21">
        <x:f>HYPERLINK("https://www.jimtof.org/search/jp/ESdetails?e=FHsQAvmFusY","JIMTOF2026 出展ページ")</x:f>
        <x:v>JIMTOF2026 出展ページ</x:v>
      </x:c>
      <x:c t="str" r="S440" s="21">
        <x:f>HYPERLINK("https://www.jimtof.org/2024/search/jp/ESdetails?e=50efK4rQsHs","JIMTOF2024 出展ページ")</x:f>
        <x:v>JIMTOF2024 出展ページ</x:v>
      </x:c>
      <x:c r="T440" s="7" t="str">
        <x:v>EOV-V006-2024-1: https://www.jimtof.org/2024/search/jp/ESdetails?e=50efK4rQsHs
該当箇所: main &gt; div.col-md-8.mb-5 の出展紹介、見出し「主な出展物」直後
EOV-V006-2026-1: https://www.jimtof.org/search/jp/ESdetails?e=FHsQAvmFusY
該当箇所: main &gt; div.col-md-8.mb-5 の出展紹介、見出し「主な出展物」直後</x:v>
      </x:c>
    </x:row>
    <x:row r="441" ht="155" customHeight="1">
      <x:c r="A441" s="7" t="str">
        <x:v>生産準備</x:v>
      </x:c>
      <x:c r="B441" s="7" t="str">
        <x:v>図面・設計データの管理と連携</x:v>
      </x:c>
      <x:c r="C441" s="20" t="str">
        <x:v>オートデスク</x:v>
      </x:c>
      <x:c r="D441" s="7" t="str">
        <x:v>Fusion／FeatureCAM／PLM連携</x:v>
      </x:c>
      <x:c r="E441" s="7" t="str">
        <x:v>S3019</x:v>
      </x:c>
      <x:c r="F441" s="7" t="str">
        <x:v>設計製造データ連携</x:v>
      </x:c>
      <x:c r="G441" s="7" t="str">
        <x:v>CAD/CAMとPLM・AI支援を組み合わせる提案</x:v>
      </x:c>
      <x:c r="H441" s="7" t="str">
        <x:v>設計・加工準備・製造間のデータ分断と設計資産の再利用</x:v>
      </x:c>
      <x:c r="I441" s="7" t="str">
        <x:v>クラウドFusionとFeatureCAM自動プログラミングを掲載</x:v>
      </x:c>
      <x:c r="J441" s="7" t="str">
        <x:v>AI・PLMを強調。個別AI方式の比較はできない</x:v>
      </x:c>
      <x:c r="K441" s="7" t="str">
        <x:v>出展説明・公式資料の記載比較。初発明年・実演成功・性能向上を証明するものではない。</x:v>
      </x:c>
      <x:c r="L441" s="7" t="str">
        <x:v>比較記録あり</x:v>
      </x:c>
      <x:c r="M441" s="7" t="str">
        <x:v>個別タスク整理</x:v>
      </x:c>
      <x:c r="N441" s="7" t="str"/>
      <x:c r="O441" s="7" t="str">
        <x:v>AIが担当する具体タスクと自動確定範囲は未確認</x:v>
      </x:c>
      <x:c r="P441" s="7" t="str">
        <x:v>JIMTOF2026公式カタログ掲載・現地未確認
2026展示予定・提供段階未確認</x:v>
      </x:c>
      <x:c r="Q441" s="7" t="str">
        <x:v>FC023</x:v>
      </x:c>
      <x:c t="str" r="R441" s="21">
        <x:f>HYPERLINK("https://www.jimtof.org/search/jp/ESdetails?e=Y_kC6hMTghk","JIMTOF2026 出展ページ")</x:f>
        <x:v>JIMTOF2026 出展ページ</x:v>
      </x:c>
      <x:c t="str" r="S441" s="21">
        <x:f>HYPERLINK("https://www.jimtof.org/2024/search/jp/ESdetails?e=5CWUqNS_dBw","JIMTOF2024 出展ページ")</x:f>
        <x:v>JIMTOF2024 出展ページ</x:v>
      </x:c>
      <x:c r="T441" s="7" t="str">
        <x:v>EOV-V010-2024-1: https://www.jimtof.org/2024/search/jp/ESdetails?e=5CWUqNS_dBw
該当箇所: main &gt; div.col-md-8.mb-5 の出展紹介、見出し「主な出展物」直後
EOV-V010-2026-1: https://www.jimtof.org/search/jp/ESdetails?e=Y_kC6hMTghk
該当箇所: main &gt; div.col-md-8.mb-5 の出展紹介、見出し「主な出展物」直後</x:v>
      </x:c>
    </x:row>
    <x:row r="442" ht="155" customHeight="1">
      <x:c r="A442" s="7" t="str">
        <x:v>生産準備</x:v>
      </x:c>
      <x:c r="B442" s="7" t="str">
        <x:v>図面・設計データの管理と連携</x:v>
      </x:c>
      <x:c r="C442" s="20" t="str">
        <x:v>Smart Craft</x:v>
      </x:c>
      <x:c r="D442" s="7" t="str">
        <x:v>Smart Craft MES</x:v>
      </x:c>
      <x:c r="E442" s="7" t="str">
        <x:v>S3002</x:v>
      </x:c>
      <x:c r="F442" s="7" t="str">
        <x:v>作業記録・指示・製造履歴を管理する</x:v>
      </x:c>
      <x:c r="G442" s="7" t="str">
        <x:v>Smart Craft MESは記録・指示・履歴を一元管理しAPI連携。</x:v>
      </x:c>
      <x:c r="H442" s="7" t="str">
        <x:v>生産・品質・在庫・購買の分散情報、現場入力と転記の負担</x:v>
      </x:c>
      <x:c r="I442" s="7" t="str">
        <x:v>2024詳細なし</x:v>
      </x:c>
      <x:c r="J442" s="7" t="str">
        <x:v>2026機能説明あり</x:v>
      </x:c>
      <x:c r="K442" s="7" t="str">
        <x:v>2024個別比較不能。</x:v>
      </x:c>
      <x:c r="L442" s="7" t="str">
        <x:v>個別比較あり</x:v>
      </x:c>
      <x:c r="M442" s="7" t="str">
        <x:v>詳細比較済み</x:v>
      </x:c>
      <x:c r="N442" s="7" t="str"/>
      <x:c r="O442" s="7" t="str">
        <x:v>AI分析の内容や判断権限、入力作業の残りは未確認。</x:v>
      </x:c>
      <x:c r="P442" s="7" t="str">
        <x:v>JIMTOF2026公式カタログ掲載・現地未確認
2026展示予定・提供段階未確認</x:v>
      </x:c>
      <x:c r="Q442" s="7" t="str">
        <x:v>FC026</x:v>
      </x:c>
      <x:c t="str" r="R442" s="21">
        <x:f>HYPERLINK("https://www.jimtof.org/search/jp/ESdetails?e=WqjRB6DEqN0","JIMTOF2026 出展ページ")</x:f>
        <x:v>JIMTOF2026 出展ページ</x:v>
      </x:c>
      <x:c r="S442" s="21" t="str"/>
      <x:c r="T442" s="7" t="str">
        <x:v>EOV-V013-2026-1: https://www.jimtof.org/search/jp/ESdetails?e=WqjRB6DEqN0
該当箇所: main &gt; div.col-md-8.mb-5 の出展紹介、見出し「主な出展物」直後</x:v>
      </x:c>
    </x:row>
    <x:row r="443" ht="155" customHeight="1">
      <x:c r="A443" s="7" t="str">
        <x:v>生産準備</x:v>
      </x:c>
      <x:c r="B443" s="7" t="str">
        <x:v>図面・設計データの管理と連携</x:v>
      </x:c>
      <x:c r="C443" s="20" t="str">
        <x:v>株式会社ゴードーソリューション</x:v>
      </x:c>
      <x:c r="D443" s="7" t="str">
        <x:v>新製品「NAZCA5 GEMBACO」をはじめ、製造現場のデジタル化を支援する製品を展示します。</x:v>
      </x:c>
      <x:c r="E443" s="7" t="str">
        <x:v>S4009</x:v>
      </x:c>
      <x:c r="F443" s="7" t="str">
        <x:v>図面管理・CAM・稼働可視化</x:v>
      </x:c>
      <x:c r="G443" s="7" t="str">
        <x:v>NAZCA5 GEMBACO、CAD/CAM、LINKA3を紹介。図面管理へのAI使用は未確認。</x:v>
      </x:c>
      <x:c r="H443" s="7" t="str">
        <x:v>過去図面と原価を探し、案件ごとに見積を組み立てる負担。 ／ 工具・機械・段取り制約を織り込む工程作成の技能依存。 ／ 現物・工具マスター・進捗が分断し変更に追従しにくい。 ／ 形状の設計変更や加工前の確認に手間がかかる。 ／ 図面・工具・品質・工程情報が別々に保存され、再利用しにくい。</x:v>
      </x:c>
      <x:c r="I443" s="7" t="str">
        <x:v>2024原典抜粋：ゴードーソリューションは、CAD/CAMや加工シミュレーション・NCプログラム通信など、NC工作機械向けソフトウェアの開発から販売・サポートまでをすべて自社で行っているソフトウェアメーカーです。 ナスカの愛称で親しまれている当社製品は、これまで多くのお客様にご愛顧いただき、シリーズ累計21,000事業所に導入いただいています。（2023年3月時点） 今回は、生産設備向けIoTシステム「Nazca Neo Linka」をはじめ、CAD/CAM、図面管理システムのデモンストレーションを行います。 「Nazca Neo </x:v>
      </x:c>
      <x:c r="J443" s="7" t="str">
        <x:v>2026原典抜粋：ゴードーソリューションは、CAD/CAMや加工シミュレーション、NCプログラム通信など、NC工作機械向けソフトウェアの開発から販売・サポートまでを一貫して自社で行うソフトウェアメーカーです。 / 今回は、加工現場向け図面＆データ管理ソフト「NAZCA5 GEMBACO」をはじめ、CAD/CAM製品や、IoTによる工場の見える化システム「LINKA3」を展示します。 / また、会議棟では「加工現場のデータ活用DX」をテーマにした実践的なセ</x:v>
      </x:c>
      <x:c r="K443" s="7" t="str">
        <x:v>原典記述の対照。個別機能の追加・性能差・初登場年は未判定。</x:v>
      </x:c>
      <x:c r="L443" s="7" t="str">
        <x:v>両年説明あり・機能差未判定</x:v>
      </x:c>
      <x:c r="M443" s="7" t="str">
        <x:v>出展説明の一次分類</x:v>
      </x:c>
      <x:c r="N443" s="7" t="str">
        <x:v>関連（図面・文書管理）。AI見積の直接事例ではない。</x:v>
      </x:c>
      <x:c r="O443" s="7" t="str">
        <x:v>承認・例外対応・停止・復帰の境界は未確認</x:v>
      </x:c>
      <x:c r="P443" s="7" t="str">
        <x:v>2026公式カタログ掲載・現地未確認
2026展示予定。既存製品・参考出展・構想等は原典で個別確認</x:v>
      </x:c>
      <x:c r="Q443" s="7" t="str">
        <x:v>AC074</x:v>
      </x:c>
      <x:c t="str" r="R443" s="21">
        <x:f>HYPERLINK("https://www.jimtof.org/search/jp/ESdetails?e=oO-G_YDcimE","JIMTOF2026 出展ページ")</x:f>
        <x:v>JIMTOF2026 出展ページ</x:v>
      </x:c>
      <x:c t="str" r="S443" s="21">
        <x:f>HYPERLINK("https://www.jimtof.org/2024/search/jp/ESdetails?e=GozGZRxlviw","JIMTOF2024 出展ページ")</x:f>
        <x:v>JIMTOF2024 出展ページ</x:v>
      </x:c>
      <x:c r="T443" s="7" t="str">
        <x:v>EEX-EXH-2026-a64bab179251039a: https://www.jimtof.org/search/jp/ESdetails?e=oO-G_YDcimE
該当箇所: 出展紹介・主な出展物。追加カードの原典抜粋で検索
EEX-EXH-2024-a1ef24027ba76956: https://www.jimtof.org/2024/search/jp/ESdetails?e=GozGZRxlviw
該当箇所: 出展紹介・主な出展物。追加カードの原典抜粋で検索</x:v>
      </x:c>
    </x:row>
    <x:row r="444" ht="155" customHeight="1">
      <x:c r="A444" s="7" t="str">
        <x:v>生産準備</x:v>
      </x:c>
      <x:c r="B444" s="7" t="str">
        <x:v>図面・設計データの管理と連携</x:v>
      </x:c>
      <x:c r="C444" s="20" t="str">
        <x:v>CIMSOURCE Japan株式会社</x:v>
      </x:c>
      <x:c r="D444" s="7" t="str">
        <x:v>『ToolsUnited』(ツールズユナイテッド)</x:v>
      </x:c>
      <x:c r="E444" s="7" t="str">
        <x:v>W1085</x:v>
      </x:c>
      <x:c r="F444" s="7" t="str">
        <x:v>工具データ・在庫・購買 ／ 図面・設計データの管理と連携</x:v>
      </x:c>
      <x:c r="G444" s="7" t="str">
        <x:v>原典抜粋：切削工具のデジタル情報で効率化に貢献する / 工具管理システム(TMS)やCAMへの工具登録を支援、国際規格ISO13399やドイツDIN4000に準拠した工具データおよび図面データ3D STEP,2D DXFファイルを提供する。 / 『ToolsUnited』に掲載されていない、工具においても必要な状況を依頼が出来る『ToolLink』(ツールリンク)、クラウドベースの工具管理システム『ToolPal』(ツールパル)など、貴社の工具の</x:v>
      </x:c>
      <x:c r="H444" s="7" t="str">
        <x:v>工具を探す・登録する・補充する手間や、在庫情報の分断がある。 ／ 図面・工具・品質・工程情報が別々に保存され、再利用しにくい。</x:v>
      </x:c>
      <x:c r="I444" s="7" t="str">
        <x:v>2024原典抜粋：CIMSOURCEはデジタルツールの技術（ソフト）を製造業へ提供しています。 最先端の工具メーカーである三菱マテリアルや京セラ、ユーザーではコマツがお客様です。 CIMSOURCEの規格および技術は金属加工業界のDXのキーとなります。 1992年にStandard Open Base（StOB）を開発し、国際規格ISO13399とDIN4000と調和してきて以来、CIMSOURCEは工具サプライヤーに製品データベースを提供し、世界中の製造現場へ工具データベースを提供しています。 CIMSOURCEの全製品は、工具デ</x:v>
      </x:c>
      <x:c r="J444" s="7" t="str">
        <x:v>2026原典抜粋：切削工具のデジタル情報で効率化に貢献する / 工具管理システム(TMS)やCAMへの工具登録を支援、国際規格ISO13399やドイツDIN4000に準拠した工具データおよび図面データ3D STEP,2D DXFファイルを提供する。 / 『ToolsUnited』に掲載されていない、工具においても必要な状況を依頼が出来る『ToolLink』(ツールリンク)、クラウドベースの工具管理システム『ToolPal』(ツールパル)など、貴社の工具の</x:v>
      </x:c>
      <x:c r="K444" s="7" t="str">
        <x:v>原典記述の対照。個別機能の追加・性能差・初登場年は未判定。</x:v>
      </x:c>
      <x:c r="L444" s="7" t="str">
        <x:v>両年説明あり・機能差未判定</x:v>
      </x:c>
      <x:c r="M444" s="7" t="str">
        <x:v>出展説明の一次分類</x:v>
      </x:c>
      <x:c r="N444" s="7" t="str"/>
      <x:c r="O444" s="7" t="str">
        <x:v>承認・例外対応・停止・復帰の境界は未確認</x:v>
      </x:c>
      <x:c r="P444" s="7" t="str">
        <x:v>2026公式カタログ掲載・現地未確認
2026展示予定。既存製品・参考出展・構想等は原典で個別確認</x:v>
      </x:c>
      <x:c r="Q444" s="7" t="str">
        <x:v>AC104</x:v>
      </x:c>
      <x:c t="str" r="R444" s="21">
        <x:f>HYPERLINK("https://www.jimtof.org/search/jp/ESdetails?e=qRD_BxF9DJo","JIMTOF2026 出展ページ")</x:f>
        <x:v>JIMTOF2026 出展ページ</x:v>
      </x:c>
      <x:c t="str" r="S444" s="21">
        <x:f>HYPERLINK("https://www.jimtof.org/2024/search/jp/ESdetails?e=wnB2kPvDLJE","JIMTOF2024 出展ページ")</x:f>
        <x:v>JIMTOF2024 出展ページ</x:v>
      </x:c>
      <x:c r="T444" s="7" t="str">
        <x:v>EEX-EXH-2026-01e20e87bdb59892: https://www.jimtof.org/search/jp/ESdetails?e=qRD_BxF9DJo
該当箇所: 出展紹介・主な出展物。追加カードの原典抜粋で検索
EEX-EXH-2024-9a19f9a263f0dfca: https://www.jimtof.org/2024/search/jp/ESdetails?e=wnB2kPvDLJE
該当箇所: 出展紹介・主な出展物。追加カードの原典抜粋で検索</x:v>
      </x:c>
    </x:row>
    <x:row r="445" ht="155" customHeight="1">
      <x:c r="A445" s="7" t="str">
        <x:v>生産準備</x:v>
      </x:c>
      <x:c r="B445" s="7" t="str">
        <x:v>図面・設計データの管理と連携</x:v>
      </x:c>
      <x:c r="C445" s="20" t="str">
        <x:v>トーチョーマーキングシステムズ株式会社</x:v>
      </x:c>
      <x:c r="D445" s="7" t="str">
        <x:v>電磁式ドット刻印機「MarkinBOX MB3シリーズ」、ポータブル刻印機「Patmark2」、レーザーマーカー「HubLASER」など、最新のマーキ</x:v>
      </x:c>
      <x:c r="E445" s="7" t="str">
        <x:v>W1036</x:v>
      </x:c>
      <x:c r="F445" s="7" t="str">
        <x:v>図面・設計データの管理と連携</x:v>
      </x:c>
      <x:c r="G445" s="7" t="str">
        <x:v>原典抜粋：刻印の自動化、省人化、品質向上をご検討の方は、ぜひ会場で実際の性能をご体感ください。 / 実機によるマーキングデモンストレーションを通じて、高品質な刻印、省人化・自動化、トレーサビリティに対応したマーキングソリューションをご紹介します。</x:v>
      </x:c>
      <x:c r="H445" s="7" t="str">
        <x:v>図面・工具・品質・工程情報が別々に保存され、再利用しにくい。</x:v>
      </x:c>
      <x:c r="I445" s="7" t="str">
        <x:v>2024原典抜粋：当社は、金属などに製造番号やＱＲコードをマーキングする機械の 開発、製造をしている日本で数少ない刻印機メーカーです。自社ブランドのドットマーカーやレーザーマーカーを、自動車や航空機、 各種機械部品などの幅広い産業でご使用いただいています。 自社ブランドのMarkinBOXシリーズに今回は待望の後継機が誕生し、さらに高度で使いやすく仕上がった新製品を発表いたします。 コードレスドットマーカーPatmarkシリーズにも新製品が登場し、今までにないスタイルでマーキング作業が行えます。 レーザーマーカーも展示しており実際の</x:v>
      </x:c>
      <x:c r="J445" s="7" t="str">
        <x:v>2026原典抜粋：刻印の自動化、省人化、品質向上をご検討の方は、ぜひ会場で実際の性能をご体感ください。 / 実機によるマーキングデモンストレーションを通じて、高品質な刻印、省人化・自動化、トレーサビリティに対応したマーキングソリューションをご紹介します。</x:v>
      </x:c>
      <x:c r="K445" s="7" t="str">
        <x:v>原典記述の対照。個別機能の追加・性能差・初登場年は未判定。</x:v>
      </x:c>
      <x:c r="L445" s="7" t="str">
        <x:v>両年説明あり・機能差未判定</x:v>
      </x:c>
      <x:c r="M445" s="7" t="str">
        <x:v>出展説明の一次分類</x:v>
      </x:c>
      <x:c r="N445" s="7" t="str"/>
      <x:c r="O445" s="7" t="str">
        <x:v>承認・例外対応・停止・復帰の境界は未確認</x:v>
      </x:c>
      <x:c r="P445" s="7" t="str">
        <x:v>2026公式カタログ掲載・現地未確認
2026展示予定。既存製品・参考出展・構想等は原典で個別確認</x:v>
      </x:c>
      <x:c r="Q445" s="7" t="str">
        <x:v>AC152</x:v>
      </x:c>
      <x:c t="str" r="R445" s="21">
        <x:f>HYPERLINK("https://www.jimtof.org/search/jp/ESdetails?e=QF9JlOzN9Gk","JIMTOF2026 出展ページ")</x:f>
        <x:v>JIMTOF2026 出展ページ</x:v>
      </x:c>
      <x:c t="str" r="S445" s="21">
        <x:f>HYPERLINK("https://www.jimtof.org/2024/search/jp/ESdetails?e=w3OCd-Yb-pM","JIMTOF2024 出展ページ")</x:f>
        <x:v>JIMTOF2024 出展ページ</x:v>
      </x:c>
      <x:c r="T445" s="7" t="str">
        <x:v>EEX-EXH-2026-f38414a11a6afb7b: https://www.jimtof.org/search/jp/ESdetails?e=QF9JlOzN9Gk
該当箇所: 出展紹介・主な出展物。追加カードの原典抜粋で検索
EEX-EXH-2024-a495394be39aa616: https://www.jimtof.org/2024/search/jp/ESdetails?e=w3OCd-Yb-pM
該当箇所: 出展紹介・主な出展物。追加カードの原典抜粋で検索</x:v>
      </x:c>
    </x:row>
    <x:row r="446" ht="155" customHeight="1">
      <x:c r="A446" s="7" t="str">
        <x:v>生産準備</x:v>
      </x:c>
      <x:c r="B446" s="7" t="str">
        <x:v>図面・設計データの管理と連携</x:v>
      </x:c>
      <x:c r="C446" s="20" t="str">
        <x:v>株式会社Fact Base</x:v>
      </x:c>
      <x:c r="D446" s="7" t="str">
        <x:v>ズメーン：図面・関連文書管理とAI</x:v>
      </x:c>
      <x:c r="E446" s="7" t="str">
        <x:v>S3017</x:v>
      </x:c>
      <x:c r="F446" s="7" t="str">
        <x:v>図面を登録・検索し関連文書と結ぶ</x:v>
      </x:c>
      <x:c r="G446" s="7" t="str">
        <x:v>図面のOCR登録と関連文書管理。顧客事例では読取り結果を人が修正。</x:v>
      </x:c>
      <x:c r="H446" s="7" t="str">
        <x:v>過去図面と原価を探し、案件ごとに見積を組み立てる負担。 ／ 図面・工具・品質・工程情報が別々に保存され、再利用しにくい。</x:v>
      </x:c>
      <x:c r="I446" s="7" t="str">
        <x:v>同一名称の2024詳細なし。</x:v>
      </x:c>
      <x:c r="J446" s="7" t="str">
        <x:v>図面を検索し、見積・検査書等を紐づけ管理。AIで登録から運用を支援との説明。</x:v>
      </x:c>
      <x:c r="K446" s="7" t="str">
        <x:v>2024の同名詳細なし。2026初登場とは断定しない。</x:v>
      </x:c>
      <x:c r="L446" s="7" t="str">
        <x:v>個別比較あり</x:v>
      </x:c>
      <x:c r="M446" s="7" t="str">
        <x:v>詳細比較済み</x:v>
      </x:c>
      <x:c r="N446" s="7" t="str"/>
      <x:c r="O446" s="7" t="str">
        <x:v>登録・読取り確認は人。図面の誤関連や改訂の検出は未確認。</x:v>
      </x:c>
      <x:c r="P446" s="7" t="str">
        <x:v>2026公式カタログ掲載・現地未確認
2026展示予定。既存製品・参考出展・構想等は原典で個別確認</x:v>
      </x:c>
      <x:c r="Q446" s="7" t="str">
        <x:v>AC195</x:v>
      </x:c>
      <x:c t="str" r="R446" s="21">
        <x:f>HYPERLINK("https://www.jimtof.org/search/jp/ESdetails?e=hZaNogHdQM4","JIMTOF2026 出展ページ")</x:f>
        <x:v>JIMTOF2026 出展ページ</x:v>
      </x:c>
      <x:c r="S446" s="21" t="str"/>
      <x:c r="T446" s="7" t="str">
        <x:v>EEX-EXH-2026-3b6a1de81c17dfee: https://www.jimtof.org/search/jp/ESdetails?e=hZaNogHdQM4
該当箇所: 出展紹介・主な出展物。追加カードの原典抜粋で検索
EDP-11: https://lp.zume-n.com/case-1/sagadainichi
該当箇所: AI・OCR文字読取／人の目で確認・補正／関連資料・改訂履歴</x:v>
      </x:c>
    </x:row>
    <x:row r="447" ht="155" customHeight="1">
      <x:c r="A447" s="7" t="str">
        <x:v>生産準備</x:v>
      </x:c>
      <x:c r="B447" s="7" t="str">
        <x:v>図面・設計データの管理と連携</x:v>
      </x:c>
      <x:c r="C447" s="20" t="str">
        <x:v>ベクトル株式会社</x:v>
      </x:c>
      <x:c r="D447" s="7" t="str">
        <x:v>VM-M1マルチペンマーキング装置</x:v>
      </x:c>
      <x:c r="E447" s="7" t="str">
        <x:v>W3116</x:v>
      </x:c>
      <x:c r="F447" s="7" t="str">
        <x:v>図面・設計データの管理と連携</x:v>
      </x:c>
      <x:c r="G447" s="7" t="str">
        <x:v>原典抜粋：日本国内の工場で製造される当社製品は、高精度・高耐久を誇り、自動車・航空・精密機械など幅広い業界で採用されています。 / 特に金属部品への深彫りや2次元コード刻印によるトレーサビリティ・IoT対応に強みを持ち、製造業のDX推進にも貢献します。</x:v>
      </x:c>
      <x:c r="H447" s="7" t="str">
        <x:v>図面・工具・品質・工程情報が別々に保存され、再利用しにくい。</x:v>
      </x:c>
      <x:c r="I447" s="7" t="str">
        <x:v>同一正規化名称の2024詳細なし。新規出展・技術不存在とは判断しない。</x:v>
      </x:c>
      <x:c r="J447" s="7" t="str">
        <x:v>2026原典抜粋：日本国内の工場で製造される当社製品は、高精度・高耐久を誇り、自動車・航空・精密機械など幅広い業界で採用されています。 / 特に金属部品への深彫りや2次元コード刻印によるトレーサビリティ・IoT対応に強みを持ち、製造業のDX推進にも貢献します。</x:v>
      </x:c>
      <x:c r="K447" s="7" t="str">
        <x:v>原典記述の対照。個別機能の追加・性能差・初登場年は未判定。</x:v>
      </x:c>
      <x:c r="L447" s="7" t="str">
        <x:v>年度資料不足・比較不能</x:v>
      </x:c>
      <x:c r="M447" s="7" t="str">
        <x:v>出展説明の一次分類</x:v>
      </x:c>
      <x:c r="N447" s="7" t="str"/>
      <x:c r="O447" s="7" t="str">
        <x:v>承認・例外対応・停止・復帰の境界は未確認</x:v>
      </x:c>
      <x:c r="P447" s="7" t="str">
        <x:v>2026公式カタログ掲載・現地未確認
2026展示予定。既存製品・参考出展・構想等は原典で個別確認</x:v>
      </x:c>
      <x:c r="Q447" s="7" t="str">
        <x:v>AC207</x:v>
      </x:c>
      <x:c t="str" r="R447" s="21">
        <x:f>HYPERLINK("https://www.jimtof.org/search/jp/ESdetails?e=IPepQI4Pn3c","JIMTOF2026 出展ページ")</x:f>
        <x:v>JIMTOF2026 出展ページ</x:v>
      </x:c>
      <x:c r="S447" s="21" t="str"/>
      <x:c r="T447" s="7" t="str">
        <x:v>EEX-EXH-2026-674c605ed0bd261d: https://www.jimtof.org/search/jp/ESdetails?e=IPepQI4Pn3c
該当箇所: 出展紹介・主な出展物。追加カードの原典抜粋で検索</x:v>
      </x:c>
    </x:row>
    <x:row r="448" ht="155" customHeight="1">
      <x:c r="A448" s="7" t="str">
        <x:v>生産準備</x:v>
      </x:c>
      <x:c r="B448" s="7" t="str">
        <x:v>図面・設計データの管理と連携</x:v>
      </x:c>
      <x:c r="C448" s="20" t="str">
        <x:v>株式会社モアソンジャパン</x:v>
      </x:c>
      <x:c r="D448" s="7" t="str">
        <x:v>ポータブル3Dスキャナー HandySCAN 3D|EVOシリーズ</x:v>
      </x:c>
      <x:c r="E448" s="7" t="str">
        <x:v>E2022</x:v>
      </x:c>
      <x:c r="F448" s="7" t="str">
        <x:v>CAD・金型設計・NC検証 ／ 図面・設計データの管理と連携</x:v>
      </x:c>
      <x:c r="G448" s="7" t="str">
        <x:v>原典抜粋：製造現場の3D測定から設計・検査までを効率化する、次世代の3Dデジタルソリューションをご提案します。 / 取得したデータは、リバースエンジニアリングソフトウェア【Geomagic Design X】を用いて、履歴情報を持つ高精度なCADデータへと高速で変換。 / 各種CAD等へ履歴情報ごと直接移行でき、図面のない部品の設計・製品化を強力に支援します。 / レポート作成までを自動化して検査リードタイムを短縮し、人によるブレのない安定した品</x:v>
      </x:c>
      <x:c r="H448" s="7" t="str">
        <x:v>形状の設計変更や加工前の確認に手間がかかる。 ／ 図面・工具・品質・工程情報が別々に保存され、再利用しにくい。</x:v>
      </x:c>
      <x:c r="I448" s="7" t="str">
        <x:v>2024原典抜粋：大きな工作物を手間なく計測し、加工漏れなどを簡単に発見するソリューションを紹介します 10tクレーンで設置する様な大型の工作物の孔加工ミスをスマホ撮影で簡単に素早く発見出来るシステム「PiCveri（ピックベリー：picture-cad-verification）」を開発しました。スマホで対象物を撮影した写真画像から複数の孔を自動認識し、数回のクリックでCADデータと比較。孔の位置ズレや空け忘れ等を素早く発見できます。加工ミスを発見するシステムは多々ありますが、大型の主型などの孔を検査するニッチな市場において、iP</x:v>
      </x:c>
      <x:c r="J448" s="7" t="str">
        <x:v>2026原典抜粋：製造現場の3D測定から設計・検査までを効率化する、次世代の3Dデジタルソリューションをご提案します。 / 取得したデータは、リバースエンジニアリングソフトウェア【Geomagic Design X】を用いて、履歴情報を持つ高精度なCADデータへと高速で変換。 / 各種CAD等へ履歴情報ごと直接移行でき、図面のない部品の設計・製品化を強力に支援します。 / レポート作成までを自動化して検査リードタイムを短縮し、人によるブレのない安定した品</x:v>
      </x:c>
      <x:c r="K448" s="7" t="str">
        <x:v>原典記述の対照。個別機能の追加・性能差・初登場年は未判定。</x:v>
      </x:c>
      <x:c r="L448" s="7" t="str">
        <x:v>両年説明あり・機能差未判定</x:v>
      </x:c>
      <x:c r="M448" s="7" t="str">
        <x:v>出展説明の一次分類</x:v>
      </x:c>
      <x:c r="N448" s="7" t="str"/>
      <x:c r="O448" s="7" t="str">
        <x:v>承認・例外対応・停止・復帰の境界は未確認</x:v>
      </x:c>
      <x:c r="P448" s="7" t="str">
        <x:v>2026公式カタログ掲載・現地未確認
2026展示予定。既存製品・参考出展・構想等は原典で個別確認</x:v>
      </x:c>
      <x:c r="Q448" s="7" t="str">
        <x:v>AC228</x:v>
      </x:c>
      <x:c t="str" r="R448" s="21">
        <x:f>HYPERLINK("https://www.jimtof.org/search/jp/ESdetails?e=BA-QSlPL32I","JIMTOF2026 出展ページ")</x:f>
        <x:v>JIMTOF2026 出展ページ</x:v>
      </x:c>
      <x:c t="str" r="S448" s="21">
        <x:f>HYPERLINK("https://www.jimtof.org/2024/search/jp/ESdetails?e=mFWgprFAl9k","JIMTOF2024 出展ページ")</x:f>
        <x:v>JIMTOF2024 出展ページ</x:v>
      </x:c>
      <x:c r="T448" s="7" t="str">
        <x:v>EEX-EXH-2026-d241e6d6ecb5d3ae: https://www.jimtof.org/search/jp/ESdetails?e=BA-QSlPL32I
該当箇所: 出展紹介・主な出展物。追加カードの原典抜粋で検索
EEX-EXH-2024-14f5dfac2e2d51ae: https://www.jimtof.org/2024/search/jp/ESdetails?e=mFWgprFAl9k
該当箇所: 出展紹介・主な出展物。追加カードの原典抜粋で検索</x:v>
      </x:c>
    </x:row>
    <x:row r="449" ht="155" customHeight="1">
      <x:c r="A449" s="7" t="str">
        <x:v>生産準備</x:v>
      </x:c>
      <x:c r="B449" s="7" t="str">
        <x:v>図面・設計データの管理と連携</x:v>
      </x:c>
      <x:c r="C449" s="20" t="str">
        <x:v>株式会社山善</x:v>
      </x:c>
      <x:c r="D449" s="7" t="str">
        <x:v>コンパクトマシニングセンタ（ブラザー：SPEEDIO S300Xd2）</x:v>
      </x:c>
      <x:c r="E449" s="7" t="str">
        <x:v>S1056</x:v>
      </x:c>
      <x:c r="F449" s="7" t="str">
        <x:v>加工・計測セルと図面・設備管理</x:v>
      </x:c>
      <x:c r="G449" s="7" t="str">
        <x:v>加工機・協働ロボット・三次元測定機のセルと「ゲンバト」を紹介。</x:v>
      </x:c>
      <x:c r="H449" s="7" t="str">
        <x:v>過去図面と原価を探し、案件ごとに見積を組み立てる負担。 ／ 品種・量の変化に合わせて人の供給往復を減らす。 ／ 測定の段取り・搬送・記録に人手が残り、結果が加工改善につながりにくい。 ／ 図面・工具・品質・工程情報が別々に保存され、再利用しにくい。</x:v>
      </x:c>
      <x:c r="I449" s="7" t="str">
        <x:v>2024原典抜粋：製造『現場と』ともに、「ゲンバト」。 図面管理や不良記録、設備管理など、製造現場のデジタル化をサポートするものづくり企業向け複合型 SaaS プラットフォーム「ゲンバト」を出展致します。 製造業を取り巻く環境は大きく変わり、人手不足、技術（事業）承継、技術開発の停滞、営業力不足など課題は様々です。ゲンバトは、これらの課題を解決する様々なサービスを使いたいものだけ、すぐに始められる、安価なサブスクリプションでご提供します。 サービスの品揃えは、生産性向上、事業機会の創出支援、技術（事業）承継のサポート、ホームページ作</x:v>
      </x:c>
      <x:c r="J449" s="7" t="str">
        <x:v>2026原典抜粋：自動化・省人化をテーマに、コンパクトマシニングセンタ、協働ロボット、現場設置型三次元測定機を融合した自動化セルを実機展示します。 / また、設備管理や図面管理など製造現場のデジタル化を支援する「ゲンバト」も展示します。 / 自動化からデジタル化まで、製造現場の課題解決につながる実践的なソリューションをご覧いただけます。 / 協働ロボット（ファナック：CRX-20iA）</x:v>
      </x:c>
      <x:c r="K449" s="7" t="str">
        <x:v>原典記述の対照。個別機能の追加・性能差・初登場年は未判定。</x:v>
      </x:c>
      <x:c r="L449" s="7" t="str">
        <x:v>両年説明あり・機能差未判定</x:v>
      </x:c>
      <x:c r="M449" s="7" t="str">
        <x:v>出展説明の一次分類</x:v>
      </x:c>
      <x:c r="N449" s="7" t="str">
        <x:v>関連（図面・文書管理）。AI見積の直接事例ではない。</x:v>
      </x:c>
      <x:c r="O449" s="7" t="str">
        <x:v>承認・例外対応・停止・復帰の境界は未確認</x:v>
      </x:c>
      <x:c r="P449" s="7" t="str">
        <x:v>2026公式カタログ掲載・現地未確認
2026展示予定。既存製品・参考出展・構想等は原典で個別確認</x:v>
      </x:c>
      <x:c r="Q449" s="7" t="str">
        <x:v>AC232</x:v>
      </x:c>
      <x:c t="str" r="R449" s="21">
        <x:f>HYPERLINK("https://www.jimtof.org/search/jp/ESdetails?e=KSoLpsGPfRQ","JIMTOF2026 出展ページ")</x:f>
        <x:v>JIMTOF2026 出展ページ</x:v>
      </x:c>
      <x:c t="str" r="S449" s="21">
        <x:f>HYPERLINK("https://www.jimtof.org/2024/search/jp/ESdetails?e=ef8JkkY-hq4","JIMTOF2024 出展ページ")</x:f>
        <x:v>JIMTOF2024 出展ページ</x:v>
      </x:c>
      <x:c r="T449" s="7" t="str">
        <x:v>EEX-EXH-2026-4be1498c7e4dd9c4: https://www.jimtof.org/search/jp/ESdetails?e=KSoLpsGPfRQ
該当箇所: 出展紹介・主な出展物。追加カードの原典抜粋で検索
EEX-EXH-2024-665608a64c76471c: https://www.jimtof.org/2024/search/jp/ESdetails?e=ef8JkkY-hq4
該当箇所: 出展紹介・主な出展物。追加カードの原典抜粋で検索</x:v>
      </x:c>
    </x:row>
    <x:row r="450" ht="155" customHeight="1">
      <x:c r="A450" s="7" t="str">
        <x:v>生産準備</x:v>
      </x:c>
      <x:c r="B450" s="7" t="str">
        <x:v>図面・設計データの管理と連携</x:v>
      </x:c>
      <x:c r="C450" s="20" t="str">
        <x:v>Quality Vision International Inc</x:v>
      </x:c>
      <x:c r="D450" s="7" t="str">
        <x:v>マルチセンサ三次元測定機 OGP SmartScope SP463/M20/M7/Vantage250/E7</x:v>
      </x:c>
      <x:c r="E450" s="7" t="str">
        <x:v>E2026</x:v>
      </x:c>
      <x:c r="F450" s="7" t="str">
        <x:v>自動計測・測定計画・品質データ ／ 図面・設計データの管理と連携</x:v>
      </x:c>
      <x:c r="G450" s="7" t="str">
        <x:v>原典抜粋：～製造業に変革をもたらす製造工程管理ソリューション～ / 3D CAD・PMI情報を活用し、測定計画から測定結果の解析・可視化、工程管理までをデジタルでつなぐソフトウェアスイートです。 / 測定結果を製造工程へフィードバックすることで、品質向上や工程改善を支援し、MBD/MBEによるデジタルスレッドの構築に貢献します。 / 本展示会では、最新の協働ロボットとの連携デモも実演展示いたします。 / 自動化セル Multi-X / 統合製造工</x:v>
      </x:c>
      <x:c r="H450" s="7" t="str">
        <x:v>測定の段取り・搬送・記録に人手が残り、結果が加工改善につながりにくい。 ／ 図面・工具・品質・工程情報が別々に保存され、再利用しにくい。</x:v>
      </x:c>
      <x:c r="I450" s="7" t="str">
        <x:v>2024原典抜粋：【OGP/オージーピー マルチセンサ三次元測定機 SmartScopeシリーズ】 ～検査現場の最適解となるマルチセンサ三次元測定機～ 高品位な光学系とオプションセンサの組み合わせは、あらゆる測定対象に対応し、測定の効率化と高精度化のメリットをもたらします。本邦初公開モデルも展示します。 【VIEW/ビュー 高速高精度全自動測定機 Pinnacle250】 ～高精度・高速処理を実現するリニアモータ駆動全自動測定機～ 異なる形状、測定数の多いワークの高速測定に最適です。測定対象を選ばない高品位光学系とオプションセンサの</x:v>
      </x:c>
      <x:c r="J450" s="7" t="str">
        <x:v>2026原典抜粋：～製造業に変革をもたらす製造工程管理ソリューション～ / 3D CAD・PMI情報を活用し、測定計画から測定結果の解析・可視化、工程管理までをデジタルでつなぐソフトウェアスイートです。 / 測定結果を製造工程へフィードバックすることで、品質向上や工程改善を支援し、MBD/MBEによるデジタルスレッドの構築に貢献します。 / 本展示会では、最新の協働ロボットとの連携デモも実演展示いたします。 / 自動化セル Multi-X / 統合製造工</x:v>
      </x:c>
      <x:c r="K450" s="7" t="str">
        <x:v>原典記述の対照。個別機能の追加・性能差・初登場年は未判定。</x:v>
      </x:c>
      <x:c r="L450" s="7" t="str">
        <x:v>両年説明あり・機能差未判定</x:v>
      </x:c>
      <x:c r="M450" s="7" t="str">
        <x:v>出展説明の一次分類</x:v>
      </x:c>
      <x:c r="N450" s="7" t="str"/>
      <x:c r="O450" s="7" t="str">
        <x:v>承認・例外対応・停止・復帰の境界は未確認</x:v>
      </x:c>
      <x:c r="P450" s="7" t="str">
        <x:v>2026公式カタログ掲載・現地未確認
2026展示予定。既存製品・参考出展・構想等は原典で個別確認</x:v>
      </x:c>
      <x:c r="Q450" s="7" t="str">
        <x:v>AC279</x:v>
      </x:c>
      <x:c t="str" r="R450" s="21">
        <x:f>HYPERLINK("https://www.jimtof.org/search/jp/ESdetails?e=i-C4iNMNRtM","JIMTOF2026 出展ページ")</x:f>
        <x:v>JIMTOF2026 出展ページ</x:v>
      </x:c>
      <x:c t="str" r="S450" s="21">
        <x:f>HYPERLINK("https://www.jimtof.org/2024/search/jp/ESdetails?e=kPtRFOop9j8","JIMTOF2024 出展ページ")</x:f>
        <x:v>JIMTOF2024 出展ページ</x:v>
      </x:c>
      <x:c r="T450" s="7" t="str">
        <x:v>EEX-EXH-2026-ce095464035fb5f1: https://www.jimtof.org/search/jp/ESdetails?e=i-C4iNMNRtM
該当箇所: 出展紹介・主な出展物。追加カードの原典抜粋で検索
EEX-EXH-2024-97a85a0c47b2a7d6: https://www.jimtof.org/2024/search/jp/ESdetails?e=kPtRFOop9j8
該当箇所: 出展紹介・主な出展物。追加カードの原典抜粋で検索</x:v>
      </x:c>
    </x:row>
    <x:row r="451" ht="155" customHeight="1">
      <x:c r="A451" s="7" t="str">
        <x:v>生産準備</x:v>
      </x:c>
      <x:c r="B451" s="7" t="str">
        <x:v>図面・設計データの管理と連携</x:v>
      </x:c>
      <x:c r="C451" s="20" t="str">
        <x:v>Spatial Corp.</x:v>
      </x:c>
      <x:c r="D451" s="7" t="str">
        <x:v>CAD/CAMソフトウェアの開発を加速する、強力な3Dツールキット。 / 工作機械のデジタルツインや高精度な加工シミュレーション、CADデータ連携の開</x:v>
      </x:c>
      <x:c r="E451" s="7" t="str">
        <x:v>E1063</x:v>
      </x:c>
      <x:c r="F451" s="7" t="str">
        <x:v>デジタルツイン・物理学習用データ ／ CAD・金型設計・NC検証 ／ 図面・設計データの管理と連携</x:v>
      </x:c>
      <x:c r="G451" s="7" t="str">
        <x:v>原典抜粋：CAD/CAMソフトウェアの開発を加速する、強力な3Dツールキット。 / 工作機械のデジタルツインや高精度な加工シミュレーション、CADデータ連携の開発にお悩みではありませんか？ / ダッソー・システムズ傘下のスペイシャルは、世界中の製造業で採用される3Dモデリング・CAD変換・メッシュ生成・可視化SDKを提供しています。</x:v>
      </x:c>
      <x:c r="H451" s="7" t="str">
        <x:v>仮想上での確認・学習と実機の結果をつなぐための準備。 ／ 形状の設計変更や加工前の確認に手間がかかる。 ／ 図面・工具・品質・工程情報が別々に保存され、再利用しにくい。</x:v>
      </x:c>
      <x:c r="I451" s="7" t="str">
        <x:v>同一正規化名称の2024詳細なし。新規出展・技術不存在とは判断しない。</x:v>
      </x:c>
      <x:c r="J451" s="7" t="str">
        <x:v>2026原典抜粋：CAD/CAMソフトウェアの開発を加速する、強力な3Dツールキット。 / 工作機械のデジタルツインや高精度な加工シミュレーション、CADデータ連携の開発にお悩みではありませんか？ / ダッソー・システムズ傘下のスペイシャルは、世界中の製造業で採用される3Dモデリング・CAD変換・メッシュ生成・可視化SDKを提供しています。</x:v>
      </x:c>
      <x:c r="K451" s="7" t="str">
        <x:v>原典記述の対照。個別機能の追加・性能差・初登場年は未判定。</x:v>
      </x:c>
      <x:c r="L451" s="7" t="str">
        <x:v>年度資料不足・比較不能</x:v>
      </x:c>
      <x:c r="M451" s="7" t="str">
        <x:v>出展説明の一次分類</x:v>
      </x:c>
      <x:c r="N451" s="7" t="str"/>
      <x:c r="O451" s="7" t="str">
        <x:v>承認・例外対応・停止・復帰の境界は未確認</x:v>
      </x:c>
      <x:c r="P451" s="7" t="str">
        <x:v>2026公式カタログ掲載・現地未確認
2026展示予定。既存製品・参考出展・構想等は原典で個別確認</x:v>
      </x:c>
      <x:c r="Q451" s="7" t="str">
        <x:v>AC286</x:v>
      </x:c>
      <x:c t="str" r="R451" s="21">
        <x:f>HYPERLINK("https://www.jimtof.org/search/jp/ESdetails?e=bsgsYcvbud4","JIMTOF2026 出展ページ")</x:f>
        <x:v>JIMTOF2026 出展ページ</x:v>
      </x:c>
      <x:c r="S451" s="21" t="str"/>
      <x:c r="T451" s="7" t="str">
        <x:v>EEX-EXH-2026-b723f9bd97c08837: https://www.jimtof.org/search/jp/ESdetails?e=bsgsYcvbud4
該当箇所: 出展紹介・主な出展物。追加カードの原典抜粋で検索</x:v>
      </x:c>
    </x:row>
    <x:row r="452" ht="155" customHeight="1">
      <x:c r="A452" s="7" t="str">
        <x:v>生産準備</x:v>
      </x:c>
      <x:c r="B452" s="7" t="str">
        <x:v>図面・設計データの管理と連携</x:v>
      </x:c>
      <x:c r="C452" s="20" t="str">
        <x:v>WinTool AG</x:v>
      </x:c>
      <x:c r="D452" s="7" t="str">
        <x:v>WinTool：工具情報と現物・工程資源の連携</x:v>
      </x:c>
      <x:c r="E452" s="7" t="str">
        <x:v>E1049</x:v>
      </x:c>
      <x:c r="F452" s="7" t="str">
        <x:v>工具情報・所在・在庫を工程と結ぶ</x:v>
      </x:c>
      <x:c r="G452" s="7" t="str">
        <x:v>WinToolは工具情報と工程資源を連携。在庫ルールで購買要求。</x:v>
      </x:c>
      <x:c r="H452" s="7" t="str">
        <x:v>工具を探す・登録する・補充する手間や、在庫情報の分断がある。 ／ 図面・工具・品質・工程情報が別々に保存され、再利用しにくい。 ／ 現物・工具マスター・進捗が分断し変更に追従しにくい。</x:v>
      </x:c>
      <x:c r="I452" s="7" t="str">
        <x:v>2024も工具ライブラリ・CAM／NC・在庫・段取り・収納／プリセッター連携を説明。</x:v>
      </x:c>
      <x:c r="J452" s="7" t="str">
        <x:v>2026は現物情報と生産資源・BOPへの対応、一貫性を強調。</x:v>
      </x:c>
      <x:c r="K452" s="7" t="str">
        <x:v>工具・CAM・在庫連携は2024から継続。2026は資源の一貫性を強調。</x:v>
      </x:c>
      <x:c r="L452" s="7" t="str">
        <x:v>個別比較あり</x:v>
      </x:c>
      <x:c r="M452" s="7" t="str">
        <x:v>詳細比較済み</x:v>
      </x:c>
      <x:c r="N452" s="7" t="str"/>
      <x:c r="O452" s="7" t="str">
        <x:v>管理者承認後ERPへ送信。AIによる自律発注とは記載なし。</x:v>
      </x:c>
      <x:c r="P452" s="7" t="str">
        <x:v>2026公式カタログ掲載・現地未確認
2026展示予定。既存製品・参考出展・構想等は原典で個別確認</x:v>
      </x:c>
      <x:c r="Q452" s="7" t="str">
        <x:v>AC295</x:v>
      </x:c>
      <x:c t="str" r="R452" s="21">
        <x:f>HYPERLINK("https://www.jimtof.org/search/jp/ESdetails?e=sSFZV23clJo","JIMTOF2026 出展ページ")</x:f>
        <x:v>JIMTOF2026 出展ページ</x:v>
      </x:c>
      <x:c t="str" r="S452" s="21">
        <x:f>HYPERLINK("https://www.jimtof.org/2024/search/jp/ESdetails?e=-n22F1d_CDc","JIMTOF2024 出展ページ")</x:f>
        <x:v>JIMTOF2024 出展ページ</x:v>
      </x:c>
      <x:c r="T452" s="7" t="str">
        <x:v>EEX-EXH-2026-4fb92ba6b82546d7: https://www.jimtof.org/search/jp/ESdetails?e=sSFZV23clJo
該当箇所: 出展紹介・主な出展物。追加カードの原典抜粋で検索
EEX-EXH-2024-3f1fa1966a57e011: https://www.jimtof.org/2024/search/jp/ESdetails?e=-n22F1d_CDc
該当箇所: 出展紹介・主な出展物。追加カードの原典抜粋で検索
EDP-18: https://www.wintool.com/en/tool-management-software/cnc-inventory-manager/erp-integration
該当箇所: 最低在庫で購買要求を生成し、管理者承認後にERPへ自動送信
EDP-19: https://www.wintool.com/software/cnc-prozessverwaltung
該当箇所: 工具積卸リスト・在庫確認・プリセッター指示・NCと測定値の転送</x:v>
      </x:c>
    </x:row>
    <x:row r="453" ht="155" customHeight="1">
      <x:c r="A453" s="7" t="str">
        <x:v>工場運用</x:v>
      </x:c>
      <x:c r="B453" s="7" t="str">
        <x:v>作業分析・技能継承・教育</x:v>
      </x:c>
      <x:c r="C453" s="20" t="str">
        <x:v>シーメンス株式会社</x:v>
      </x:c>
      <x:c r="D453" s="7" t="str">
        <x:v>Digital Thread：工作機械ツイン・工程内品質保証</x:v>
      </x:c>
      <x:c r="E453" s="7" t="str">
        <x:v>E3006</x:v>
      </x:c>
      <x:c r="F453" s="7" t="str">
        <x:v>加工の仮想検証・計測連携を確認する</x:v>
      </x:c>
      <x:c r="G453" s="7" t="str">
        <x:v>Tokn工作機械ツイン、Equator品質保証、ヒューマノイドを別展示。</x:v>
      </x:c>
      <x:c r="H453" s="7" t="str">
        <x:v>工具・機械・段取り制約を織り込む工程作成の技能依存。 ／ 仮想上での確認・学習と実機の結果をつなぐための準備。 ／ 形状の設計変更や加工前の確認に手間がかかる。 ／ 作業を記録・分析し、改善点や技能を共有する負担がある。</x:v>
      </x:c>
      <x:c r="I453" s="7" t="str">
        <x:v>2024カタログにNX・CNC・Mcenter等。Siemens公式事例にはToknと仮想SINUMERIK ONEによる訓練をCompletion 2024と明記。</x:v>
      </x:c>
      <x:c r="J453" s="7" t="str">
        <x:v>2026はHeller Toknツイン、Renishaw Equator品質保証、ヒューマノイド特別展示を具体記載。</x:v>
      </x:c>
      <x:c r="K453" s="7" t="str">
        <x:v>Toknの仮想訓練は2024完了の公式事例あり。</x:v>
      </x:c>
      <x:c r="L453" s="7" t="str">
        <x:v>個別比較あり</x:v>
      </x:c>
      <x:c r="M453" s="7" t="str">
        <x:v>詳細比較済み</x:v>
      </x:c>
      <x:c r="N453" s="7" t="str"/>
      <x:c r="O453" s="7" t="str">
        <x:v>海外HMND実証とJIMTOFの機体・タスクの同一性は未確認。</x:v>
      </x:c>
      <x:c r="P453" s="7" t="str">
        <x:v>2026公式カタログ掲載・現地未確認
2026展示予定。既存製品・参考出展・構想等は原典で個別確認</x:v>
      </x:c>
      <x:c r="Q453" s="7" t="str">
        <x:v>AC098</x:v>
      </x:c>
      <x:c t="str" r="R453" s="21">
        <x:f>HYPERLINK("https://www.jimtof.org/search/jp/ESdetails?e=EBIotJu7lrg","JIMTOF2026 出展ページ")</x:f>
        <x:v>JIMTOF2026 出展ページ</x:v>
      </x:c>
      <x:c t="str" r="S453" s="21">
        <x:f>HYPERLINK("https://www.jimtof.org/2024/search/jp/ESdetails?e=nYvFR1vpbuE","JIMTOF2024 出展ページ")</x:f>
        <x:v>JIMTOF2024 出展ページ</x:v>
      </x:c>
      <x:c r="T453" s="7" t="str">
        <x:v>EEX-EXH-2026-9b991dd8132f51dc: https://www.jimtof.org/search/jp/ESdetails?e=EBIotJu7lrg
該当箇所: 出展紹介・主な出展物。追加カードの原典抜粋で検索
EEX-EXH-2024-558faea07a73f5d8: https://www.jimtof.org/2024/search/jp/ESdetails?e=nYvFR1vpbuE
該当箇所: 出展紹介・主な出展物。追加カードの原典抜粋で検索
EDP-16: https://references.siemens.com/en/reference/heller-tokn-digital-twin?id=41137
該当箇所: Completion: 2024／仮想SINUMERIK ONEと3D機械モデルによる訓練
EDP-17: https://press.siemens.com/jp/ja/pressrelease/pr-20260416
該当箇所: HMND 01 Alphaのトート把持・搬送・配置／Jetson Thor・Isaac Sim/Lab</x:v>
      </x:c>
    </x:row>
    <x:row r="454" ht="155" customHeight="1">
      <x:c r="A454" s="7" t="str">
        <x:v>工場運用</x:v>
      </x:c>
      <x:c r="B454" s="7" t="str">
        <x:v>作業分析・技能継承・教育</x:v>
      </x:c>
      <x:c r="C454" s="20" t="str">
        <x:v>株式会社ブロードリーフ</x:v>
      </x:c>
      <x:c r="D454" s="7" t="str">
        <x:v>OTRS+AI：作業動画の自動分節</x:v>
      </x:c>
      <x:c r="E454" s="7" t="str">
        <x:v>S3068</x:v>
      </x:c>
      <x:c r="F454" s="7" t="str">
        <x:v>作業分析・技能継承・教育</x:v>
      </x:c>
      <x:c r="G454" s="7" t="str">
        <x:v>2026は同系統の動画分析・自動分節を継続し、VPS NEXTアイトラッキングを追加記載。</x:v>
      </x:c>
      <x:c r="H454" s="7" t="str">
        <x:v>作業を記録・分析し、改善点や技能を共有する負担がある。</x:v>
      </x:c>
      <x:c r="I454" s="7" t="str">
        <x:v>2024にもOTRS10、OTRS+AI、Mobile OTRSを掲載。</x:v>
      </x:c>
      <x:c r="J454" s="7" t="str">
        <x:v>2026は同系統の動画分析・自動分節を継続し、VPS NEXTアイトラッキングを追加記載。</x:v>
      </x:c>
      <x:c r="K454" s="7" t="str">
        <x:v>動画分節AIを2026新登場とはしない。視線情報と作業分析の接続・差分を確認。</x:v>
      </x:c>
      <x:c r="L454" s="7" t="str">
        <x:v>両年説明あり・機能差未判定</x:v>
      </x:c>
      <x:c r="M454" s="7" t="str">
        <x:v>出展説明の一次分類</x:v>
      </x:c>
      <x:c r="N454" s="7" t="str"/>
      <x:c r="O454" s="7" t="str">
        <x:v>承認・例外対応・停止・復帰の境界は未確認</x:v>
      </x:c>
      <x:c r="P454" s="7" t="str">
        <x:v>2026公式カタログ掲載・現地未確認
2026展示予定。既存製品・参考出展・構想等は原典で個別確認</x:v>
      </x:c>
      <x:c r="Q454" s="7" t="str">
        <x:v>AC204</x:v>
      </x:c>
      <x:c t="str" r="R454" s="21">
        <x:f>HYPERLINK("https://www.jimtof.org/search/jp/ESdetails?e=Dt_yEexTCZo","JIMTOF2026 出展ページ")</x:f>
        <x:v>JIMTOF2026 出展ページ</x:v>
      </x:c>
      <x:c t="str" r="S454" s="21">
        <x:f>HYPERLINK("https://www.jimtof.org/2024/search/jp/ESdetails?e=R_rANt3zYio","JIMTOF2024 出展ページ")</x:f>
        <x:v>JIMTOF2024 出展ページ</x:v>
      </x:c>
      <x:c r="T454" s="7" t="str">
        <x:v>EEX-EXH-2026-8014e235f82da6ea: https://www.jimtof.org/search/jp/ESdetails?e=Dt_yEexTCZo
該当箇所: 出展紹介・主な出展物。追加カードの原典抜粋で検索
EEX-EXH-2024-0faf4a9595daca25: https://www.jimtof.org/2024/search/jp/ESdetails?e=R_rANt3zYio
該当箇所: 出展紹介・主な出展物。追加カードの原典抜粋で検索</x:v>
      </x:c>
    </x:row>
    <x:row r="455" ht="155" customHeight="1">
      <x:c r="A455" s="7" t="str">
        <x:v>工場運用</x:v>
      </x:c>
      <x:c r="B455" s="7" t="str">
        <x:v>作業分析・技能継承・教育</x:v>
      </x:c>
      <x:c r="C455" s="20" t="str">
        <x:v>Rollomatic Japan株式会社</x:v>
      </x:c>
      <x:c r="D455" s="7" t="str">
        <x:v>Road to Automation：工具研削の自律性向上提案</x:v>
      </x:c>
      <x:c r="E455" s="7" t="str">
        <x:v>S2005</x:v>
      </x:c>
      <x:c r="F455" s="7" t="str">
        <x:v>自動加工セル・工程集約 ／ 作業分析・技能継承・教育</x:v>
      </x:c>
      <x:c r="G455" s="7" t="str">
        <x:v>研削高度化、接続、情報・教育・運用支援を含む6段階の自動化を提案。</x:v>
      </x:c>
      <x:c r="H455" s="7" t="str">
        <x:v>設備間の持替えや繰返し作業が、人手・待ち時間・品質差につながる。 ／ 作業を記録・分析し、改善点や技能を共有する負担がある。</x:v>
      </x:c>
      <x:c r="I455" s="7" t="str">
        <x:v>同一名称の2024詳細なし。</x:v>
      </x:c>
      <x:c r="J455" s="7" t="str">
        <x:v>研削高度化、接続、情報・教育・運用支援を含む6段階の自動化を提案。</x:v>
      </x:c>
      <x:c r="K455" s="7" t="str">
        <x:v>2024差分は比較不能。自律性を高める具体製品・判断対象は記述不足。</x:v>
      </x:c>
      <x:c r="L455" s="7" t="str">
        <x:v>年度資料不足・比較不能</x:v>
      </x:c>
      <x:c r="M455" s="7" t="str">
        <x:v>出展説明の一次分類</x:v>
      </x:c>
      <x:c r="N455" s="7" t="str"/>
      <x:c r="O455" s="7" t="str">
        <x:v>承認・例外対応・停止・復帰の境界は未確認</x:v>
      </x:c>
      <x:c r="P455" s="7" t="str">
        <x:v>2026公式カタログ掲載・現地未確認
2026展示予定。既存製品・参考出展・構想等は原典で個別確認</x:v>
      </x:c>
      <x:c r="Q455" s="7" t="str">
        <x:v>AC245</x:v>
      </x:c>
      <x:c t="str" r="R455" s="21">
        <x:f>HYPERLINK("https://www.jimtof.org/search/jp/ESdetails?e=9af8P2FUMY8","JIMTOF2026 出展ページ")</x:f>
        <x:v>JIMTOF2026 出展ページ</x:v>
      </x:c>
      <x:c r="S455" s="21" t="str"/>
      <x:c r="T455" s="7" t="str">
        <x:v>EEX-EXH-2026-d26755a7bc74fe39: https://www.jimtof.org/search/jp/ESdetails?e=9af8P2FUMY8
該当箇所: 出展紹介・主な出展物。追加カードの原典抜粋で検索</x:v>
      </x:c>
    </x:row>
    <x:row r="456" ht="155" customHeight="1">
      <x:c r="A456" s="7" t="str">
        <x:v>分類保留</x:v>
      </x:c>
      <x:c r="B456" s="7" t="str">
        <x:v>用途の詳細が未確認の候補</x:v>
      </x:c>
      <x:c r="C456" s="20" t="str">
        <x:v>株式会社旭商工社</x:v>
      </x:c>
      <x:c r="D456" s="7" t="str">
        <x:v>①マーテルハンド：母の手で包む様に持つことができるマジックハンド</x:v>
      </x:c>
      <x:c r="E456" s="7" t="str">
        <x:v>W3043</x:v>
      </x:c>
      <x:c r="F456" s="7" t="str">
        <x:v>用途の詳細が未確認の候補</x:v>
      </x:c>
      <x:c r="G456" s="7" t="str">
        <x:v>原典抜粋：⑥各種ロボットシステム：驚きしかない！ 世にないロボットシステム</x:v>
      </x:c>
      <x:c r="H456" s="7" t="str">
        <x:v>取得した説明だけでは、関連する個別タスクを確定できない。</x:v>
      </x:c>
      <x:c r="I456" s="7" t="str">
        <x:v>2024原典抜粋：★アミューズメントをコンセプトとした商品・システムをご用意しております。 ぜひお立ち寄りください。 皆様の「あっ！！」と驚く顔が目に浮かびます・・・ ①超硬ロータリーバー：あらゆる分野で使用可能な超硬ロータリーバー ②バリ取りホルダ：各種ツールを使用できる特殊なバリ取りホルダ ③エアツール：多様な状況に対応したエアツール ④省エネ・作業改善コーナー：空圧機器メーカーによる様々な商品展示 ⑤測定無線システム：測定器メーカーによるデジタル化システム ⑥ロボットシステム：驚きしかない！ 世にないロボットシステム</x:v>
      </x:c>
      <x:c r="J456" s="7" t="str">
        <x:v>2026原典抜粋：⑥各種ロボットシステム：驚きしかない！ 世にないロボットシステム</x:v>
      </x:c>
      <x:c r="K456" s="7" t="str">
        <x:v>原典記述の対照。個別機能の追加・性能差・初登場年は未判定。</x:v>
      </x:c>
      <x:c r="L456" s="7" t="str">
        <x:v>両年説明あり・機能差未判定</x:v>
      </x:c>
      <x:c r="M456" s="7" t="str">
        <x:v>出展説明の一次分類</x:v>
      </x:c>
      <x:c r="N456" s="7" t="str"/>
      <x:c r="O456" s="7" t="str">
        <x:v>承認・例外対応・停止・復帰の境界は未確認</x:v>
      </x:c>
      <x:c r="P456" s="7" t="str">
        <x:v>2026公式カタログ掲載・現地未確認
2026展示予定。既存製品・参考出展・構想等は原典で個別確認</x:v>
      </x:c>
      <x:c r="Q456" s="7" t="str">
        <x:v>AC005</x:v>
      </x:c>
      <x:c t="str" r="R456" s="21">
        <x:f>HYPERLINK("https://www.jimtof.org/search/jp/ESdetails?e=16et4DWBUOg","JIMTOF2026 出展ページ")</x:f>
        <x:v>JIMTOF2026 出展ページ</x:v>
      </x:c>
      <x:c t="str" r="S456" s="21">
        <x:f>HYPERLINK("https://www.jimtof.org/2024/search/jp/ESdetails?e=7JYRMsNRXRM","JIMTOF2024 出展ページ")</x:f>
        <x:v>JIMTOF2024 出展ページ</x:v>
      </x:c>
      <x:c r="T456" s="7" t="str">
        <x:v>EEX-EXH-2026-907ef152949f6105: https://www.jimtof.org/search/jp/ESdetails?e=16et4DWBUOg
該当箇所: 出展紹介・主な出展物。追加カードの原典抜粋で検索
EEX-EXH-2024-0786860de58f6965: https://www.jimtof.org/2024/search/jp/ESdetails?e=7JYRMsNRXRM
該当箇所: 出展紹介・主な出展物。追加カードの原典抜粋で検索</x:v>
      </x:c>
    </x:row>
    <x:row r="457" ht="155" customHeight="1">
      <x:c r="A457" s="7" t="str">
        <x:v>分類保留</x:v>
      </x:c>
      <x:c r="B457" s="7" t="str">
        <x:v>用途の詳細が未確認の候補</x:v>
      </x:c>
      <x:c r="C457" s="20" t="str">
        <x:v>川重テクノロジー株式会社</x:v>
      </x:c>
      <x:c r="D457" s="7" t="str">
        <x:v>ミストリーナー DEシリーズ</x:v>
      </x:c>
      <x:c r="E457" s="7" t="str">
        <x:v>S1042</x:v>
      </x:c>
      <x:c r="F457" s="7" t="str">
        <x:v>用途の詳細が未確認の候補</x:v>
      </x:c>
      <x:c r="G457" s="7" t="str">
        <x:v>原典抜粋：川重テクノロジーは製造業の皆様の製品開発、製造、品質保証のパートナーです。 / 当社ブースにはミストリーナー（ミストコレクター）とFEM・CFD解析によるソリューション技術を展示しています。 / ミストリーナーは、特殊フィルターによる高い除去性能・維持性能が強みです。 / 多数の油煙対策実績もあり、改善事例紹介やデモ機設置のご提案も可能です。 / また、ソリューション技術コーナーでは、機械加工時や成形時における変形・応力・破壊・振動・粒</x:v>
      </x:c>
      <x:c r="H457" s="7" t="str">
        <x:v>取得した説明だけでは、関連する個別タスクを確定できない。</x:v>
      </x:c>
      <x:c r="I457" s="7" t="str">
        <x:v>2024原典抜粋：川重テクノロジーは製造業の皆様の製品開発、製造、品質保証のパートナーです。 当社ブースにはミストコレクター（新型ミストリーナー）を展示しており、機械装置や製品についての性能・耐久性・信頼性の診断・評価技術を案内しています。 ミストリーナーは高い除去性能・維持性能が強みで、多数の油煙対策実績もあります。 機械装置の診断・評価技術コーナーでは「機械の健康診断」をキャッチフレーズに具体的な診断・評価試験事例（切削液の診断・評価、油脂類の劣化診断など）を案内しており、当社技術者による技術相談も可能です。 ■新型ミストリーナ</x:v>
      </x:c>
      <x:c r="J457" s="7" t="str">
        <x:v>2026原典抜粋：川重テクノロジーは製造業の皆様の製品開発、製造、品質保証のパートナーです。 / 当社ブースにはミストリーナー（ミストコレクター）とFEM・CFD解析によるソリューション技術を展示しています。 / ミストリーナーは、特殊フィルターによる高い除去性能・維持性能が強みです。 / 多数の油煙対策実績もあり、改善事例紹介やデモ機設置のご提案も可能です。 / また、ソリューション技術コーナーでは、機械加工時や成形時における変形・応力・破壊・振動・粒</x:v>
      </x:c>
      <x:c r="K457" s="7" t="str">
        <x:v>原典記述の対照。個別機能の追加・性能差・初登場年は未判定。</x:v>
      </x:c>
      <x:c r="L457" s="7" t="str">
        <x:v>両年説明あり・機能差未判定</x:v>
      </x:c>
      <x:c r="M457" s="7" t="str">
        <x:v>出展説明の一次分類</x:v>
      </x:c>
      <x:c r="N457" s="7" t="str"/>
      <x:c r="O457" s="7" t="str">
        <x:v>承認・例外対応・停止・復帰の境界は未確認</x:v>
      </x:c>
      <x:c r="P457" s="7" t="str">
        <x:v>2026公式カタログ掲載・現地未確認
2026展示予定。既存製品・参考出展・構想等は原典で個別確認</x:v>
      </x:c>
      <x:c r="Q457" s="7" t="str">
        <x:v>AC053</x:v>
      </x:c>
      <x:c t="str" r="R457" s="21">
        <x:f>HYPERLINK("https://www.jimtof.org/search/jp/ESdetails?e=Wa3P03zlqwQ","JIMTOF2026 出展ページ")</x:f>
        <x:v>JIMTOF2026 出展ページ</x:v>
      </x:c>
      <x:c t="str" r="S457" s="21">
        <x:f>HYPERLINK("https://www.jimtof.org/2024/search/jp/ESdetails?e=JGqpN72oJyI","JIMTOF2024 出展ページ")</x:f>
        <x:v>JIMTOF2024 出展ページ</x:v>
      </x:c>
      <x:c r="T457" s="7" t="str">
        <x:v>EEX-EXH-2026-8b196d0a504dcc0c: https://www.jimtof.org/search/jp/ESdetails?e=Wa3P03zlqwQ
該当箇所: 出展紹介・主な出展物。追加カードの原典抜粋で検索
EEX-EXH-2024-5bfca782220cfd26: https://www.jimtof.org/2024/search/jp/ESdetails?e=JGqpN72oJyI
該当箇所: 出展紹介・主な出展物。追加カードの原典抜粋で検索</x:v>
      </x:c>
    </x:row>
    <x:row r="458" ht="155" customHeight="1">
      <x:c r="A458" s="7" t="str">
        <x:v>分類保留</x:v>
      </x:c>
      <x:c r="B458" s="7" t="str">
        <x:v>用途の詳細が未確認の候補</x:v>
      </x:c>
      <x:c r="C458" s="20" t="str">
        <x:v>JFEエンジニアリング株式会社</x:v>
      </x:c>
      <x:c r="D458" s="7" t="str">
        <x:v>金属積層造形を用いて製作・補修した各種部品</x:v>
      </x:c>
      <x:c r="E458" s="7" t="str">
        <x:v>W4102</x:v>
      </x:c>
      <x:c r="F458" s="7" t="str">
        <x:v>用途の詳細が未確認の候補</x:v>
      </x:c>
      <x:c r="G458" s="7" t="str">
        <x:v>原典抜粋：金属3Dプリンターを用いた受託造形サービスを展開するJFEエンジニアリングブースでは、長年培った製缶・機械加工・組立技術と最先端の金属積層造形技術を融合した新しいものづくりをご紹介します。 / 国内最大クラスの造形サイズ（最大φ1,320×H1,150mm）を誇る大型金属3Dプリンターをはじめとする設備群により、大型構造物から高精度部品まで幅広く対応。 / 従来の切削加工では難しかった複雑形状や軽量化構造の実現を可能にします。 / 当社</x:v>
      </x:c>
      <x:c r="H458" s="7" t="str">
        <x:v>取得した説明だけでは、関連する個別タスクを確定できない。</x:v>
      </x:c>
      <x:c r="I458" s="7" t="str">
        <x:v>同一正規化名称の2024詳細なし。新規出展・技術不存在とは判断しない。</x:v>
      </x:c>
      <x:c r="J458" s="7" t="str">
        <x:v>2026原典抜粋：金属3Dプリンターを用いた受託造形サービスを展開するJFEエンジニアリングブースでは、長年培った製缶・機械加工・組立技術と最先端の金属積層造形技術を融合した新しいものづくりをご紹介します。 / 国内最大クラスの造形サイズ（最大φ1,320×H1,150mm）を誇る大型金属3Dプリンターをはじめとする設備群により、大型構造物から高精度部品まで幅広く対応。 / 従来の切削加工では難しかった複雑形状や軽量化構造の実現を可能にします。 / 当社</x:v>
      </x:c>
      <x:c r="K458" s="7" t="str">
        <x:v>原典記述の対照。個別機能の追加・性能差・初登場年は未判定。</x:v>
      </x:c>
      <x:c r="L458" s="7" t="str">
        <x:v>年度資料不足・比較不能</x:v>
      </x:c>
      <x:c r="M458" s="7" t="str">
        <x:v>出展説明の一次分類</x:v>
      </x:c>
      <x:c r="N458" s="7" t="str"/>
      <x:c r="O458" s="7" t="str">
        <x:v>承認・例外対応・停止・復帰の境界は未確認</x:v>
      </x:c>
      <x:c r="P458" s="7" t="str">
        <x:v>2026公式カタログ掲載・現地未確認
2026展示予定。既存製品・参考出展・構想等は原典で個別確認</x:v>
      </x:c>
      <x:c r="Q458" s="7" t="str">
        <x:v>AC099</x:v>
      </x:c>
      <x:c t="str" r="R458" s="21">
        <x:f>HYPERLINK("https://www.jimtof.org/search/jp/ESdetails?e=3fQN8AhQ2X0","JIMTOF2026 出展ページ")</x:f>
        <x:v>JIMTOF2026 出展ページ</x:v>
      </x:c>
      <x:c r="S458" s="21" t="str"/>
      <x:c r="T458" s="7" t="str">
        <x:v>EEX-EXH-2026-64caad79f2ec2e09: https://www.jimtof.org/search/jp/ESdetails?e=3fQN8AhQ2X0
該当箇所: 出展紹介・主な出展物。追加カードの原典抜粋で検索</x:v>
      </x:c>
    </x:row>
    <x:row r="459" ht="155" customHeight="1">
      <x:c r="A459" s="7" t="str">
        <x:v>分類保留</x:v>
      </x:c>
      <x:c r="B459" s="7" t="str">
        <x:v>用途の詳細が未確認の候補</x:v>
      </x:c>
      <x:c r="C459" s="20" t="str">
        <x:v>スター精密株式会社</x:v>
      </x:c>
      <x:c r="D459" s="7" t="str">
        <x:v>スイス型ＣＮＣ自動旋盤　ＳＢ－１２ＲＩＩ</x:v>
      </x:c>
      <x:c r="E459" s="7" t="str">
        <x:v>S1003</x:v>
      </x:c>
      <x:c r="F459" s="7" t="str">
        <x:v>用途の詳細が未確認の候補</x:v>
      </x:c>
      <x:c r="G459" s="7" t="str">
        <x:v>原典抜粋：今回は「ヒューマノイドロボット」「医療」「ドローン」「自動車」の４分野にフォーカスし、 / スイス型ＣＮＣ自動旋盤　ＳＢ－１２ＲＩＩ / スターモーションコントロールシステム搭載スイス型自動旋盤　ＳＸ－３８Ｒ ｔｙｐｅ Ｂ / スイス型ＣＮＣ自動旋盤　ＳＰ－３２ / スイス型ＣＮＣ自動旋盤　ＳＬ－１０</x:v>
      </x:c>
      <x:c r="H459" s="7" t="str">
        <x:v>取得した説明だけでは、関連する個別タスクを確定できない。</x:v>
      </x:c>
      <x:c r="I459" s="7" t="str">
        <x:v>2024原典抜粋：スター精密の今回の出展テーマは『その技術で医療の未来へ』です。 精密加工への要求が一段と高まる医療分野。 JIMTOF2024では、そんな医療分野に挑む部品サプライヤーの皆さまに向けた、スター精密からの新たな提案を全出展機種による加工実演を交えてご紹介致します。 是非とも弊社ブースにお越しいただき、『世界を変える星となる』ヒントをご覧ください。 ・スイス型CNC自動旋盤 SB-20RII ロングセラーモデルSBシリーズの待望の最新機種。シリーズ伝統の高剛性をベースに、今求められる機能・性能を突き詰めて生まれた最新の</x:v>
      </x:c>
      <x:c r="J459" s="7" t="str">
        <x:v>2026原典抜粋：今回は「ヒューマノイドロボット」「医療」「ドローン」「自動車」の４分野にフォーカスし、 / スイス型ＣＮＣ自動旋盤　ＳＢ－１２ＲＩＩ / スターモーションコントロールシステム搭載スイス型自動旋盤　ＳＸ－３８Ｒ ｔｙｐｅ Ｂ / スイス型ＣＮＣ自動旋盤　ＳＰ－３２ / スイス型ＣＮＣ自動旋盤　ＳＬ－１０</x:v>
      </x:c>
      <x:c r="K459" s="7" t="str">
        <x:v>原典記述の対照。個別機能の追加・性能差・初登場年は未判定。</x:v>
      </x:c>
      <x:c r="L459" s="7" t="str">
        <x:v>両年説明あり・機能差未判定</x:v>
      </x:c>
      <x:c r="M459" s="7" t="str">
        <x:v>出展説明の一次分類</x:v>
      </x:c>
      <x:c r="N459" s="7" t="str"/>
      <x:c r="O459" s="7" t="str">
        <x:v>承認・例外対応・停止・復帰の境界は未確認</x:v>
      </x:c>
      <x:c r="P459" s="7" t="str">
        <x:v>2026公式カタログ掲載・現地未確認
2026展示予定。既存製品・参考出展・構想等は原典で個別確認</x:v>
      </x:c>
      <x:c r="Q459" s="7" t="str">
        <x:v>AC112</x:v>
      </x:c>
      <x:c t="str" r="R459" s="21">
        <x:f>HYPERLINK("https://www.jimtof.org/search/jp/ESdetails?e=uGFHKigy2ag","JIMTOF2026 出展ページ")</x:f>
        <x:v>JIMTOF2026 出展ページ</x:v>
      </x:c>
      <x:c t="str" r="S459" s="21">
        <x:f>HYPERLINK("https://www.jimtof.org/2024/search/jp/ESdetails?e=Lko701EYhhQ","JIMTOF2024 出展ページ")</x:f>
        <x:v>JIMTOF2024 出展ページ</x:v>
      </x:c>
      <x:c r="T459" s="7" t="str">
        <x:v>EEX-EXH-2026-0a5e5a2628606f5f: https://www.jimtof.org/search/jp/ESdetails?e=uGFHKigy2ag
該当箇所: 出展紹介・主な出展物。追加カードの原典抜粋で検索
EEX-EXH-2024-1cce6dcfa72ea15d: https://www.jimtof.org/2024/search/jp/ESdetails?e=Lko701EYhhQ
該当箇所: 出展紹介・主な出展物。追加カードの原典抜粋で検索</x:v>
      </x:c>
    </x:row>
    <x:row r="460" ht="155" customHeight="1">
      <x:c r="A460" s="7" t="str">
        <x:v>分類保留</x:v>
      </x:c>
      <x:c r="B460" s="7" t="str">
        <x:v>用途の詳細が未確認の候補</x:v>
      </x:c>
      <x:c r="C460" s="20" t="str">
        <x:v>株式会社タンガロイ</x:v>
      </x:c>
      <x:c r="D460" s="7" t="str">
        <x:v>旋削加工用：AddMultiTurn, TungTurnJet, BoreMeister, TungBoreMini, TungCut, AddFor</x:v>
      </x:c>
      <x:c r="E460" s="7" t="str">
        <x:v>W1090</x:v>
      </x:c>
      <x:c r="F460" s="7" t="str">
        <x:v>用途の詳細が未確認の候補</x:v>
      </x:c>
      <x:c r="G460" s="7" t="str">
        <x:v>原典抜粋：さらに、自動化・省人化に対応したシステムや、多様化する加工ニーズに応える最新工具も展示します。</x:v>
      </x:c>
      <x:c r="H460" s="7" t="str">
        <x:v>取得した説明だけでは、関連する個別タスクを確定できない。</x:v>
      </x:c>
      <x:c r="I460" s="7" t="str">
        <x:v>2024原典抜粋：「未来を共に創造する信頼のパートナー」 タンガロイは、お客様の未来を共に創造する信頼のパートナーです。 私たちはお客様の課題を深く理解し、最適な解決策を提供するために共に考え、支援します。 最新技術と環境適合製品を駆使し、広範な製品ポートフォリオで様々な課題に対応することでお客様の生産性向上をサポートします。 JIMTOF会場では、皆様の課題解決につながる工具が発見できます。ぜひ、弊社のブースにお立ち寄りいただき、革新的な技術と製品を直接ご覧ください。 電気価格のみならず、あらゆる物の価格が高騰する現在、製造コスト</x:v>
      </x:c>
      <x:c r="J460" s="7" t="str">
        <x:v>2026原典抜粋：さらに、自動化・省人化に対応したシステムや、多様化する加工ニーズに応える最新工具も展示します。</x:v>
      </x:c>
      <x:c r="K460" s="7" t="str">
        <x:v>原典記述の対照。個別機能の追加・性能差・初登場年は未判定。</x:v>
      </x:c>
      <x:c r="L460" s="7" t="str">
        <x:v>両年説明あり・機能差未判定</x:v>
      </x:c>
      <x:c r="M460" s="7" t="str">
        <x:v>出展説明の一次分類</x:v>
      </x:c>
      <x:c r="N460" s="7" t="str"/>
      <x:c r="O460" s="7" t="str">
        <x:v>承認・例外対応・停止・復帰の境界は未確認</x:v>
      </x:c>
      <x:c r="P460" s="7" t="str">
        <x:v>2026公式カタログ掲載・現地未確認
2026展示予定。既存製品・参考出展・構想等は原典で個別確認</x:v>
      </x:c>
      <x:c r="Q460" s="7" t="str">
        <x:v>AC132</x:v>
      </x:c>
      <x:c t="str" r="R460" s="21">
        <x:f>HYPERLINK("https://www.jimtof.org/search/jp/ESdetails?e=VUyVyFPIn2Q","JIMTOF2026 出展ページ")</x:f>
        <x:v>JIMTOF2026 出展ページ</x:v>
      </x:c>
      <x:c t="str" r="S460" s="21">
        <x:f>HYPERLINK("https://www.jimtof.org/2024/search/jp/ESdetails?e=vm3yerTfsk0","JIMTOF2024 出展ページ")</x:f>
        <x:v>JIMTOF2024 出展ページ</x:v>
      </x:c>
      <x:c r="T460" s="7" t="str">
        <x:v>EEX-EXH-2026-b1217429663a31e7: https://www.jimtof.org/search/jp/ESdetails?e=VUyVyFPIn2Q
該当箇所: 出展紹介・主な出展物。追加カードの原典抜粋で検索
EEX-EXH-2024-fad88568a77814de: https://www.jimtof.org/2024/search/jp/ESdetails?e=vm3yerTfsk0
該当箇所: 出展紹介・主な出展物。追加カードの原典抜粋で検索</x:v>
      </x:c>
    </x:row>
    <x:row r="461" ht="155" customHeight="1">
      <x:c r="A461" s="7" t="str">
        <x:v>分類保留</x:v>
      </x:c>
      <x:c r="B461" s="7" t="str">
        <x:v>用途の詳細が未確認の候補</x:v>
      </x:c>
      <x:c r="C461" s="20" t="str">
        <x:v>日本3Dプリンター株式会社</x:v>
      </x:c>
      <x:c r="D461" s="7" t="str">
        <x:v>NEW※圧倒的な高速・安定造形を同時に実現 Raise3D T Series 3Dプリンター</x:v>
      </x:c>
      <x:c r="E461" s="7" t="str">
        <x:v>S2014</x:v>
      </x:c>
      <x:c r="F461" s="7" t="str">
        <x:v>用途の詳細が未確認の候補</x:v>
      </x:c>
      <x:c r="G461" s="7" t="str">
        <x:v>原典抜粋：創業以来13年間、5000社以上の法人様・500以上の教育機関/研究機関に導入いただき、自動車、電気機器、医療、宇宙、航空、製品設計など幅広い業界の実績がございます。 / NEW※圧倒的な高速・安定造形を同時に実現 Raise3D T Series 3Dプリンター / 新世代の主力モデル「Raise3D T450」 / 【完全な無人運転へ】 20以上のセンサーとAIカメラが「ノズルの詰まり」や「造形ミス」を自動検知。 / 大型一体成形を</x:v>
      </x:c>
      <x:c r="H461" s="7" t="str">
        <x:v>取得した説明だけでは、関連する個別タスクを確定できない。</x:v>
      </x:c>
      <x:c r="I461" s="7" t="str">
        <x:v>2024原典抜粋：私たちは長年3Dプリンティングにおける、あらゆる造形方式の研究と販売を経験しました。 機械の特徴に加え、樹脂から金属までの材料特性や、AM技術向け3Dデータ再設計ノウハウなど、豊富な知識を競争力としています。当社は3Dプリンター選定、材料コンサル、データ再設計、設置教育など、トータルソリューションを提供します。 創業以来10年間、5000社以上の法人様・400以上の教育機関/研究機関に導入いただき、自動車、電気機器、医療、宇宙、航空、製品設計など幅広い業界の実績がございます。 3Dプリンター Raise3D Pro</x:v>
      </x:c>
      <x:c r="J461" s="7" t="str">
        <x:v>2026原典抜粋：創業以来13年間、5000社以上の法人様・500以上の教育機関/研究機関に導入いただき、自動車、電気機器、医療、宇宙、航空、製品設計など幅広い業界の実績がございます。 / NEW※圧倒的な高速・安定造形を同時に実現 Raise3D T Series 3Dプリンター / 新世代の主力モデル「Raise3D T450」 / 【完全な無人運転へ】 20以上のセンサーとAIカメラが「ノズルの詰まり」や「造形ミス」を自動検知。 / 大型一体成形を</x:v>
      </x:c>
      <x:c r="K461" s="7" t="str">
        <x:v>原典記述の対照。個別機能の追加・性能差・初登場年は未判定。</x:v>
      </x:c>
      <x:c r="L461" s="7" t="str">
        <x:v>両年説明あり・機能差未判定</x:v>
      </x:c>
      <x:c r="M461" s="7" t="str">
        <x:v>出展説明の一次分類</x:v>
      </x:c>
      <x:c r="N461" s="7" t="str"/>
      <x:c r="O461" s="7" t="str">
        <x:v>承認・例外対応・停止・復帰の境界は未確認</x:v>
      </x:c>
      <x:c r="P461" s="7" t="str">
        <x:v>2026公式カタログ掲載・現地未確認
2026展示予定。既存製品・参考出展・構想等は原典で個別確認</x:v>
      </x:c>
      <x:c r="Q461" s="7" t="str">
        <x:v>AC178</x:v>
      </x:c>
      <x:c t="str" r="R461" s="21">
        <x:f>HYPERLINK("https://www.jimtof.org/search/jp/ESdetails?e=ohBDcqo2rI8","JIMTOF2026 出展ページ")</x:f>
        <x:v>JIMTOF2026 出展ページ</x:v>
      </x:c>
      <x:c t="str" r="S461" s="21">
        <x:f>HYPERLINK("https://www.jimtof.org/2024/search/jp/ESdetails?e=Unp2BkRqHmA","JIMTOF2024 出展ページ")</x:f>
        <x:v>JIMTOF2024 出展ページ</x:v>
      </x:c>
      <x:c r="T461" s="7" t="str">
        <x:v>EEX-EXH-2026-3e32007d339c5ff7: https://www.jimtof.org/search/jp/ESdetails?e=ohBDcqo2rI8
該当箇所: 出展紹介・主な出展物。追加カードの原典抜粋で検索
EEX-EXH-2024-1dca44c0f370dfd2: https://www.jimtof.org/2024/search/jp/ESdetails?e=Unp2BkRqHmA
該当箇所: 出展紹介・主な出展物。追加カードの原典抜粋で検索</x:v>
      </x:c>
    </x:row>
    <x:row r="462" ht="155" customHeight="1">
      <x:c r="A462" s="7" t="str">
        <x:v>分類保留</x:v>
      </x:c>
      <x:c r="B462" s="7" t="str">
        <x:v>用途の詳細が未確認の候補</x:v>
      </x:c>
      <x:c r="C462" s="20" t="str">
        <x:v>Profiroll Technologies GmbH</x:v>
      </x:c>
      <x:c r="D462" s="7" t="str">
        <x:v>Rolling Machines:</x:v>
      </x:c>
      <x:c r="E462" s="7" t="str">
        <x:v>S1055</x:v>
      </x:c>
      <x:c r="F462" s="7" t="str">
        <x:v>用途の詳細が未確認の候補</x:v>
      </x:c>
      <x:c r="G462" s="7" t="str">
        <x:v>原典抜粋：The Profiroll business concept is strongly oriented on customers sophisticated technical requests for profiling rotationally symmetric parts using the most modern cold forming technology, leading finally in a development</x:v>
      </x:c>
      <x:c r="H462" s="7" t="str">
        <x:v>取得した説明だけでは、関連する個別タスクを確定できない。</x:v>
      </x:c>
      <x:c r="I462" s="7" t="str">
        <x:v>2024原典抜粋：プロフィロールの全機種のグローバルな特徴： - 静的・動的な剛性の高い鋳造C型フレーム - 部品の取付・取出しのための作業領域への優れたアクセス性 - 段取替え時の優れたアクセス性 - 50kNから1200kNの転造荷重 - インフィード、スルーフィード転造 - オペレータのニーズに応える駆動・制御システム </x:v>
      </x:c>
      <x:c r="J462" s="7" t="str">
        <x:v>2026原典抜粋：The Profiroll business concept is strongly oriented on customers sophisticated technical requests for profiling rotationally symmetric parts using the most modern cold forming technology, leading finally in a development</x:v>
      </x:c>
      <x:c r="K462" s="7" t="str">
        <x:v>原典記述の対照。個別機能の追加・性能差・初登場年は未判定。</x:v>
      </x:c>
      <x:c r="L462" s="7" t="str">
        <x:v>両年説明あり・機能差未判定</x:v>
      </x:c>
      <x:c r="M462" s="7" t="str">
        <x:v>出展説明の一次分類</x:v>
      </x:c>
      <x:c r="N462" s="7" t="str"/>
      <x:c r="O462" s="7" t="str">
        <x:v>承認・例外対応・停止・復帰の境界は未確認</x:v>
      </x:c>
      <x:c r="P462" s="7" t="str">
        <x:v>2026公式カタログ掲載・現地未確認
2026展示予定。既存製品・参考出展・構想等は原典で個別確認</x:v>
      </x:c>
      <x:c r="Q462" s="7" t="str">
        <x:v>AC277</x:v>
      </x:c>
      <x:c t="str" r="R462" s="21">
        <x:f>HYPERLINK("https://www.jimtof.org/search/jp/ESdetails?e=zGmF-52RIcs","JIMTOF2026 出展ページ")</x:f>
        <x:v>JIMTOF2026 出展ページ</x:v>
      </x:c>
      <x:c t="str" r="S462" s="21">
        <x:f>HYPERLINK("https://www.jimtof.org/2024/search/jp/ESdetails?e=OFbdMIL3phc","JIMTOF2024 出展ページ")</x:f>
        <x:v>JIMTOF2024 出展ページ</x:v>
      </x:c>
      <x:c r="T462" s="7" t="str">
        <x:v>EEX-EXH-2026-b35ce23f501c1830: https://www.jimtof.org/search/jp/ESdetails?e=zGmF-52RIcs
該当箇所: 出展紹介・主な出展物。追加カードの原典抜粋で検索
EEX-EXH-2024-e6f5d0ec7aca1e17: https://www.jimtof.org/2024/search/jp/ESdetails?e=OFbdMIL3phc
該当箇所: 出展紹介・主な出展物。追加カードの原典抜粋で検索</x:v>
      </x:c>
    </x:row>
  </x:sheetData>
  <x:pageMargins left="0.7" right="0.7" top="0.75" bottom="0.75" header="0.3" footer="0.3"/>
  <x:tableParts count="1">
    <x:tablePart xmlns:r="http://schemas.openxmlformats.org/officeDocument/2006/relationships" r:id="R7837e081334a4590"/>
  </x:tableParts>
</x:worksheet>
</file>

<file path=xl/worksheets/sheet5.xml><?xml version="1.0" encoding="utf-8"?>
<x:worksheet xmlns:x="http://schemas.openxmlformats.org/spreadsheetml/2006/main">
  <x:sheetPr>
    <x:tabColor rgb="FF117A83"/>
  </x:sheetPr>
  <x:sheetViews>
    <x:sheetView showGridLines="0" workbookViewId="0">
      <x:pane xSplit="1" ySplit="6" topLeftCell="B7" activePane="bottomRight" state="frozen"/>
    </x:sheetView>
  </x:sheetViews>
  <x:sheetFormatPr defaultRowHeight="15"/>
  <x:cols>
    <x:col min="1" max="1" width="38" hidden="0" customWidth="1"/>
    <x:col min="2" max="2" width="44" hidden="0" customWidth="1"/>
    <x:col min="3" max="3" width="44" hidden="0" customWidth="1"/>
    <x:col min="4" max="4" width="44" hidden="0" customWidth="1"/>
    <x:col min="5" max="5" width="44" hidden="0" customWidth="1"/>
    <x:col min="6" max="6" width="44" hidden="0" customWidth="1"/>
    <x:col min="7" max="7" width="36" hidden="0" customWidth="1"/>
    <x:col min="8" max="8" width="36" hidden="0" customWidth="1"/>
  </x:cols>
  <x:sheetData>
    <x:row r="2" ht="30" customHeight="1">
      <x:c r="A2" s="3" t="str">
        <x:v>28社の横断比較：方式 × 任せる仕事</x:v>
      </x:c>
      <x:c r="B2" s="1"/>
      <x:c r="C2" s="1"/>
      <x:c r="D2" s="1"/>
      <x:c r="E2" s="1"/>
      <x:c r="F2" s="1"/>
    </x:row>
    <x:row r="3" ht="22" customHeight="1">
      <x:c r="A3" s="5" t="str">
        <x:v>28社・33カード／10方式・35配置。別事例・別機能を分離。横軸は自律性・性能の順位ではありません。</x:v>
      </x:c>
      <x:c r="B3" s="5"/>
      <x:c r="C3" s="5"/>
      <x:c r="D3" s="5"/>
      <x:c r="E3" s="5"/>
      <x:c r="F3" s="5"/>
    </x:row>
    <x:row r="4" ht="22" customHeight="1">
      <x:c r="A4" s="5" t="str">
        <x:v>整理・追補2026-10-18／基礎原典10/16・追補10/18。下に方式比較・年度比較。根拠IDとURLは「展示詳細」S/T列。</x:v>
      </x:c>
      <x:c r="B4" s="5"/>
      <x:c r="C4" s="5"/>
      <x:c r="D4" s="5"/>
      <x:c r="E4" s="5"/>
      <x:c r="F4" s="5"/>
    </x:row>
    <x:row r="5">
      <x:c r="A5" s="1"/>
      <x:c r="B5" s="1"/>
      <x:c r="C5" s="1"/>
      <x:c r="D5" s="1"/>
      <x:c r="E5" s="1"/>
      <x:c r="F5" s="1"/>
    </x:row>
    <x:row r="6" ht="34" customHeight="1">
      <x:c r="A6" s="11" t="str">
        <x:v>技術方式</x:v>
      </x:c>
      <x:c r="B6" s="11" t="str">
        <x:v>基盤・入力整備</x:v>
      </x:c>
      <x:c r="C6" s="11" t="str">
        <x:v>判定・表示</x:v>
      </x:c>
      <x:c r="D6" s="11" t="str">
        <x:v>提案・生成</x:v>
      </x:c>
      <x:c r="E6" s="11" t="str">
        <x:v>ソフト実行</x:v>
      </x:c>
      <x:c r="F6" s="11" t="str">
        <x:v>実機動作</x:v>
      </x:c>
    </x:row>
    <x:row r="7" ht="216" customHeight="1">
      <x:c r="A7" s="13" t="str">
        <x:v>M01 対話・コード／業務生成</x:v>
      </x:c>
      <x:c r="B7" s="14" t="str">
        <x:v>今回の配置なし</x:v>
      </x:c>
      <x:c r="C7" s="14" t="str">
        <x:v>今回の配置なし</x:v>
      </x:c>
      <x:c r="D7" s="15" t="str">
        <x:v>Beckhoff FC011
要求→PLCコード案
【製品発表】
Beckhoff FC012
要求・スケッチ→I/O・HMI案
【製品発表】
EPLAN FC017
回答・手順支援
【自動操作は将来】
匠技研工業 FC062
原価算定・見積書案
【人が確認・修正・承認】</x:v>
      </x:c>
      <x:c r="E7" s="15" t="str">
        <x:v>Beckhoff FC013
データ診断・TwinCATコマンド
【製品発表・権限未公開】</x:v>
      </x:c>
      <x:c r="F7" s="14" t="str">
        <x:v>今回の配置なし</x:v>
      </x:c>
    </x:row>
    <x:row r="8" ht="108" customHeight="1">
      <x:c r="A8" s="13" t="str">
        <x:v>M02 履歴を使う工程／寿命予測</x:v>
      </x:c>
      <x:c r="B8" s="14" t="str">
        <x:v>今回の配置なし</x:v>
      </x:c>
      <x:c r="C8" s="14" t="str">
        <x:v>今回の配置なし</x:v>
      </x:c>
      <x:c r="D8" s="15" t="str">
        <x:v>Hexagon FC018
過去ジョブ→工程予測
【旋削等へ商用範囲拡張】
モリマシナリー FC040
摩耗履歴→寿命・交換提案
【自動交換は未確認】</x:v>
      </x:c>
      <x:c r="E8" s="14" t="str">
        <x:v>今回の配置なし</x:v>
      </x:c>
      <x:c r="F8" s="14" t="str">
        <x:v>今回の配置なし</x:v>
      </x:c>
    </x:row>
    <x:row r="9" ht="108" customHeight="1">
      <x:c r="A9" s="13" t="str">
        <x:v>M03 物理・加工ルール型CAM生成</x:v>
      </x:c>
      <x:c r="B9" s="14" t="str">
        <x:v>今回の配置なし</x:v>
      </x:c>
      <x:c r="C9" s="14" t="str">
        <x:v>今回の配置なし</x:v>
      </x:c>
      <x:c r="D9" s="15" t="str">
        <x:v>タクテックス AC131
CAM Assist／SolidCAM
【人が編集・検証】
JBM FC020
CAM Assist／Mastercam
【人が編集・検証】</x:v>
      </x:c>
      <x:c r="E9" s="14" t="str">
        <x:v>今回の配置なし</x:v>
      </x:c>
      <x:c r="F9" s="14" t="str">
        <x:v>今回の配置なし</x:v>
      </x:c>
    </x:row>
    <x:row r="10" ht="270" customHeight="1">
      <x:c r="A10" s="13" t="str">
        <x:v>M04 画像・時系列の認識／診断</x:v>
      </x:c>
      <x:c r="B10" s="14" t="str">
        <x:v>今回の配置なし</x:v>
      </x:c>
      <x:c r="C10" s="15" t="str">
        <x:v>HACARUS FC036
良品学習＋追加ラベル→判定
【人が追加学習】
モリマシナリー FC039
工具画像→欠け・摩耗判定
【交換指令は未確認】
ムラテックCCS AC225
電流・振動→設備診断
【レポート・点検提案】
興和 FC063
RW＋別体解析→異常通知
【自動停止は未確認】
Fact Base AC195
図面OCR→登録・検索
【人が読取確認・補正】</x:v>
      </x:c>
      <x:c r="D10" s="15" t="str">
        <x:v>SOFIX／AI Forecast FC030
時系列・画像の予測
【Fleeterへの直結未確認】</x:v>
      </x:c>
      <x:c r="E10" s="14" t="str">
        <x:v>今回の配置なし</x:v>
      </x:c>
      <x:c r="F10" s="14" t="str">
        <x:v>今回の配置なし</x:v>
      </x:c>
    </x:row>
    <x:row r="11" ht="270" customHeight="1">
      <x:c r="A11" s="13" t="str">
        <x:v>M05 認識から動作・加工補正</x:v>
      </x:c>
      <x:c r="B11" s="14" t="str">
        <x:v>今回の配置なし</x:v>
      </x:c>
      <x:c r="C11" s="14" t="str">
        <x:v>今回の配置なし</x:v>
      </x:c>
      <x:c r="D11" s="14" t="str">
        <x:v>今回の配置なし</x:v>
      </x:c>
      <x:c r="E11" s="14" t="str">
        <x:v>今回の配置なし</x:v>
      </x:c>
      <x:c r="F11" s="16" t="str">
        <x:v>TAKISAWA FC049
TR-20W：主軸の切粉除去
【参考出品】
カネテック AC051
磁気＋2D：小径ネジピック
【AIの担当未公開】
サイバーRC AC085
GH5：測定→ホーニング補正
【人が目標幅・角度設定】
TED／E7073内 AC146
3D認識→面取り・皿もみ
【学習AIの使用未確認】
Siemens／HMND AC098
車輪型：トートの取出・搬送
【ドイツ別実証・展示機未同定】</x:v>
      </x:c>
    </x:row>
    <x:row r="12" ht="108" customHeight="1">
      <x:c r="A12" s="13" t="str">
        <x:v>M06 幾何・機械モデルでの検証</x:v>
      </x:c>
      <x:c r="B12" s="14" t="str">
        <x:v>今回の配置なし</x:v>
      </x:c>
      <x:c r="C12" s="15" t="str">
        <x:v>CGTech FC021
実行NC→干渉・残削り検証
【AI搭載は未確認】
Siemens／Tokn AC098
仮想CNC加工・訓練
【2024事例・HMNDと別】</x:v>
      </x:c>
      <x:c r="D12" s="14" t="str">
        <x:v>今回の配置なし</x:v>
      </x:c>
      <x:c r="E12" s="14" t="str">
        <x:v>今回の配置なし</x:v>
      </x:c>
      <x:c r="F12" s="14" t="str">
        <x:v>今回の配置なし</x:v>
      </x:c>
    </x:row>
    <x:row r="13" ht="162" customHeight="1">
      <x:c r="A13" s="13" t="str">
        <x:v>M07 AI実装のデータ／モデル基盤</x:v>
      </x:c>
      <x:c r="B13" s="15" t="str">
        <x:v>Beckhoff FC014
データ→学習・評価／ONNX
【作業用途は別設定】
たけびし FC024
OPC UA情報モデル×MCP
【Adapterは提供計画】
NdotLight AC273
CAD・物理属性→SimReady
【実機の作業実行と別層】</x:v>
      </x:c>
      <x:c r="C13" s="14" t="str">
        <x:v>今回の配置なし</x:v>
      </x:c>
      <x:c r="D13" s="14" t="str">
        <x:v>今回の配置なし</x:v>
      </x:c>
      <x:c r="E13" s="14" t="str">
        <x:v>今回の配置なし</x:v>
      </x:c>
      <x:c r="F13" s="14" t="str">
        <x:v>今回の配置なし</x:v>
      </x:c>
    </x:row>
    <x:row r="14" ht="216" customHeight="1">
      <x:c r="A14" s="13" t="str">
        <x:v>M08 ルール・寸法・機構による自動化</x:v>
      </x:c>
      <x:c r="B14" s="14" t="str">
        <x:v>今回の配置なし</x:v>
      </x:c>
      <x:c r="C14" s="14" t="str">
        <x:v>今回の配置なし</x:v>
      </x:c>
      <x:c r="D14" s="14" t="str">
        <x:v>今回の配置なし</x:v>
      </x:c>
      <x:c r="E14" s="15" t="str">
        <x:v>WinTool AC295
在庫ルール→購買要求／ERP
【管理者承認後に転送】
FNS AC039
TM-2800：機器の統合指示
【AI再計画は未確認】
SOFIX／Fleeter FC030
上位命令→AMR・アーム・PLC
【予測AIの直結未確認】</x:v>
      </x:c>
      <x:c r="F14" s="16" t="str">
        <x:v>松本機械工業 AC214
寸法入力→段取り交換
【学習AIは未確認】
白山機工 AC186
AMRで切り屑回収
【実演・模型／配車AI不明】
イマオ FC042
ナットランナーでクランプ
【機構・AIは未確認】
イマオ FC043
ばね・ピンで指交換
【機構・AIは未確認】</x:v>
      </x:c>
    </x:row>
    <x:row r="15" ht="60" customHeight="1">
      <x:c r="A15" s="13" t="str">
        <x:v>M09 人の遠隔対応を支援</x:v>
      </x:c>
      <x:c r="B15" s="14" t="str">
        <x:v>今回の配置なし</x:v>
      </x:c>
      <x:c r="C15" s="14" t="str">
        <x:v>今回の配置なし</x:v>
      </x:c>
      <x:c r="D15" s="14" t="str">
        <x:v>今回の配置なし</x:v>
      </x:c>
      <x:c r="E15" s="14" t="str">
        <x:v>今回の配置なし</x:v>
      </x:c>
      <x:c r="F15" s="16" t="str">
        <x:v>パナソニック FC031
障害物停止→人が遠隔回避
【動作主体は人】</x:v>
      </x:c>
    </x:row>
    <x:row r="16" ht="60" customHeight="1">
      <x:c r="A16" s="13" t="str">
        <x:v>M10 判断方式未公開の助言・監視</x:v>
      </x:c>
      <x:c r="B16" s="14" t="str">
        <x:v>今回の配置なし</x:v>
      </x:c>
      <x:c r="C16" s="15" t="str">
        <x:v>ユシロ AC234
ALFRED：濃度・pH監視
【AI・自動補給は未確認】</x:v>
      </x:c>
      <x:c r="D16" s="15" t="str">
        <x:v>ToolDiscovery AC136
工具・材種・方法→条件目安
【AI算定内訳未公開】</x:v>
      </x:c>
      <x:c r="E16" s="14" t="str">
        <x:v>今回の配置なし</x:v>
      </x:c>
      <x:c r="F16" s="14" t="str">
        <x:v>今回の配置なし</x:v>
      </x:c>
    </x:row>
    <x:row r="20" ht="30" customHeight="1">
      <x:c r="A20" s="17" t="str">
        <x:v>方式ごとの違い：AIの担当と人の仕事</x:v>
      </x:c>
    </x:row>
    <x:row r="22" ht="40" customHeight="1">
      <x:c r="A22" s="19" t="str">
        <x:v>方式</x:v>
      </x:c>
      <x:c r="B22" s="19" t="str">
        <x:v>入力→判断・出力</x:v>
      </x:c>
      <x:c r="C22" s="19" t="str">
        <x:v>人が担う部分</x:v>
      </x:c>
      <x:c r="D22" s="19" t="str">
        <x:v>方式間の違い・制約</x:v>
      </x:c>
      <x:c r="E22" s="19" t="str">
        <x:v>年度変化</x:v>
      </x:c>
      <x:c r="F22" s="19" t="str">
        <x:v>カードID</x:v>
      </x:c>
      <x:c r="G22" s="19" t="str">
        <x:v>根拠ID</x:v>
      </x:c>
      <x:c r="H22" s="19" t="str">
        <x:v>主張の種類</x:v>
      </x:c>
    </x:row>
    <x:row r="23" ht="130" customHeight="1">
      <x:c r="A23" s="7" t="str">
        <x:v>M01 対話・コード／業務生成</x:v>
      </x:c>
      <x:c r="B23" s="7" t="str">
        <x:v>自然言語・設計文脈・業務履歴 → 回答、コード、見積案。Operationsはコマンド実行も説明。</x:v>
      </x:c>
      <x:c r="C23" s="7" t="str">
        <x:v>人が要求・スケッチ等を用意。Engineeringは専門家が結果を確認・承認する方針を明示。Operationsの命令単位の承認は別途確認。</x:v>
      </x:c>
      <x:c r="D23" s="7" t="str">
        <x:v>生成案の採否と実機への適用は別の仕事。EPLANの自動操作は将来構想、CoAgentは製品発表・投入時期要問合せ。</x:v>
      </x:c>
      <x:c r="E23" s="7" t="str">
        <x:v>PLC支援は2023、I/O・HMI支援と人の承認方針は2025/6に説明済み。2026のOperationsは製品発表・投入時期要問合せ。</x:v>
      </x:c>
      <x:c r="F23" s="7" t="str">
        <x:v>FC011 / FC012 / FC013 / FC017 / FC062</x:v>
      </x:c>
      <x:c r="G23" s="7" t="str">
        <x:v>EDP-03 / EAT-N03 / EAT-N04 / EAT-N05 / EAT-N06 / EDP-05 / ERF-01 / ERF-02</x:v>
      </x:c>
      <x:c r="H23" s="7" t="str">
        <x:v>調査者の横断整理。機能記述は紐付けた原典要旨。</x:v>
      </x:c>
    </x:row>
    <x:row r="24" ht="130" customHeight="1">
      <x:c r="A24" s="7" t="str">
        <x:v>M02 履歴を使う工程／寿命予測</x:v>
      </x:c>
      <x:c r="B24" s="7" t="str">
        <x:v>ProPlanAIは過去ジョブから工程予測。アナライザーは摩耗履歴・経験知から寿命と交換時期を提案。</x:v>
      </x:c>
      <x:c r="C24" s="7" t="str">
        <x:v>履歴と対象条件の整合を確認。最終NC採否・工具交換の承認者は公開資料で未確定。</x:v>
      </x:c>
      <x:c r="D24" s="7" t="str">
        <x:v>工程予測と寿命予測は対象・学習データが異なる。いずれも提案から実機実行までの一体自動化は確認できない。</x:v>
      </x:c>
      <x:c r="E24" s="7" t="str">
        <x:v>Hexagonは2025.2→2026.1で旋削等の商用範囲を拡張。寿命推定研究は2023に存在し、2026は製品・用途を具体化。</x:v>
      </x:c>
      <x:c r="F24" s="7" t="str">
        <x:v>FC018 / FC040</x:v>
      </x:c>
      <x:c r="G24" s="7" t="str">
        <x:v>EOV-W02 / EOV-W08 / EOV-V024-2024-1 / EOV-V024-2026-1</x:v>
      </x:c>
      <x:c r="H24" s="7" t="str">
        <x:v>調査者の横断整理。機能記述は紐付けた原典要旨。</x:v>
      </x:c>
    </x:row>
    <x:row r="25" ht="130" customHeight="1">
      <x:c r="A25" s="7" t="str">
        <x:v>M03 物理・加工ルール型CAM生成</x:v>
      </x:c>
      <x:c r="B25" s="7" t="str">
        <x:v>形状・工具／ホルダ・材種・保持・機械・方向等 → 加工性評価、編集可能な工程・経路案。</x:v>
      </x:c>
      <x:c r="C25" s="7" t="str">
        <x:v>人が制約を入力し、案を編集・並べ替え・検証してポスト処理。加工開始は別工程。</x:v>
      </x:c>
      <x:c r="D25" s="7" t="str">
        <x:v>履歴学習型と入力依存性が違う。CloudNCは顧客のMastercamデータで学習しないと明記。3軸・3+2軸ミル中心、通信が必要。</x:v>
      </x:c>
      <x:c r="E25" s="7" t="str">
        <x:v>Mastercam対応は2024/7/25に提供発表済み。SolidCAMは2025 SP4対応を説明。2026の初発明とはしない。</x:v>
      </x:c>
      <x:c r="F25" s="7" t="str">
        <x:v>AC131 / FC020</x:v>
      </x:c>
      <x:c r="G25" s="7" t="str">
        <x:v>EDP-07 / EDP-08 / EDP-09 / EDP-10</x:v>
      </x:c>
      <x:c r="H25" s="7" t="str">
        <x:v>調査者の横断整理。機能記述は紐付けた原典要旨。</x:v>
      </x:c>
    </x:row>
    <x:row r="26" ht="130" customHeight="1">
      <x:c r="A26" s="7" t="str">
        <x:v>M04 画像・時系列の認識／診断</x:v>
      </x:c>
      <x:c r="B26" s="7" t="str">
        <x:v>良品との差、工具画像、設備電流・振動、図面OCR、時系列予測など。入力と教師・基準が製品ごとに異なる。</x:v>
      </x:c>
      <x:c r="C26" s="7" t="str">
        <x:v>HACARUSは人が良否を追加ラベル、Fact BaseはOCR結果を人が確認・補正。停止・出荷・交換判断は多くが未記載。</x:v>
      </x:c>
      <x:c r="D26" s="7" t="str">
        <x:v>検知・表示・予測と、機械停止・排出・修理は区別。Kowaは別体プロセッサが必要。SOFIXの予測と搬送実行の直結は未確認。</x:v>
      </x:c>
      <x:c r="E26" s="7" t="str">
        <x:v>Moriの摩耗判定・Muratec診断は2024から継続。ZEROは2025/7に追加学習を搭載し販売開始。2026初登場と一括しない。</x:v>
      </x:c>
      <x:c r="F26" s="7" t="str">
        <x:v>FC036 / FC039 / AC225 / FC063 / AC195 / FC030</x:v>
      </x:c>
      <x:c r="G26" s="7" t="str">
        <x:v>EDP-14 / EDP-15 / EDP-12 / EDP-13 / EDP-33 / EDP-11 / EDP-21 / EDP-22 / EOV-V024-2024-1 / EEX-EXH-2024-b0a94c1cd407ea8a</x:v>
      </x:c>
      <x:c r="H26" s="7" t="str">
        <x:v>調査者の横断整理。機能記述は紐付けた原典要旨。</x:v>
      </x:c>
    </x:row>
    <x:row r="27" ht="130" customHeight="1">
      <x:c r="A27" s="7" t="str">
        <x:v>M05 認識から動作・加工補正</x:v>
      </x:c>
      <x:c r="B27" s="7" t="str">
        <x:v>切粉状況→除去、小部品画像→ピック、刃先測定→ホーニング補正、3D形状→加工軌道。別資料には車輪型ロボットの物流試験。</x:v>
      </x:c>
      <x:c r="C27" s="7" t="str">
        <x:v>GH5は人が目標幅・角度を設定。動作許可・失敗検知・再試行・停止復帰の権限は他の例を含め未公開部分が多い。</x:v>
      </x:c>
      <x:c r="D27" s="7" t="str">
        <x:v>AIの担当が明確な例と、AI明示のみ・学習方式未確認の例を併置。TAKISAWAは参考出品、HMNDはドイツの別実証でJIMTOF同一機体未確認。</x:v>
      </x:c>
      <x:c r="E27" s="7" t="str">
        <x:v>TR-20Wは2024搬入出→2026切粉除去を追加記載。カネテックの2D＋磁気ピックは既存でAI記載追加。GH5の資料は2025/10、2026初登場とは断定しない。</x:v>
      </x:c>
      <x:c r="F27" s="7" t="str">
        <x:v>FC049 / AC051 / AC085 / AC146 / AC098</x:v>
      </x:c>
      <x:c r="G27" s="7" t="str">
        <x:v>EAT-N01 / EAT-N02 / EDP-01 / EDP-02 / EEX-WTED / EDP-17 / EEX-EXH-2026-30b70a74241de123</x:v>
      </x:c>
      <x:c r="H27" s="7" t="str">
        <x:v>調査者の横断整理。機能記述は紐付けた原典要旨。</x:v>
      </x:c>
    </x:row>
    <x:row r="28" ht="130" customHeight="1">
      <x:c r="A28" s="7" t="str">
        <x:v>M06 幾何・機械モデルでの検証</x:v>
      </x:c>
      <x:c r="B28" s="7" t="str">
        <x:v>実行NC・工具・治具・制御ロジックを用いるVericut、仮想SINUMERIK ONEによるToknの仮想加工・訓練。</x:v>
      </x:c>
      <x:c r="C28" s="7" t="str">
        <x:v>人がモデル・実機・工具・NCの版を合わせ、結果を受けて修正・採否を決める。</x:v>
      </x:c>
      <x:c r="D28" s="7" t="str">
        <x:v>AI生成案と独立した比較対象。シミュレーションがあるだけで実機の正しさやAI搭載を保証しない。</x:v>
      </x:c>
      <x:c r="E28" s="7" t="str">
        <x:v>Toknの事例はCompletion 2024。Vericutの既存検証と2026固有の機能追加を分ける。</x:v>
      </x:c>
      <x:c r="F28" s="7" t="str">
        <x:v>FC021 / AC098</x:v>
      </x:c>
      <x:c r="G28" s="7" t="str">
        <x:v>EDP-16 / EDP-20</x:v>
      </x:c>
      <x:c r="H28" s="7" t="str">
        <x:v>調査者の横断整理。機能記述は紐付けた原典要旨。</x:v>
      </x:c>
    </x:row>
    <x:row r="29" ht="130" customHeight="1">
      <x:c r="A29" s="7" t="str">
        <x:v>M07 AI実装のデータ／モデル基盤</x:v>
      </x:c>
      <x:c r="B29" s="7" t="str">
        <x:v>ML Creatorの学習・評価／ONNX、OPC UA情報モデルとMCP連携計画、TRINIXのCAD・物理属性／SimReady生成。</x:v>
      </x:c>
      <x:c r="C29" s="7" t="str">
        <x:v>データ・目的・情報モデル・物理条件を用意し、出力の正しさと公開権限を確認。</x:v>
      </x:c>
      <x:c r="D29" s="7" t="str">
        <x:v>モデル・データ生成は作業実行とは別層。MCPは提供計画、SimReadyは実機精度未確認。3方式の相互接続は未確認。</x:v>
      </x:c>
      <x:c r="E29" s="7" t="str">
        <x:v>ML CreatorのONNX等は2024資料に存在。OPC UAは既存でAI接続計画を追加。TRINIXの2024同名原典はなく差分不能。</x:v>
      </x:c>
      <x:c r="F29" s="7" t="str">
        <x:v>FC014 / FC024 / AC273</x:v>
      </x:c>
      <x:c r="G29" s="7" t="str">
        <x:v>EDP-04 / EOV-W01 / EDP-06 / EEX-WNDOT</x:v>
      </x:c>
      <x:c r="H29" s="7" t="str">
        <x:v>調査者の横断整理。機能記述は紐付けた原典要旨。</x:v>
      </x:c>
    </x:row>
    <x:row r="30" ht="130" customHeight="1">
      <x:c r="A30" s="7" t="str">
        <x:v>M08 ルール・寸法・機構による自動化</x:v>
      </x:c>
      <x:c r="B30" s="7" t="str">
        <x:v>在庫ルール、上位指令、寸法パラメータ、AMR搬送、ナットランナー・ばね等の機構。各方式の学習AIは未確認。</x:v>
      </x:c>
      <x:c r="C30" s="7" t="str">
        <x:v>WinToolは購買要求を管理者承認後ERPへ送信。FNSは人が投入・スケジューリング。MMKは人が寸法入力、イマオは治具・指を設計。</x:v>
      </x:c>
      <x:c r="D30" s="7" t="str">
        <x:v>多くを自動実行してもAI自律判断の証拠にはならない。AMRの配車最適化、統合制御の再計画は未確認。</x:v>
      </x:c>
      <x:c r="E30" s="7" t="str">
        <x:v>MMKのCAPTO交換・イマオ同系列治具は2024にも存在。2026は後付け・構成・供給方法や搬送対象の具体化を比較。Fleeterミニ工場は2025にも告知。</x:v>
      </x:c>
      <x:c r="F30" s="7" t="str">
        <x:v>AC295 / AC039 / AC214 / AC186 / FC042 / FC043 / FC030</x:v>
      </x:c>
      <x:c r="G30" s="7" t="str">
        <x:v>EDP-18 / EDP-19 / EDP-25 / EDP-26 / EDP-27 / EDP-28 / EDP-29 / EDP-30 / EDP-31 / EDP-32 / EDP-22 / EDP-23</x:v>
      </x:c>
      <x:c r="H30" s="7" t="str">
        <x:v>調査者の横断整理。機能記述は紐付けた原典要旨。</x:v>
      </x:c>
    </x:row>
    <x:row r="31" ht="130" customHeight="1">
      <x:c r="A31" s="7" t="str">
        <x:v>M09 人の遠隔対応を支援</x:v>
      </x:c>
      <x:c r="B31" s="7" t="str">
        <x:v>通常自動運転で障害物停止 → 人がX-Area Remoteに切替え、映像を見て回避。</x:v>
      </x:c>
      <x:c r="C31" s="7" t="str">
        <x:v>運行担当者が遠隔介入。2026/7の屋外実証はセーフティドライバー搭乗。</x:v>
      </x:c>
      <x:c r="D31" s="7" t="str">
        <x:v>AI支援型という呼称と、AI自身が障害を回避・復帰することは分ける。通信断・再開許可は未確認。</x:v>
      </x:c>
      <x:c r="E31" s="7" t="str">
        <x:v>2024同名展示比較は不能。2026/7実証で屋外物流の人による例外対応を具体確認。</x:v>
      </x:c>
      <x:c r="F31" s="7" t="str">
        <x:v>FC031</x:v>
      </x:c>
      <x:c r="G31" s="7" t="str">
        <x:v>EDP-24</x:v>
      </x:c>
      <x:c r="H31" s="7" t="str">
        <x:v>調査者の横断整理。機能記述は紐付けた原典要旨。</x:v>
      </x:c>
    </x:row>
    <x:row r="32" ht="130" customHeight="1">
      <x:c r="A32" s="7" t="str">
        <x:v>M10 判断方式未公開の助言・監視</x:v>
      </x:c>
      <x:c r="B32" s="7" t="str">
        <x:v>ToolDiscoveryは選択3項目から条件の目安、ALFREDは濃度・pHのリアルタイム監視。</x:v>
      </x:c>
      <x:c r="C32" s="7" t="str">
        <x:v>条件を採用する判断、警報後の補給・液交換や校正は公開資料では未特定。</x:v>
      </x:c>
      <x:c r="D32" s="7" t="str">
        <x:v>条件助言はAI明示・算定内訳不明。ALFREDのAI判断・自動補給は未確認。2社とも補足技術資料未確認。</x:v>
      </x:c>
      <x:c r="E32" s="7" t="str">
        <x:v>ToolDiscoveryは2024比較不能。ユシロは公式社名変更で2024の遠隔監視・濃度補給を照合。ALFRED固有差は未確定。</x:v>
      </x:c>
      <x:c r="F32" s="7" t="str">
        <x:v>AC136 / AC234</x:v>
      </x:c>
      <x:c r="G32" s="7" t="str">
        <x:v>EEX-EXH-2026-d383a51fea03ae6e / EEX-EXH-2026-1fb607fd5307c2fa / ERF-10 / ERF-11 / ERF-12</x:v>
      </x:c>
      <x:c r="H32" s="7" t="str">
        <x:v>調査者の横断整理。機能記述は紐付けた原典要旨。</x:v>
      </x:c>
    </x:row>
    <x:row r="35" ht="30" customHeight="1">
      <x:c r="A35" s="17" t="str">
        <x:v>2024以前からの変化：継続・対象拡張・比較不能</x:v>
      </x:c>
    </x:row>
    <x:row r="37" ht="40" customHeight="1">
      <x:c r="A37" s="19" t="str">
        <x:v>パターン</x:v>
      </x:c>
      <x:c r="B37" s="19" t="str">
        <x:v>2024以前</x:v>
      </x:c>
      <x:c r="C37" s="19" t="str">
        <x:v>2025–2026</x:v>
      </x:c>
      <x:c r="D37" s="19" t="str">
        <x:v>解釈・未確定</x:v>
      </x:c>
      <x:c r="E37" s="19" t="str">
        <x:v>カードID</x:v>
      </x:c>
      <x:c r="F37" s="19" t="str">
        <x:v>根拠ID</x:v>
      </x:c>
      <x:c r="G37" s="19" t="str">
        <x:v>確認日・整理日</x:v>
      </x:c>
      <x:c r="H37" s="19" t="str">
        <x:v>主張の種類</x:v>
      </x:c>
    </x:row>
    <x:row r="38" ht="110" customHeight="1">
      <x:c r="A38" s="7" t="str">
        <x:v>Y01 開発支援の対象を具体化</x:v>
      </x:c>
      <x:c r="B38" s="7" t="str">
        <x:v>2023のTwinCAT ChatはPLCコード作成等。ML Creatorは2024資料で学習・評価・ONNX。</x:v>
      </x:c>
      <x:c r="C38" s="7" t="str">
        <x:v>CoAgentのI/O・HMI支援と専門家の確認・承認は2025/6に説明済み。2026はOperationsの診断・命令実行を説明。</x:v>
      </x:c>
      <x:c r="D38" s="7" t="str">
        <x:v>I/O・HMIを2026の初搭載としない。Operationsは製品発表・投入時期要問合せ。個別の操作権限・復帰は未確認。</x:v>
      </x:c>
      <x:c r="E38" s="7" t="str">
        <x:v>FC011 / FC012 / FC013 / FC014</x:v>
      </x:c>
      <x:c r="F38" s="7" t="str">
        <x:v>EDP-03 / EDP-04 / EAT-N03 / EAT-N04 / EAT-N05 / ERF-01 / ERF-02</x:v>
      </x:c>
      <x:c r="G38" s="7" t="str">
        <x:v>基礎10/16・追補／整理10/18</x:v>
      </x:c>
      <x:c r="H38" s="7" t="str">
        <x:v>複数事例の変化パターン〈分析〉。一様な進化や初発明年は示さない。</x:v>
      </x:c>
    </x:row>
    <x:row r="39" ht="110" customHeight="1">
      <x:c r="A39" s="7" t="str">
        <x:v>Y02 CAMは学習源と加工範囲で分岐</x:v>
      </x:c>
      <x:c r="B39" s="7" t="str">
        <x:v>CAM Assist／Mastercamは2024/7/25に提供発表。SolidCAMの2024展示はiMachining等。</x:v>
      </x:c>
      <x:c r="C39" s="7" t="str">
        <x:v>SolidCAM 2025 SP4対応。ProPlanAIは2025.2導入説明→2026.1で旋削・複合・スイス型を商用拡張。</x:v>
      </x:c>
      <x:c r="D39" s="7" t="str">
        <x:v>ProPlanAIの2024同名資料なし。国内供給・会場版は要確認。履歴予測と物理・加工ルール型を分ける。</x:v>
      </x:c>
      <x:c r="E39" s="7" t="str">
        <x:v>FC018 / FC020 / AC131</x:v>
      </x:c>
      <x:c r="F39" s="7" t="str">
        <x:v>EDP-10 / EDP-09 / EDP-07 / EDP-08 / EOV-W02</x:v>
      </x:c>
      <x:c r="G39" s="7" t="str">
        <x:v>基礎10/16・追補／整理10/18</x:v>
      </x:c>
      <x:c r="H39" s="7" t="str">
        <x:v>複数事例の変化パターン〈分析〉。一様な進化や初発明年は示さない。</x:v>
      </x:c>
    </x:row>
    <x:row r="40" ht="110" customHeight="1">
      <x:c r="A40" s="7" t="str">
        <x:v>Y03 既存の判定に人の調整・予測を追加</x:v>
      </x:c>
      <x:c r="B40" s="7" t="str">
        <x:v>Moriの摩耗判定・Muratecの診断は2024に存在。寿命推定研究は2023発表。</x:v>
      </x:c>
      <x:c r="C40" s="7" t="str">
        <x:v>ZEROは2025/7/9販売開始、良否ラベルの追加学習。2026はMoriアナライザーの寿命・交換提案を具体掲載。</x:v>
      </x:c>
      <x:c r="D40" s="7" t="str">
        <x:v>診断→自動修理／交換とは確認できない。追加学習の更新採否・実運用性能は別途確認。</x:v>
      </x:c>
      <x:c r="E40" s="7" t="str">
        <x:v>FC036 / FC039 / FC040 / AC225</x:v>
      </x:c>
      <x:c r="F40" s="7" t="str">
        <x:v>EDP-14 / EDP-15 / EDP-12 / EOV-W08 / EDP-13</x:v>
      </x:c>
      <x:c r="G40" s="7" t="str">
        <x:v>基礎10/16・追補／整理10/18</x:v>
      </x:c>
      <x:c r="H40" s="7" t="str">
        <x:v>複数事例の変化パターン〈分析〉。一様な進化や初発明年は示さない。</x:v>
      </x:c>
    </x:row>
    <x:row r="41" ht="110" customHeight="1">
      <x:c r="A41" s="7" t="str">
        <x:v>Y04 物理作業と導入構成を拡張</x:v>
      </x:c>
      <x:c r="B41" s="7" t="str">
        <x:v>TR-20Wは搬入出。磁気＋2Dピック、MMKのCAPTO交換、イマオ同系列治具は2024に存在。</x:v>
      </x:c>
      <x:c r="C41" s="7" t="str">
        <x:v>TR-20Wは切粉除去を参考出品。MMKはAdv後付け・単体販売、FNSは工程間統合、白山はAMR回収を説明。</x:v>
      </x:c>
      <x:c r="D41" s="7" t="str">
        <x:v>既存機構をAI新技術としない。カネテックのAI担当、再計画・失敗復帰、実演範囲は未確認。</x:v>
      </x:c>
      <x:c r="E41" s="7" t="str">
        <x:v>FC049 / AC051 / AC214 / FC042 / AC039 / AC186</x:v>
      </x:c>
      <x:c r="F41" s="7" t="str">
        <x:v>EAT-N01 / EAT-N02 / EDP-01 / EDP-27 / EDP-28 / EDP-32 / EDP-25 / EDP-29</x:v>
      </x:c>
      <x:c r="G41" s="7" t="str">
        <x:v>基礎10/16・追補／整理10/18</x:v>
      </x:c>
      <x:c r="H41" s="7" t="str">
        <x:v>複数事例の変化パターン〈分析〉。一様な進化や初発明年は示さない。</x:v>
      </x:c>
    </x:row>
    <x:row r="42" ht="110" customHeight="1">
      <x:c r="A42" s="7" t="str">
        <x:v>Y05 接続・監視基盤の具体化</x:v>
      </x:c>
      <x:c r="B42" s="7" t="str">
        <x:v>たけびしは2024にOPC UA接続。ユシロは旧社名で遠隔監視・濃度補給を掲載。</x:v>
      </x:c>
      <x:c r="C42" s="7" t="str">
        <x:v>2026はMCP Adapter提供計画、TRINIXのSimReady生成、ALFREDのコントローラー・監視画面を説明。</x:v>
      </x:c>
      <x:c r="D42" s="7" t="str">
        <x:v>ユシロを社名変更で照合。監視方式そのものは既存。ALFRED固有差・AI・自動補給は未確認。MCP計画と実装も分ける。</x:v>
      </x:c>
      <x:c r="E42" s="7" t="str">
        <x:v>FC024 / AC273 / AC234</x:v>
      </x:c>
      <x:c r="F42" s="7" t="str">
        <x:v>EDP-06 / EEX-WNDOT / ERF-10 / ERF-11</x:v>
      </x:c>
      <x:c r="G42" s="7" t="str">
        <x:v>基礎10/16・追補／整理10/18</x:v>
      </x:c>
      <x:c r="H42" s="7" t="str">
        <x:v>複数事例の変化パターン〈分析〉。一様な進化や初発明年は示さない。</x:v>
      </x:c>
    </x:row>
    <x:row r="43" ht="110" customHeight="1">
      <x:c r="A43" s="7" t="str">
        <x:v>Y06 別の実証と比較不能を残す</x:v>
      </x:c>
      <x:c r="B43" s="7" t="str">
        <x:v>Toknの仮想CNC訓練はCompletion 2024。Panasonic等は2024同名資料不足。</x:v>
      </x:c>
      <x:c r="C43" s="7" t="str">
        <x:v>SiemensのHMND物流試験は2026/4ドイツの別実証。Panasonicは2026/7に人の遠隔回避を具体確認。</x:v>
      </x:c>
      <x:c r="D43" s="7" t="str">
        <x:v>ToknからHMNDへの進化・接続は未確認。海外事例とJIMTOF展示機を同一視しない。人の介入を自律復帰としない。</x:v>
      </x:c>
      <x:c r="E43" s="7" t="str">
        <x:v>AC098 / FC031 / FC063 / AC136 / AC195 / AC146 / FC062</x:v>
      </x:c>
      <x:c r="F43" s="7" t="str">
        <x:v>EDP-16 / EDP-17 / EDP-24 / EDP-33 / EDP-05 / EEX-WTED</x:v>
      </x:c>
      <x:c r="G43" s="7" t="str">
        <x:v>基礎10/16・追補／整理10/18</x:v>
      </x:c>
      <x:c r="H43" s="7" t="str">
        <x:v>複数事例の変化パターン〈分析〉。一様な進化や初発明年は示さない。</x:v>
      </x:c>
    </x:row>
  </x:sheetData>
  <x:pageMargins left="0.7" right="0.7" top="0.75" bottom="0.75" header="0.3" footer="0.3"/>
  <x:tableParts count="3">
    <x:tablePart xmlns:r="http://schemas.openxmlformats.org/officeDocument/2006/relationships" r:id="R488e1cd3c9274d5b"/>
    <x:tablePart xmlns:r="http://schemas.openxmlformats.org/officeDocument/2006/relationships" r:id="Re691e0aa705341ea"/>
    <x:tablePart xmlns:r="http://schemas.openxmlformats.org/officeDocument/2006/relationships" r:id="R1a05d765b7ae4a00"/>
  </x:tableParts>
</x:worksheet>
</file>

<file path=xl/worksheets/sheet6.xml><?xml version="1.0" encoding="utf-8"?>
<x:worksheet xmlns:x="http://schemas.openxmlformats.org/spreadsheetml/2006/main">
  <x:sheetPr>
    <x:tabColor rgb="FF117A83"/>
  </x:sheetPr>
  <x:sheetViews>
    <x:sheetView showGridLines="0" workbookViewId="0">
      <x:pane xSplit="1" ySplit="6" topLeftCell="B7" activePane="bottomRight" state="frozen"/>
    </x:sheetView>
  </x:sheetViews>
  <x:sheetFormatPr defaultRowHeight="15"/>
  <x:cols>
    <x:col min="1" max="1" width="38" hidden="0" customWidth="1"/>
    <x:col min="2" max="2" width="56" hidden="0" customWidth="1"/>
    <x:col min="3" max="3" width="56" hidden="0" customWidth="1"/>
    <x:col min="4" max="4" width="56" hidden="0" customWidth="1"/>
    <x:col min="5" max="5" width="30" hidden="0" customWidth="1"/>
    <x:col min="6" max="6" width="38" hidden="0" customWidth="1"/>
    <x:col min="7" max="7" width="42" hidden="0" customWidth="1"/>
    <x:col min="8" max="8" width="38" hidden="0" customWidth="1"/>
    <x:col min="9" max="9" width="38" hidden="0" customWidth="1"/>
    <x:col min="10" max="10" width="38" hidden="0" customWidth="1"/>
  </x:cols>
  <x:sheetData>
    <x:row r="2" ht="30" customHeight="1">
      <x:c r="A2" s="3" t="str">
        <x:v>共通課題から研究開発候補へ</x:v>
      </x:c>
      <x:c r="B2" s="1"/>
      <x:c r="C2" s="1"/>
      <x:c r="D2" s="1"/>
      <x:c r="E2" s="1"/>
      <x:c r="F2" s="1"/>
      <x:c r="G2" s="1"/>
    </x:row>
    <x:row r="3" ht="22" customHeight="1">
      <x:c r="A3" s="5" t="str">
        <x:v>共通論点5件→研究候補5件。事実・分析・未検証仮説を区別。既存製品の不足や優位性を証明したものではありません。</x:v>
      </x:c>
      <x:c r="B3" s="5"/>
      <x:c r="C3" s="5"/>
      <x:c r="D3" s="5"/>
      <x:c r="E3" s="5"/>
      <x:c r="F3" s="5"/>
      <x:c r="G3" s="5"/>
    </x:row>
    <x:row r="4" ht="22" customHeight="1">
      <x:c r="A4" s="5" t="str">
        <x:v>以下は28社深掘り時点の個別課題。開発の大テーマは先頭「技術動向・年度比較」、企業事例は「報告用比較・提言」を参照。</x:v>
      </x:c>
      <x:c r="B4" s="5"/>
      <x:c r="C4" s="5"/>
      <x:c r="D4" s="5"/>
      <x:c r="E4" s="5"/>
      <x:c r="F4" s="5"/>
      <x:c r="G4" s="5"/>
    </x:row>
    <x:row r="5">
      <x:c r="A5" s="1"/>
      <x:c r="B5" s="1"/>
      <x:c r="C5" s="1"/>
      <x:c r="D5" s="1"/>
      <x:c r="E5" s="1"/>
      <x:c r="F5" s="1"/>
      <x:c r="G5" s="1"/>
    </x:row>
    <x:row r="6" ht="34" customHeight="1">
      <x:c r="A6" s="11" t="str">
        <x:v>共通論点</x:v>
      </x:c>
      <x:c r="B6" s="11" t="str">
        <x:v>確認した事実</x:v>
      </x:c>
      <x:c r="C6" s="11" t="str">
        <x:v>横断して考える点〈分析〉</x:v>
      </x:c>
      <x:c r="D6" s="11" t="str">
        <x:v>限界・既存機能</x:v>
      </x:c>
      <x:c r="E6" s="11" t="str">
        <x:v>カードID</x:v>
      </x:c>
      <x:c r="F6" s="11" t="str">
        <x:v>根拠ID</x:v>
      </x:c>
      <x:c r="G6" s="11" t="str">
        <x:v>研究候補</x:v>
      </x:c>
    </x:row>
    <x:row r="7" ht="100" customHeight="1">
      <x:c r="A7" s="7" t="str">
        <x:v>I01 提案を採用可能な結果へ変える検証</x:v>
      </x:c>
      <x:c r="B7" s="7" t="str">
        <x:v>CAMは生成後に人が編集・検証。PLCは専門家が制御権を保持。匠フォースは人が確認・修正・承認。</x:v>
      </x:c>
      <x:c r="C7" s="7" t="str">
        <x:v>工具・保持・機械・版・業務前提が変わる時の整合確認が共通する作業〈分析〉。自動承認が必要と決めつけない。</x:v>
      </x:c>
      <x:c r="D7" s="7" t="str">
        <x:v>CAMの既存加工性評価やNCシミュレーションはすでに存在。各社の未検出制約と修正負担は未測定。</x:v>
      </x:c>
      <x:c r="E7" s="7" t="str">
        <x:v>FC018 / FC020 / AC131 / FC021 / FC011 / FC062</x:v>
      </x:c>
      <x:c r="F7" s="7" t="str">
        <x:v>EOV-W02 / EDP-09 / EDP-08 / EDP-20 / EAT-N05 / EDP-05 / ERF-03 / ERF-04</x:v>
      </x:c>
      <x:c r="G7" s="7" t="str">
        <x:v>T01 生成CAMの制約整合検証と修正フィードバック</x:v>
      </x:c>
    </x:row>
    <x:row r="8" ht="100" customHeight="1">
      <x:c r="A8" s="7" t="str">
        <x:v>I02 データの意味と操作権限をつなぐ</x:v>
      </x:c>
      <x:c r="B8" s="7" t="str">
        <x:v>OPC UAは値・状態・属性・関係を構造化。CoAgentはコマンド実行を説明。WinToolは管理者承認後にERP送信。Panasonicは停止後に人が遠隔回避。</x:v>
      </x:c>
      <x:c r="C8" s="7" t="str">
        <x:v>読取り・提案・書込み・実機動作を分ける権限と、状態／版の整合が連携時の論点〈分析〉。</x:v>
      </x:c>
      <x:c r="D8" s="7" t="str">
        <x:v>人の承認を備える製品はある。許可コマンド・二重実行・停止復帰の公開情報不足は、製品に機能がない証拠ではない。</x:v>
      </x:c>
      <x:c r="E8" s="7" t="str">
        <x:v>FC024 / FC013 / AC295 / FC062 / FC031 / FC011 / FC012</x:v>
      </x:c>
      <x:c r="F8" s="7" t="str">
        <x:v>EDP-06 / EAT-N04 / EAT-N05 / EDP-18 / EDP-05 / EDP-24 / ERF-02 / ERF-01</x:v>
      </x:c>
      <x:c r="G8" s="7" t="str">
        <x:v>T02 設備エージェントの権限付き実行と停止復帰</x:v>
      </x:c>
    </x:row>
    <x:row r="9" ht="100" customHeight="1">
      <x:c r="A9" s="7" t="str">
        <x:v>I03 動作の成否と例外時の引継ぎ</x:v>
      </x:c>
      <x:c r="B9" s="7" t="str">
        <x:v>切粉除去・ピック・面取り・ホーニングで認識から動作へ進む。Panasonicは障害物停止後に人が遠隔回避。</x:v>
      </x:c>
      <x:c r="C9" s="7" t="str">
        <x:v>認識の不確かさ、作業完了、再試行限界、人への引継ぎ、再開条件をタスクごとに定める必要性〈研究仮説〉。</x:v>
      </x:c>
      <x:c r="D9" s="7" t="str">
        <x:v>GH5の目標設定、Panasonicの人の介入は確認済み。その他の失敗処理は公開資料不足で、現場不具合を確認したわけではない。</x:v>
      </x:c>
      <x:c r="E9" s="7" t="str">
        <x:v>FC049 / AC051 / AC085 / AC146 / FC031 / AC098</x:v>
      </x:c>
      <x:c r="F9" s="7" t="str">
        <x:v>EAT-N01 / EDP-01 / EDP-02 / EEX-WTED / EDP-24 / EDP-17 / ERF-13</x:v>
      </x:c>
      <x:c r="G9" s="7" t="str">
        <x:v>T03 切粉除去・部品ピックの失敗検知と限定再試行</x:v>
      </x:c>
    </x:row>
    <x:row r="10" ht="100" customHeight="1">
      <x:c r="A10" s="7" t="str">
        <x:v>I04 条件変化に応じた判定の更新と採否</x:v>
      </x:c>
      <x:c r="B10" s="7" t="str">
        <x:v>HACARUSは見逃し／過検出に人が追加ラベル。Moriは工具画像、Muratecは新品基準と信号、Kowaは耐環境撮像と別体AI。</x:v>
      </x:c>
      <x:c r="C10" s="7" t="str">
        <x:v>対象・照明・工具・材種・機械状態の変化ごとに、誤判定と人の修正工数を分けて評価する論点〈分析〉。</x:v>
      </x:c>
      <x:c r="D10" s="7" t="str">
        <x:v>ZEROの追加学習は既存機能。自動更新・版の差戻し・条件別の性能保証は今回の公開資料では未確認。</x:v>
      </x:c>
      <x:c r="E10" s="7" t="str">
        <x:v>FC036 / FC039 / FC040 / AC225 / FC063</x:v>
      </x:c>
      <x:c r="F10" s="7" t="str">
        <x:v>EDP-14 / EDP-15 / EDP-12 / EOV-W08 / EDP-13 / EDP-33 / ERF-05</x:v>
      </x:c>
      <x:c r="G10" s="7" t="str">
        <x:v>T04 条件変化を検出する検査AIの更新採否判定</x:v>
      </x:c>
    </x:row>
    <x:row r="11" ht="100" customHeight="1">
      <x:c r="A11" s="7" t="str">
        <x:v>I05 生成・仮想モデルと実機条件を照合</x:v>
      </x:c>
      <x:c r="B11" s="7" t="str">
        <x:v>TRINIXは物理属性・関節等を生成。HMND事例はIsaac Sim/Labで学習。Vericutは実行NCと機械モデルで検証。</x:v>
      </x:c>
      <x:c r="C11" s="7" t="str">
        <x:v>見た目の形状だけでなく質量・摩擦・関節・制御設定等の由来と誤差を管理する論点〈分析〉。</x:v>
      </x:c>
      <x:c r="D11" s="7" t="str">
        <x:v>静的なアセット検証は既存。NdotLightはDexBench共同開発も告知。独自研究は既存機能との重複を避け、実物との差・適用条件の未確認部分へ絞る。</x:v>
      </x:c>
      <x:c r="E11" s="7" t="str">
        <x:v>AC273 / AC098 / FC021</x:v>
      </x:c>
      <x:c r="F11" s="7" t="str">
        <x:v>EEX-WNDOT / EDP-17 / EDP-20 / ERF-06 / ERF-07 / ERF-08 / ERF-09</x:v>
      </x:c>
      <x:c r="G11" s="7" t="str">
        <x:v>T05 SimReady物理属性の検証と実機誤差評価</x:v>
      </x:c>
    </x:row>
    <x:row r="15" ht="30" customHeight="1">
      <x:c r="A15" s="17" t="str">
        <x:v>研究開発候補：仮説・比較実験・見送り条件</x:v>
      </x:c>
    </x:row>
    <x:row r="17" ht="40" customHeight="1">
      <x:c r="A17" s="19" t="str">
        <x:v>候補／共通論点</x:v>
      </x:c>
      <x:c r="B17" s="19" t="str">
        <x:v>顧客課題〈仮説〉</x:v>
      </x:c>
      <x:c r="C17" s="19" t="str">
        <x:v>技術的な取り組み案</x:v>
      </x:c>
      <x:c r="D17" s="19" t="str">
        <x:v>比較対象・限定実験</x:v>
      </x:c>
      <x:c r="E17" s="19" t="str">
        <x:v>測る指標</x:v>
      </x:c>
      <x:c r="F17" s="19" t="str">
        <x:v>採用条件・見送り条件</x:v>
      </x:c>
      <x:c r="G17" s="19" t="str">
        <x:v>カードID</x:v>
      </x:c>
      <x:c r="H17" s="19" t="str">
        <x:v>根拠ID</x:v>
      </x:c>
      <x:c r="I17" s="19" t="str">
        <x:v>段階</x:v>
      </x:c>
      <x:c r="J17" s="19" t="str">
        <x:v>主張の種類</x:v>
      </x:c>
    </x:row>
    <x:row r="18" ht="120" customHeight="1">
      <x:c r="A18" s="7" t="str">
        <x:v>T01 生成CAMの制約整合検証と修正フィードバック
I01</x:v>
      </x:c>
      <x:c r="B18" s="7" t="str">
        <x:v>生成時間を短縮しても、段取り条件との照合や修正が残る可能性。</x:v>
      </x:c>
      <x:c r="C18" s="7" t="str">
        <x:v>既存CAM・NC検証を使い、工具／ホルダ・保持・機械・ポストの版変更から、生成案の修正と検証結果までの差分を対応付ける。修正理由の再利用はローカルな作業知識として扱い、顧客データの外部学習を前提にしない。</x:v>
      </x:c>
      <x:c r="D18" s="7" t="str">
        <x:v>3軸・3+2軸の限定部品群。手作業CAM／既存CAM Assist／履歴予測を同条件で比較し、未登録工具や保持条件変更を含める。</x:v>
      </x:c>
      <x:c r="E18" s="7" t="str">
        <x:v>承認可能NCまでの総時間、修正工数、制約違反と見逃し、条件変更時の再作業。</x:v>
      </x:c>
      <x:c r="F18" s="7" t="str">
        <x:v>既存CAM・検証製品だけで同等に解決できるなら連携・運用改善を優先。生成速度だけ改善し総工数が減らなければ採用しない。</x:v>
      </x:c>
      <x:c r="G18" s="7" t="str">
        <x:v>FC018 / FC020 / AC131 / FC021</x:v>
      </x:c>
      <x:c r="H18" s="7" t="str">
        <x:v>EOV-W02 / EDP-09 / EDP-10 / EDP-07 / EDP-08 / EDP-20 / ERF-03 / ERF-04</x:v>
      </x:c>
      <x:c r="I18" s="7" t="str">
        <x:v>研究開発候補・未採否／優先検証：既存CAMとの連携へ限定</x:v>
      </x:c>
      <x:c r="J18" s="7" t="str">
        <x:v>研究仮説。既存製品の不足や優位性を確認したものではない。</x:v>
      </x:c>
    </x:row>
    <x:row r="19" ht="120" customHeight="1">
      <x:c r="A19" s="7" t="str">
        <x:v>T02 設備エージェントの権限付き実行と停止復帰
I02</x:v>
      </x:c>
      <x:c r="B19" s="7" t="str">
        <x:v>診断や提案を設備・業務システムの操作に移す際、許可と状態整合を保つ必要がある。</x:v>
      </x:c>
      <x:c r="C19" s="7" t="str">
        <x:v>製品が備える承認・権限設定を先に確認。その上で、限定命令の実行前状態・実行ID・重複防止・失敗後の再開整合性を評価する。公開APIの範囲を越える実機操作は研究の前提にしない。</x:v>
      </x:c>
      <x:c r="D19" s="7" t="str">
        <x:v>模擬PLCと業務データの限定命令。現行手動操作／承認付きワークフローと比較し、通信断・重複指令・古い状態を注入。</x:v>
      </x:c>
      <x:c r="E19" s="7" t="str">
        <x:v>未許可実行の発生、二重実行、承認負担、失敗の検出率、停止からの復帰時間。</x:v>
      </x:c>
      <x:c r="F19" s="7" t="str">
        <x:v>既存製品の権限・例外制御が要件を満たせば実装の再発明を避ける。必要な実行APIが公開されない場合は読取り・提案支援に範囲を絞る。</x:v>
      </x:c>
      <x:c r="G19" s="7" t="str">
        <x:v>FC024 / FC013 / AC295 / FC062 / FC031 / FC011 / FC012</x:v>
      </x:c>
      <x:c r="H19" s="7" t="str">
        <x:v>EDP-06 / EAT-N04 / EAT-N05 / EDP-18 / EDP-05 / EDP-24 / ERF-01 / ERF-02</x:v>
      </x:c>
      <x:c r="I19" s="7" t="str">
        <x:v>研究開発候補・未採否／条件付き優先：操作APIと権限の確認待ち</x:v>
      </x:c>
      <x:c r="J19" s="7" t="str">
        <x:v>研究仮説。既存製品の不足や優位性を確認したものではない。</x:v>
      </x:c>
    </x:row>
    <x:row r="20" ht="120" customHeight="1">
      <x:c r="A20" s="7" t="str">
        <x:v>T03 切粉除去・部品ピックの失敗検知と限定再試行
I03</x:v>
      </x:c>
      <x:c r="B20" s="7" t="str">
        <x:v>未知の切粉状態・複数個把持等で、作業完了や人への引継ぎを判断する負担が残る可能性。</x:v>
      </x:c>
      <x:c r="C20" s="7" t="str">
        <x:v>画像と動作／接触の情報で成功・不確実・失敗を分け、作業ごとの力・接触制約内で限定再試行。上限で停止し、人が確認して再開する。</x:v>
      </x:c>
      <x:c r="D20" s="7" t="str">
        <x:v>切粉除去と小部品ピックを別実験にする。現行固定手順／形状認識型を比較し、絡まり・空振り・二個取り等を段階的に変える。</x:v>
      </x:c>
      <x:c r="E20" s="7" t="str">
        <x:v>完了判定の見逃し／誤完了、介入回数、復帰時間、連続運転時間。平均成功率だけで判断しない。</x:v>
      </x:c>
      <x:c r="F20" s="7" t="str">
        <x:v>メーカーの既存機能と適用条件を先に確認。失敗判定の改善が接触リスク・復帰負担を増やすなら範囲を縮小する。</x:v>
      </x:c>
      <x:c r="G20" s="7" t="str">
        <x:v>FC049 / AC051 / AC085 / AC146 / FC031</x:v>
      </x:c>
      <x:c r="H20" s="7" t="str">
        <x:v>EAT-N01 / EAT-N02 / EDP-01 / EDP-02 / EEX-WTED / EDP-24 / ERF-13</x:v>
      </x:c>
      <x:c r="I20" s="7" t="str">
        <x:v>研究開発候補・未採否／現地確認優先：作業完了と引継ぎを限定評価</x:v>
      </x:c>
      <x:c r="J20" s="7" t="str">
        <x:v>研究仮説。既存製品の不足や優位性を確認したものではない。</x:v>
      </x:c>
    </x:row>
    <x:row r="21" ht="120" customHeight="1">
      <x:c r="A21" s="7" t="str">
        <x:v>T04 条件変化を検出する検査AIの更新採否判定
I04</x:v>
      </x:c>
      <x:c r="B21" s="7" t="str">
        <x:v>人の追加学習を使いつつ、条件別の見逃し・過検出を悪化させず更新したい。</x:v>
      </x:c>
      <x:c r="C21" s="7" t="str">
        <x:v>既存の良品学習と追加アノテーションを利用し、更新前後を条件別の独立データで比較する。更新承認・版管理の既存実装を確認し、不足する評価手順や採否判断だけを研究範囲とする。</x:v>
      </x:c>
      <x:c r="D21" s="7" t="str">
        <x:v>良品のみの学習／追加学習／ルール判定を比較。工具・照明等を一条件ずつ変え、学習に使わない評価群を確保。</x:v>
      </x:c>
      <x:c r="E21" s="7" t="str">
        <x:v>条件別の見逃し・過検出、追加データ量、ラベル工数、更新作業、不要停止コスト。</x:v>
      </x:c>
      <x:c r="F21" s="7" t="str">
        <x:v>ZERO等の既存機能で満たせるかを確認。単一精度指標の向上だけで、条件別悪化や更新負担を隠す提案は採用しない。</x:v>
      </x:c>
      <x:c r="G21" s="7" t="str">
        <x:v>FC036 / FC039 / FC040 / AC225 / FC063</x:v>
      </x:c>
      <x:c r="H21" s="7" t="str">
        <x:v>EDP-14 / EDP-15 / EDP-12 / EOV-W08 / EDP-13 / EDP-33 / ERF-05</x:v>
      </x:c>
      <x:c r="I21" s="7" t="str">
        <x:v>研究開発候補・未採否／既存製品活用優先：追加学習の研究は縮小</x:v>
      </x:c>
      <x:c r="J21" s="7" t="str">
        <x:v>研究仮説。既存製品の不足や優位性を確認したものではない。</x:v>
      </x:c>
    </x:row>
    <x:row r="22" ht="120" customHeight="1">
      <x:c r="A22" s="7" t="str">
        <x:v>T05 SimReady物理属性の検証と実機誤差評価
I05</x:v>
      </x:c>
      <x:c r="B22" s="7" t="str">
        <x:v>生成データを学習・検証に使う前に、どの物理条件が実機との差を生むか見極めたい。</x:v>
      </x:c>
      <x:c r="C22" s="7" t="str">
        <x:v>既存のアセット検証と実行時確認を通したモデルを基準に、推定／実測の物理属性とその誤差を記録する。製造タスクの限定接触で仮想と実機を比較し、修正すべき属性と作業結果の対応を評価する。</x:v>
      </x:c>
      <x:c r="D22" s="7" t="str">
        <x:v>単純形状の把持・配置に限定し、同じ検証を通した生成属性／実測属性／手作業モデルを比較。既存ベンチの利用範囲と重複を先に確認し、一般ベンチの新設を目的にしない。</x:v>
      </x:c>
      <x:c r="E22" s="7" t="str">
        <x:v>物理属性の誤差、動作結果の仮想／実機差、検証工数、修正した属性と誤差改善の対応。</x:v>
      </x:c>
      <x:c r="F22" s="7" t="str">
        <x:v>既存SimReady検証機能で十分なら追加開発を減らす。外観品質だけ改善し、実機差・検証工数が改善しなければ採用しない。</x:v>
      </x:c>
      <x:c r="G22" s="7" t="str">
        <x:v>AC273 / AC098 / FC021</x:v>
      </x:c>
      <x:c r="H22" s="7" t="str">
        <x:v>EEX-WNDOT / EDP-17 / EDP-20 / ERF-06 / ERF-07 / ERF-08 / ERF-09</x:v>
      </x:c>
      <x:c r="I22" s="7" t="str">
        <x:v>研究開発候補・未採否／条件付き優先：既存検証後の実機差に限定</x:v>
      </x:c>
      <x:c r="J22" s="7" t="str">
        <x:v>研究仮説。既存製品の不足や優位性を確認したものではない。</x:v>
      </x:c>
    </x:row>
    <x:row r="27" ht="30" customHeight="1">
      <x:c r="A27" s="17" t="str">
        <x:v>10/18追補：既存機能との重複と候補の扱い</x:v>
      </x:c>
    </x:row>
    <x:row r="29" ht="40" customHeight="1">
      <x:c r="A29" s="19" t="str">
        <x:v>候補／現時点の扱い</x:v>
      </x:c>
      <x:c r="B29" s="19" t="str">
        <x:v>確認した既存機能</x:v>
      </x:c>
      <x:c r="C29" s="19" t="str">
        <x:v>残る研究仮説</x:v>
      </x:c>
      <x:c r="D29" s="19" t="str">
        <x:v>最初に確認すること</x:v>
      </x:c>
      <x:c r="E29" s="19" t="str">
        <x:v>検証開始の条件</x:v>
      </x:c>
      <x:c r="F29" s="19" t="str">
        <x:v>研究の開始・見送り判断</x:v>
      </x:c>
      <x:c r="G29" s="19" t="str">
        <x:v>根拠カード</x:v>
      </x:c>
      <x:c r="H29" s="19" t="str">
        <x:v>根拠ID</x:v>
      </x:c>
      <x:c r="I29" s="19" t="str">
        <x:v>判定日</x:v>
      </x:c>
      <x:c r="J29" s="19" t="str">
        <x:v>判定の範囲</x:v>
      </x:c>
    </x:row>
    <x:row r="30" ht="160" customHeight="1">
      <x:c r="A30" s="7" t="str">
        <x:v>T01 優先検証：既存CAMとの連携へ限定</x:v>
      </x:c>
      <x:c r="B30" s="7" t="str">
        <x:v>加工性評価、工程の編集・シミュレーション・NC生成は既存機能。顧客のMastercamデータを学習しないという説明も確認。</x:v>
      </x:c>
      <x:c r="C30" s="7" t="str">
        <x:v>生成器の再開発より、工具・保持・機械・版変更による修正理由と検証結果の対応付けを検討。</x:v>
      </x:c>
      <x:c r="D30" s="7" t="str">
        <x:v>同じ部品の生成前後CAM、ポスト後NC、変更した制約と人の修正理由を見せてもらう。</x:v>
      </x:c>
      <x:c r="E30" s="7" t="str">
        <x:v>既存CAM／検証製品を使った総工数を測れること。既存連携のみで十分なら研究を縮小。</x:v>
      </x:c>
      <x:c r="F30" s="7" t="str">
        <x:v>既存CAM・検証製品だけで同等に解決できるなら連携・運用改善を優先。生成速度だけ改善し総工数が減らなければ採用しない。</x:v>
      </x:c>
      <x:c r="G30" s="7" t="str">
        <x:v>FC018 / FC020 / AC131 / FC021</x:v>
      </x:c>
      <x:c r="H30" s="7" t="str">
        <x:v>EOV-W02 / EDP-09 / EDP-10 / EDP-07 / EDP-08 / EDP-20 / ERF-03 / ERF-04</x:v>
      </x:c>
      <x:c r="I30" s="7" t="str">
        <x:v>2026-10-18</x:v>
      </x:c>
      <x:c r="J30" s="7" t="str">
        <x:v>公開情報に基づく条件付き判断。実験・採用決定は未実施。</x:v>
      </x:c>
    </x:row>
    <x:row r="31" ht="160" customHeight="1">
      <x:c r="A31" s="7" t="str">
        <x:v>T02 条件付き優先：操作APIと権限の確認待ち</x:v>
      </x:c>
      <x:c r="B31" s="7" t="str">
        <x:v>Engineeringは専門家の承認方針を説明済み。Operationsは命令実行を掲げるが提供時期・許可範囲は未確定。</x:v>
      </x:c>
      <x:c r="C31" s="7" t="str">
        <x:v>承認画面そのものより、許可済み命令の実行前状態・二重実行防止・失敗後の再開整合性に範囲を絞る。</x:v>
      </x:c>
      <x:c r="D31" s="7" t="str">
        <x:v>Operationsの読取／書込命令、承認単位、実行ID、通信断時の扱いを限定デモで確認。</x:v>
      </x:c>
      <x:c r="E31" s="7" t="str">
        <x:v>利用可能APIとログ、模擬設備での評価許可が必要。なければ読取・提案支援までにする。</x:v>
      </x:c>
      <x:c r="F31" s="7" t="str">
        <x:v>既存製品の権限・例外制御が要件を満たせば実装の再発明を避ける。必要な実行APIが公開されない場合は読取り・提案支援に範囲を絞る。</x:v>
      </x:c>
      <x:c r="G31" s="7" t="str">
        <x:v>FC024 / FC013 / AC295 / FC062 / FC031 / FC011 / FC012</x:v>
      </x:c>
      <x:c r="H31" s="7" t="str">
        <x:v>EDP-06 / EAT-N04 / EAT-N05 / EDP-18 / EDP-05 / EDP-24 / ERF-01 / ERF-02</x:v>
      </x:c>
      <x:c r="I31" s="7" t="str">
        <x:v>2026-10-18</x:v>
      </x:c>
      <x:c r="J31" s="7" t="str">
        <x:v>公開情報に基づく条件付き判断。実験・採用決定は未実施。</x:v>
      </x:c>
    </x:row>
    <x:row r="32" ht="160" customHeight="1">
      <x:c r="A32" s="7" t="str">
        <x:v>T03 現地確認優先：作業完了と引継ぎを限定評価</x:v>
      </x:c>
      <x:c r="B32" s="7" t="str">
        <x:v>TAKISAWAは切粉除去を参考出品。Kanetecは既存ピックにAI明示、TEDは3D軌道生成だが学習AIは未確認。</x:v>
      </x:c>
      <x:c r="C32" s="7" t="str">
        <x:v>AIという名称で統一せず、切粉除去／部品ピックを別タスクとして完了判定・限定再試行・人の復帰を比較。</x:v>
      </x:c>
      <x:c r="D32" s="7" t="str">
        <x:v>除去未完了・複数個把持等の失敗例、検出信号、停止と人への引継ぎを見せてもらう。</x:v>
      </x:c>
      <x:c r="E32" s="7" t="str">
        <x:v>対象・成功条件・接触制限・取得可能ログが確認できてから実験。参考展示だけで実用効果を判定しない。</x:v>
      </x:c>
      <x:c r="F32" s="7" t="str">
        <x:v>メーカーの既存機能と適用条件を先に確認。失敗判定の改善が接触リスク・復帰負担を増やすなら範囲を縮小する。</x:v>
      </x:c>
      <x:c r="G32" s="7" t="str">
        <x:v>FC049 / AC051 / AC085 / AC146 / FC031</x:v>
      </x:c>
      <x:c r="H32" s="7" t="str">
        <x:v>EAT-N01 / EAT-N02 / EDP-01 / EDP-02 / EEX-WTED / EDP-24 / ERF-13</x:v>
      </x:c>
      <x:c r="I32" s="7" t="str">
        <x:v>2026-10-18</x:v>
      </x:c>
      <x:c r="J32" s="7" t="str">
        <x:v>公開情報に基づく条件付き判断。実験・採用決定は未実施。</x:v>
      </x:c>
    </x:row>
    <x:row r="33" ht="160" customHeight="1">
      <x:c r="A33" s="7" t="str">
        <x:v>T04 既存製品活用優先：追加学習の研究は縮小</x:v>
      </x:c>
      <x:c r="B33" s="7" t="str">
        <x:v>ZEROは良品学習、良否の追加アノテーション、異常箇所表示を提供。追加学習そのものは研究の空白ではない。</x:v>
      </x:c>
      <x:c r="C33" s="7" t="str">
        <x:v>条件別の独立評価・更新承認・旧版への差戻しに、現場で未充足の要求があるかを先に確認。</x:v>
      </x:c>
      <x:c r="D33" s="7" t="str">
        <x:v>更新前後の別データ評価、版管理、更新の採否・復旧画面、現場のラベル工数を確認。</x:v>
      </x:c>
      <x:c r="E33" s="7" t="str">
        <x:v>既存製品設定で十分なら導入・運用改善にとどめる。条件別悪化と総工数を測れる場合だけ研究化。</x:v>
      </x:c>
      <x:c r="F33" s="7" t="str">
        <x:v>ZERO等の既存機能で満たせるかを確認。単一精度指標の向上だけで、条件別悪化や更新負担を隠す提案は採用しない。</x:v>
      </x:c>
      <x:c r="G33" s="7" t="str">
        <x:v>FC036 / FC039 / FC040 / AC225 / FC063</x:v>
      </x:c>
      <x:c r="H33" s="7" t="str">
        <x:v>EDP-14 / EDP-15 / EDP-12 / EOV-W08 / EDP-13 / EDP-33 / ERF-05</x:v>
      </x:c>
      <x:c r="I33" s="7" t="str">
        <x:v>2026-10-18</x:v>
      </x:c>
      <x:c r="J33" s="7" t="str">
        <x:v>公開情報に基づく条件付き判断。実験・採用決定は未実施。</x:v>
      </x:c>
    </x:row>
    <x:row r="34" ht="160" customHeight="1">
      <x:c r="A34" s="7" t="str">
        <x:v>T05 条件付き優先：既存検証後の実機差に限定</x:v>
      </x:c>
      <x:c r="B34" s="7" t="str">
        <x:v>物理属性生成・自己修正はTRINIXの説明範囲。周辺基盤には静的アセット検証があり、DexBench共同開発も告知。</x:v>
      </x:c>
      <x:c r="C34" s="7" t="str">
        <x:v>属性チェックや一般ベンチを再実装せず、製造タスクの接触条件で残る実機差と、どの属性を直すべきかの評価へ絞る。</x:v>
      </x:c>
      <x:c r="D34" s="7" t="str">
        <x:v>推定／実測の属性、自己修正の誤差指標、使う検証ルール、DexBenchの公開範囲を確認。</x:v>
      </x:c>
      <x:c r="E34" s="7" t="str">
        <x:v>利用可能なモデルと測定できる実機課題が前提。既存チェック・ベンチで解決するなら独自開発を見送る。</x:v>
      </x:c>
      <x:c r="F34" s="7" t="str">
        <x:v>既存SimReady検証機能で十分なら追加開発を減らす。外観品質だけ改善し、実機差・検証工数が改善しなければ採用しない。</x:v>
      </x:c>
      <x:c r="G34" s="7" t="str">
        <x:v>AC273 / AC098 / FC021</x:v>
      </x:c>
      <x:c r="H34" s="7" t="str">
        <x:v>EEX-WNDOT / EDP-17 / EDP-20 / ERF-06 / ERF-07 / ERF-08 / ERF-09</x:v>
      </x:c>
      <x:c r="I34" s="7" t="str">
        <x:v>2026-10-18</x:v>
      </x:c>
      <x:c r="J34" s="7" t="str">
        <x:v>公開情報に基づく条件付き判断。実験・採用決定は未実施。</x:v>
      </x:c>
    </x:row>
    <x:row r="37" ht="30" customHeight="1">
      <x:c r="A37" s="17" t="str">
        <x:v>未確認12論点：企業・ブース・質問・見たい証拠</x:v>
      </x:c>
    </x:row>
    <x:row r="39" ht="40" customHeight="1">
      <x:c r="A39" s="19" t="str">
        <x:v>論点／訪問先</x:v>
      </x:c>
      <x:c r="B39" s="19" t="str">
        <x:v>現時点で確認した事実</x:v>
      </x:c>
      <x:c r="C39" s="19" t="str">
        <x:v>現地・技術担当への質問</x:v>
      </x:c>
      <x:c r="D39" s="19" t="str">
        <x:v>見たい証拠</x:v>
      </x:c>
      <x:c r="E39" s="19" t="str">
        <x:v>研究に進む条件</x:v>
      </x:c>
      <x:c r="F39" s="19" t="str">
        <x:v>現地まで保留する点</x:v>
      </x:c>
      <x:c r="G39" s="19" t="str">
        <x:v>カードID</x:v>
      </x:c>
      <x:c r="H39" s="19" t="str">
        <x:v>根拠ID</x:v>
      </x:c>
      <x:c r="I39" s="19" t="str">
        <x:v>状態</x:v>
      </x:c>
      <x:c r="J39" s="19" t="str">
        <x:v>追補日</x:v>
      </x:c>
    </x:row>
    <x:row r="40" ht="160" customHeight="1">
      <x:c r="A40" s="7" t="str">
        <x:v>Q01 ToolDiscoveryのAI条件目安
有限会社ツールディスカバリー
W1069</x:v>
      </x:c>
      <x:c r="B40" s="7" t="str">
        <x:v>工具・被削材・加工方法から条件を表示・共有。</x:v>
      </x:c>
      <x:c r="C40" s="7" t="str">
        <x:v>AIは何を最適化し、機械剛性・突出し・保持を考慮するか。成立しない条件を警告するか。</x:v>
      </x:c>
      <x:c r="D40" s="7" t="str">
        <x:v>同一工具・材種で保持や機械条件だけを変えた算定例。</x:v>
      </x:c>
      <x:c r="E40" s="7" t="str">
        <x:v>考慮制約と適用外条件が示せれば条件助言の比較へ進む。</x:v>
      </x:c>
      <x:c r="F40" s="7" t="str">
        <x:v>追加技術資料未確認。計算・学習方式と実加工の承認は保留。</x:v>
      </x:c>
      <x:c r="G40" s="7" t="str">
        <x:v>AC136</x:v>
      </x:c>
      <x:c r="H40" s="7" t="str">
        <x:v>ERF-12</x:v>
      </x:c>
      <x:c r="I40" s="7" t="str">
        <x:v>公開情報で未解決・現地／技術担当への確認待ち</x:v>
      </x:c>
      <x:c r="J40" s="7" t="str">
        <x:v>2026-10-18</x:v>
      </x:c>
    </x:row>
    <x:row r="41" ht="160" customHeight="1">
      <x:c r="A41" s="7" t="str">
        <x:v>Q02 ALFREDと2024監視・補給の差
株式会社ユシロ
S3093</x:v>
      </x:c>
      <x:c r="B41" s="7" t="str">
        <x:v>旧社名を照合し、2024の遠隔監視・濃度補給を確認。</x:v>
      </x:c>
      <x:c r="C41" s="7" t="str">
        <x:v>ALFREDは2024装置のどこを変更したか。自動補給は接続できるか。AI判断は存在するか。</x:v>
      </x:c>
      <x:c r="D41" s="7" t="str">
        <x:v>両年の構成図・型式、pH／濃度センサと補給系統、校正・汚れ時の画面。</x:v>
      </x:c>
      <x:c r="E41" s="7" t="str">
        <x:v>固有差と実行範囲が分かれば監視／制御を区別して更新。</x:v>
      </x:c>
      <x:c r="F41" s="7" t="str">
        <x:v>2024の補給機能をALFRED仕様として流用しない。</x:v>
      </x:c>
      <x:c r="G41" s="7" t="str">
        <x:v>AC234</x:v>
      </x:c>
      <x:c r="H41" s="7" t="str">
        <x:v>ERF-10 / ERF-11</x:v>
      </x:c>
      <x:c r="I41" s="7" t="str">
        <x:v>公開情報で未解決・現地／技術担当への確認待ち</x:v>
      </x:c>
      <x:c r="J41" s="7" t="str">
        <x:v>2026-10-18</x:v>
      </x:c>
    </x:row>
    <x:row r="42" ht="160" customHeight="1">
      <x:c r="A42" s="7" t="str">
        <x:v>Q03 CoAgent Engineeringの実行承認
ベッコフオートメーション
E2028</x:v>
      </x:c>
      <x:c r="B42" s="7" t="str">
        <x:v>2025資料で専門家による確認・確定・承認方針。</x:v>
      </x:c>
      <x:c r="C42" s="7" t="str">
        <x:v>生成案の採用と、コンパイル・PLC書込・運転開始は別の承認か。誰が変更履歴を戻せるか。</x:v>
      </x:c>
      <x:c r="D42" s="7" t="str">
        <x:v>生成案→差分→承認→適用の画面と、権限別の操作ログ。</x:v>
      </x:c>
      <x:c r="E42" s="7" t="str">
        <x:v>設計成果物と実機操作の境界が分かればT02の範囲を決める。</x:v>
      </x:c>
      <x:c r="F42" s="7" t="str">
        <x:v>一般方針から毎回承認・安全機能の搭載を推測しない。</x:v>
      </x:c>
      <x:c r="G42" s="7" t="str">
        <x:v>FC011 / FC012</x:v>
      </x:c>
      <x:c r="H42" s="7" t="str">
        <x:v>ERF-01</x:v>
      </x:c>
      <x:c r="I42" s="7" t="str">
        <x:v>公開情報で未解決・現地／技術担当への確認待ち</x:v>
      </x:c>
      <x:c r="J42" s="7" t="str">
        <x:v>2026-10-18</x:v>
      </x:c>
    </x:row>
    <x:row r="43" ht="160" customHeight="1">
      <x:c r="A43" s="7" t="str">
        <x:v>Q04 Operationsの命令・権限・復帰
ベッコフオートメーション / たけびし
E2028 / S3015</x:v>
      </x:c>
      <x:c r="B43" s="7" t="str">
        <x:v>命令実行を説明。提供時期要問合せ。MCP Adapterは提供計画。</x:v>
      </x:c>
      <x:c r="C43" s="7" t="str">
        <x:v>読取と書込の許可、毎回承認、古い状態・通信断・二重実行、失敗後の再開はどう扱うか。</x:v>
      </x:c>
      <x:c r="D43" s="7" t="str">
        <x:v>許可命令一覧、状態前提、失敗ログ、権限設定と実行ID。</x:v>
      </x:c>
      <x:c r="E43" s="7" t="str">
        <x:v>APIとログを使えるなら模擬PLCで整合性評価。</x:v>
      </x:c>
      <x:c r="F43" s="7" t="str">
        <x:v>公開ページで未確認。Engineeringの方針をOperationsの実装証拠にしない。</x:v>
      </x:c>
      <x:c r="G43" s="7" t="str">
        <x:v>FC013 / FC024</x:v>
      </x:c>
      <x:c r="H43" s="7" t="str">
        <x:v>ERF-02 / EDP-06</x:v>
      </x:c>
      <x:c r="I43" s="7" t="str">
        <x:v>公開情報で未解決・現地／技術担当への確認待ち</x:v>
      </x:c>
      <x:c r="J43" s="7" t="str">
        <x:v>2026-10-18</x:v>
      </x:c>
    </x:row>
    <x:row r="44" ht="160" customHeight="1">
      <x:c r="A44" s="7" t="str">
        <x:v>Q05 生成CAM→ポスト後NCの検証
ジェービーエムエンジニアリング / タクテックス株式会社 / CGTech
E2002 / S1016 / S3014</x:v>
      </x:c>
      <x:c r="B44" s="7" t="str">
        <x:v>人が案を調整し、既存の検証・NC生成へ進む。</x:v>
      </x:c>
      <x:c r="C44" s="7" t="str">
        <x:v>工具・保持・機械・ポストの版変更が生成案とNCにどう反映され、未検出制約を誰が直すか。</x:v>
      </x:c>
      <x:c r="D44" s="7" t="str">
        <x:v>同一部品の条件変更例、編集前後CAM、NC検証結果、修正理由。</x:v>
      </x:c>
      <x:c r="E44" s="7" t="str">
        <x:v>既存フローとの差分・総工数が測れるならT01を検証。</x:v>
      </x:c>
      <x:c r="F44" s="7" t="str">
        <x:v>ベンダー間の実装済み自動連携は未確認。</x:v>
      </x:c>
      <x:c r="G44" s="7" t="str">
        <x:v>FC020 / AC131 / FC021</x:v>
      </x:c>
      <x:c r="H44" s="7" t="str">
        <x:v>ERF-03 / ERF-04 / EDP-20</x:v>
      </x:c>
      <x:c r="I44" s="7" t="str">
        <x:v>公開情報で未解決・現地／技術担当への確認待ち</x:v>
      </x:c>
      <x:c r="J44" s="7" t="str">
        <x:v>2026-10-18</x:v>
      </x:c>
    </x:row>
    <x:row r="45" ht="160" customHeight="1">
      <x:c r="A45" s="7" t="str">
        <x:v>Q06 TR-20Wの切粉除去と失敗復帰
TAKISAWA
E3013</x:v>
      </x:c>
      <x:c r="B45" s="7" t="str">
        <x:v>主軸切粉を認識・判断・除去する参考出品。</x:v>
      </x:c>
      <x:c r="C45" s="7" t="str">
        <x:v>完了は何で検知し、除去できない切粉・接触・工具異常でいつ止め、何回再試行するか。</x:v>
      </x:c>
      <x:c r="D45" s="7" t="str">
        <x:v>正常／未完了の動画と判定信号、力・接触条件、人への通知と再開手順。</x:v>
      </x:c>
      <x:c r="E45" s="7" t="str">
        <x:v>取得可能信号と限定タスクを確認後にT03の実験を定義。</x:v>
      </x:c>
      <x:c r="F45" s="7" t="str">
        <x:v>現地未検証。センサ種・力制限・成功率は未公開。</x:v>
      </x:c>
      <x:c r="G45" s="7" t="str">
        <x:v>FC049</x:v>
      </x:c>
      <x:c r="H45" s="7" t="str">
        <x:v>ERF-13</x:v>
      </x:c>
      <x:c r="I45" s="7" t="str">
        <x:v>公開情報で未解決・現地／技術担当への確認待ち</x:v>
      </x:c>
      <x:c r="J45" s="7" t="str">
        <x:v>2026-10-18</x:v>
      </x:c>
    </x:row>
    <x:row r="46" ht="160" customHeight="1">
      <x:c r="A46" s="7" t="str">
        <x:v>Q07 磁気ピックのAI担当と二個取り
カネテック株式会社
W2013</x:v>
      </x:c>
      <x:c r="B46" s="7" t="str">
        <x:v>2Dカメラ・協働ロボット・磁気把持。AIの担当未特定。</x:v>
      </x:c>
      <x:c r="C46" s="7" t="str">
        <x:v>AIは検出・把持点・複数個吸着・再試行のどこを判断するか。誤把持をどう検知するか。</x:v>
      </x:c>
      <x:c r="D46" s="7" t="str">
        <x:v>AI入出力、空振り／二個取りの失敗判定と人への引継ぎ。</x:v>
      </x:c>
      <x:c r="E46" s="7" t="str">
        <x:v>AI担当と成否判定が分かればT03の比較例へ。</x:v>
      </x:c>
      <x:c r="F46" s="7" t="str">
        <x:v>LP本文取得はCache miss。既存方式とAI追加時期は区別。</x:v>
      </x:c>
      <x:c r="G46" s="7" t="str">
        <x:v>AC051</x:v>
      </x:c>
      <x:c r="H46" s="7" t="str">
        <x:v>EDP-01</x:v>
      </x:c>
      <x:c r="I46" s="7" t="str">
        <x:v>公開情報で未解決・現地／技術担当への確認待ち</x:v>
      </x:c>
      <x:c r="J46" s="7" t="str">
        <x:v>2026-10-18</x:v>
      </x:c>
    </x:row>
    <x:row r="47" ht="160" customHeight="1">
      <x:c r="A47" s="7" t="str">
        <x:v>Q08 TEDの形状認識→加工許可
東京エレクトロンデバイス株式会社
E7073</x:v>
      </x:c>
      <x:c r="B47" s="7" t="str">
        <x:v>レーザ3D形状から軌道生成し面取り等を説明。</x:v>
      </x:c>
      <x:c r="C47" s="7" t="str">
        <x:v>学習AIを使うか。干渉・取り残しをどう確認し、反り・二枚取りで止めて誰が再開するか。</x:v>
      </x:c>
      <x:c r="D47" s="7" t="str">
        <x:v>入力スキャン、生成軌道、干渉確認、許可画面、失敗時ログ。</x:v>
      </x:c>
      <x:c r="E47" s="7" t="str">
        <x:v>方式と許可・停止条件が分かればAI方式と幾何方式を比較。</x:v>
      </x:c>
      <x:c r="F47" s="7" t="str">
        <x:v>教示不要を無制限の未知形状対応としない。</x:v>
      </x:c>
      <x:c r="G47" s="7" t="str">
        <x:v>AC146</x:v>
      </x:c>
      <x:c r="H47" s="7" t="str">
        <x:v>EEX-WTED</x:v>
      </x:c>
      <x:c r="I47" s="7" t="str">
        <x:v>公開情報で未解決・現地／技術担当への確認待ち</x:v>
      </x:c>
      <x:c r="J47" s="7" t="str">
        <x:v>2026-10-18</x:v>
      </x:c>
    </x:row>
    <x:row r="48" ht="160" customHeight="1">
      <x:c r="A48" s="7" t="str">
        <x:v>Q09 GH5の補正上限と測定異常
株式会社サイバーRC
E7074</x:v>
      </x:c>
      <x:c r="B48" s="7" t="str">
        <x:v>人の目標幅・角度に対して画像測定と自動調整。</x:v>
      </x:c>
      <x:c r="C48" s="7" t="str">
        <x:v>補正上限、測定不能・過研磨の停止判定、目標変更の権限、完了確認は何か。</x:v>
      </x:c>
      <x:c r="D48" s="7" t="str">
        <x:v>設定値と測定値・補正量の履歴、限界例と停止復帰の説明。</x:v>
      </x:c>
      <x:c r="E48" s="7" t="str">
        <x:v>補正の範囲・成否指標が開示されればT03の閉ループ比較。</x:v>
      </x:c>
      <x:c r="F48" s="7" t="str">
        <x:v>PDF本体は容量上限で未取得。索引確認の範囲を越えない。</x:v>
      </x:c>
      <x:c r="G48" s="7" t="str">
        <x:v>AC085</x:v>
      </x:c>
      <x:c r="H48" s="7" t="str">
        <x:v>EDP-02</x:v>
      </x:c>
      <x:c r="I48" s="7" t="str">
        <x:v>公開情報で未解決・現地／技術担当への確認待ち</x:v>
      </x:c>
      <x:c r="J48" s="7" t="str">
        <x:v>2026-10-18</x:v>
      </x:c>
    </x:row>
    <x:row r="49" ht="160" customHeight="1">
      <x:c r="A49" s="7" t="str">
        <x:v>Q10 検査・診断モデルの更新採否
HACARUS / モリマシナリー / ムラテックＣＣＳ株式会社
S1031 / S3048 / E3031</x:v>
      </x:c>
      <x:c r="B49" s="7" t="str">
        <x:v>ZEROは人の追加ラベルを利用。画像・時系列診断は用途で基準が違う。</x:v>
      </x:c>
      <x:c r="C49" s="7" t="str">
        <x:v>更新前後を別データで比較できるか。誰が採用し、条件別悪化で旧版に戻せるか。</x:v>
      </x:c>
      <x:c r="D49" s="7" t="str">
        <x:v>更新履歴、独立評価群、条件別の見逃し・過検出、採否・差戻し画面。</x:v>
      </x:c>
      <x:c r="E49" s="7" t="str">
        <x:v>既存機能で不足する要求が確認された場合のみT04を研究化。</x:v>
      </x:c>
      <x:c r="F49" s="7" t="str">
        <x:v>追加学習があるだけで独立評価・自動差戻しがあるとはしない。</x:v>
      </x:c>
      <x:c r="G49" s="7" t="str">
        <x:v>FC036 / FC039 / AC225</x:v>
      </x:c>
      <x:c r="H49" s="7" t="str">
        <x:v>ERF-05 / EDP-12 / EDP-13</x:v>
      </x:c>
      <x:c r="I49" s="7" t="str">
        <x:v>公開情報で未解決・現地／技術担当への確認待ち</x:v>
      </x:c>
      <x:c r="J49" s="7" t="str">
        <x:v>2026-10-18</x:v>
      </x:c>
    </x:row>
    <x:row r="50" ht="160" customHeight="1">
      <x:c r="A50" s="7" t="str">
        <x:v>Q11 SimReadyの自己修正と実物の差
NdotLight Co., Ltd.
S4004</x:v>
      </x:c>
      <x:c r="B50" s="7" t="str">
        <x:v>TRINIXは属性推論・自己修正、周辺基盤はアセット検証。</x:v>
      </x:c>
      <x:c r="C50" s="7" t="str">
        <x:v>誤差の正解・収束条件は何か。推定値と実測値を分けられるか。DexBenchは何が利用可能か。</x:v>
      </x:c>
      <x:c r="D50" s="7" t="str">
        <x:v>属性の由来、修正履歴、検証ルール、実機との比較、公開成果物の範囲。</x:v>
      </x:c>
      <x:c r="E50" s="7" t="str">
        <x:v>モデル・実測対象が使えるならT05の限定比較。</x:v>
      </x:c>
      <x:c r="F50" s="7" t="str">
        <x:v>公式共同開発告知は完成標準や性能保証とは別。</x:v>
      </x:c>
      <x:c r="G50" s="7" t="str">
        <x:v>AC273</x:v>
      </x:c>
      <x:c r="H50" s="7" t="str">
        <x:v>ERF-06 / ERF-07 / ERF-08 / ERF-09</x:v>
      </x:c>
      <x:c r="I50" s="7" t="str">
        <x:v>公開情報で未解決・現地／技術担当への確認待ち</x:v>
      </x:c>
      <x:c r="J50" s="7" t="str">
        <x:v>2026-10-18</x:v>
      </x:c>
    </x:row>
    <x:row r="51" ht="160" customHeight="1">
      <x:c r="A51" s="7" t="str">
        <x:v>Q12 予測→搬送指示→停止復帰
ソフィックス / FNS株式会社 / 株式会社白山機工
E1067 / E2034 / E2007</x:v>
      </x:c>
      <x:c r="B51" s="7" t="str">
        <x:v>Fleeterは上位命令、FNSは統合指示、白山はAMR回収を説明。</x:v>
      </x:c>
      <x:c r="C51" s="7" t="str">
        <x:v>予測が実際に配車・計画を変えるか。遅延・機械停止・回収失敗で誰が再計画し承認するか。</x:v>
      </x:c>
      <x:c r="D51" s="7" t="str">
        <x:v>上位命令と装置状態の時系列、遅延時の画面、再計画と人の引継ぎ。</x:v>
      </x:c>
      <x:c r="E51" s="7" t="str">
        <x:v>判断と指令の接続・権限が確認できればT02／T03の拡張例。</x:v>
      </x:c>
      <x:c r="F51" s="7" t="str">
        <x:v>AIによる再計画や予測からの自動指令は未確認。</x:v>
      </x:c>
      <x:c r="G51" s="7" t="str">
        <x:v>FC030 / AC039 / AC186</x:v>
      </x:c>
      <x:c r="H51" s="7" t="str">
        <x:v>EDP-21 / EDP-22 / EDP-25 / EDP-29</x:v>
      </x:c>
      <x:c r="I51" s="7" t="str">
        <x:v>公開情報で未解決・現地／技術担当への確認待ち</x:v>
      </x:c>
      <x:c r="J51" s="7" t="str">
        <x:v>2026-10-18</x:v>
      </x:c>
    </x:row>
  </x:sheetData>
  <x:pageMargins left="0.7" right="0.7" top="0.75" bottom="0.75" header="0.3" footer="0.3"/>
  <x:tableParts count="4">
    <x:tablePart xmlns:r="http://schemas.openxmlformats.org/officeDocument/2006/relationships" r:id="Rdc5d358e4a3e4b85"/>
    <x:tablePart xmlns:r="http://schemas.openxmlformats.org/officeDocument/2006/relationships" r:id="Rf33b4342d9ba48a9"/>
    <x:tablePart xmlns:r="http://schemas.openxmlformats.org/officeDocument/2006/relationships" r:id="Rd6f0813be5094465"/>
    <x:tablePart xmlns:r="http://schemas.openxmlformats.org/officeDocument/2006/relationships" r:id="R2b47274c48f64abb"/>
  </x:tableParts>
</x:worksheet>
</file>

<file path=xl/worksheets/sheet7.xml><?xml version="1.0" encoding="utf-8"?>
<x:worksheet xmlns:x="http://schemas.openxmlformats.org/spreadsheetml/2006/main">
  <x:sheetViews>
    <x:sheetView showGridLines="0" workbookViewId="0">
      <x:pane xSplit="4" ySplit="6" topLeftCell="E7" activePane="bottomRight" state="frozen"/>
    </x:sheetView>
  </x:sheetViews>
  <x:sheetFormatPr defaultRowHeight="15"/>
  <x:cols>
    <x:col min="1" max="1" width="26" hidden="0" customWidth="1"/>
    <x:col min="2" max="2" width="8" hidden="0" customWidth="1"/>
    <x:col min="3" max="3" width="20" hidden="0" customWidth="1"/>
    <x:col min="4" max="4" width="30" hidden="0" customWidth="1"/>
    <x:col min="5" max="5" width="15" hidden="0" customWidth="1"/>
    <x:col min="6" max="6" width="46" hidden="0" customWidth="1"/>
    <x:col min="7" max="7" width="58" hidden="0" customWidth="1"/>
    <x:col min="8" max="8" width="58" hidden="0" customWidth="1"/>
    <x:col min="9" max="9" width="58" hidden="0" customWidth="1"/>
    <x:col min="10" max="10" width="30" hidden="0" customWidth="1"/>
    <x:col min="11" max="11" width="58" hidden="0" customWidth="1"/>
    <x:col min="12" max="12" width="65" hidden="0" customWidth="1"/>
    <x:col min="13" max="13" width="48" hidden="0" customWidth="1"/>
    <x:col min="14" max="14" width="48" hidden="0" customWidth="1"/>
    <x:col min="15" max="15" width="18" hidden="0" customWidth="1"/>
    <x:col min="16" max="16" width="20" hidden="0" customWidth="1"/>
    <x:col min="17" max="17" width="35" hidden="0" customWidth="1"/>
    <x:col min="18" max="18" width="75" hidden="0" customWidth="1"/>
    <x:col min="19" max="19" width="58" hidden="0" customWidth="1"/>
    <x:col min="20" max="20" width="58" hidden="0" customWidth="1"/>
    <x:col min="21" max="21" width="55" hidden="0" customWidth="1"/>
    <x:col min="22" max="22" width="58" hidden="0" customWidth="1"/>
    <x:col min="23" max="23" width="58" hidden="0" customWidth="1"/>
    <x:col min="24" max="24" width="65" hidden="0" customWidth="1"/>
  </x:cols>
  <x:sheetData>
    <x:row r="2" ht="30" customHeight="1">
      <x:c r="A2" s="3" t="str">
        <x:v>カテゴリー別：どこから見に行くか</x:v>
      </x:c>
      <x:c r="B2" s="1"/>
      <x:c r="C2" s="1"/>
      <x:c r="D2" s="1"/>
      <x:c r="E2" s="1"/>
      <x:c r="F2" s="1"/>
      <x:c r="G2" s="1"/>
      <x:c r="H2" s="1"/>
      <x:c r="I2" s="1"/>
      <x:c r="J2" s="1"/>
      <x:c r="K2" s="1"/>
      <x:c r="L2" s="1"/>
      <x:c r="M2" s="1"/>
      <x:c r="N2" s="1"/>
      <x:c r="O2" s="1"/>
      <x:c r="P2" s="1"/>
      <x:c r="Q2" s="1"/>
      <x:c r="R2" s="1"/>
      <x:c r="S2" s="1"/>
      <x:c r="T2" s="1"/>
      <x:c r="U2" s="1"/>
      <x:c r="V2" s="1"/>
      <x:c r="W2" s="1"/>
      <x:c r="X2" s="1"/>
    </x:row>
    <x:row r="3" ht="22" customHeight="1">
      <x:c r="A3" s="5" t="str">
        <x:v>37件・28社の訪問順案。カテゴリー内の順番。性能・普及率のランキングではありません。</x:v>
      </x:c>
      <x:c r="B3" s="5"/>
      <x:c r="C3" s="5"/>
      <x:c r="D3" s="5"/>
      <x:c r="E3" s="5"/>
      <x:c r="F3" s="5"/>
      <x:c r="G3" s="5"/>
      <x:c r="H3" s="5"/>
      <x:c r="I3" s="5"/>
      <x:c r="J3" s="5"/>
      <x:c r="K3" s="5"/>
      <x:c r="L3" s="5"/>
      <x:c r="M3" s="5"/>
      <x:c r="N3" s="5"/>
      <x:c r="O3" s="5"/>
      <x:c r="P3" s="5"/>
      <x:c r="Q3" s="5"/>
      <x:c r="R3" s="5"/>
      <x:c r="S3" s="5"/>
      <x:c r="T3" s="5"/>
      <x:c r="U3" s="5"/>
      <x:c r="V3" s="5"/>
      <x:c r="W3" s="5"/>
      <x:c r="X3" s="5"/>
    </x:row>
    <x:row r="4" ht="22" customHeight="1">
      <x:c r="A4" s="5" t="str">
        <x:v>AI・人の関与はS〜X列。基礎10/16、追補10/18。2社の追加仕様は保留、ユシロの旧社名2024原典を追加照合。</x:v>
      </x:c>
      <x:c r="B4" s="5"/>
      <x:c r="C4" s="5"/>
      <x:c r="D4" s="5"/>
      <x:c r="E4" s="5"/>
      <x:c r="F4" s="5"/>
      <x:c r="G4" s="5"/>
      <x:c r="H4" s="5"/>
      <x:c r="I4" s="5"/>
      <x:c r="J4" s="5"/>
      <x:c r="K4" s="5"/>
      <x:c r="L4" s="5"/>
      <x:c r="M4" s="5"/>
      <x:c r="N4" s="5"/>
      <x:c r="O4" s="5"/>
      <x:c r="P4" s="5"/>
      <x:c r="Q4" s="5"/>
      <x:c r="R4" s="5"/>
      <x:c r="S4" s="5"/>
      <x:c r="T4" s="5"/>
      <x:c r="U4" s="5"/>
      <x:c r="V4" s="5"/>
      <x:c r="W4" s="5"/>
      <x:c r="X4" s="5"/>
    </x:row>
    <x:row r="5">
      <x:c r="A5" s="1"/>
      <x:c r="B5" s="1"/>
      <x:c r="C5" s="1"/>
      <x:c r="D5" s="1"/>
      <x:c r="E5" s="1"/>
      <x:c r="F5" s="1"/>
      <x:c r="G5" s="1"/>
      <x:c r="H5" s="1"/>
      <x:c r="I5" s="1"/>
      <x:c r="J5" s="1"/>
      <x:c r="K5" s="1"/>
      <x:c r="L5" s="1"/>
      <x:c r="M5" s="1"/>
      <x:c r="N5" s="1"/>
      <x:c r="O5" s="1"/>
      <x:c r="P5" s="1"/>
      <x:c r="Q5" s="1"/>
      <x:c r="R5" s="1"/>
      <x:c r="S5" s="1"/>
      <x:c r="T5" s="1"/>
      <x:c r="U5" s="1"/>
      <x:c r="V5" s="1"/>
      <x:c r="W5" s="1"/>
      <x:c r="X5" s="1"/>
    </x:row>
    <x:row r="6" ht="34" customHeight="1">
      <x:c r="A6" s="11" t="str">
        <x:v>カテゴリー</x:v>
      </x:c>
      <x:c r="B6" s="11" t="str">
        <x:v>順番</x:v>
      </x:c>
      <x:c r="C6" s="11" t="str">
        <x:v>位置づけ</x:v>
      </x:c>
      <x:c r="D6" s="11" t="str">
        <x:v>企業名</x:v>
      </x:c>
      <x:c r="E6" s="11" t="str">
        <x:v>2026ブース</x:v>
      </x:c>
      <x:c r="F6" s="11" t="str">
        <x:v>具体展示</x:v>
      </x:c>
      <x:c r="G6" s="11" t="str">
        <x:v>優先する理由</x:v>
      </x:c>
      <x:c r="H6" s="11" t="str">
        <x:v>2024の基準点</x:v>
      </x:c>
      <x:c r="I6" s="11" t="str">
        <x:v>2026の記載</x:v>
      </x:c>
      <x:c r="J6" s="11" t="str">
        <x:v>比較判定</x:v>
      </x:c>
      <x:c r="K6" s="11" t="str">
        <x:v>差分の読み方</x:v>
      </x:c>
      <x:c r="L6" s="11" t="str">
        <x:v>現地で確かめること</x:v>
      </x:c>
      <x:c r="M6" s="11" t="str">
        <x:v>展示確度</x:v>
      </x:c>
      <x:c r="N6" s="11" t="str">
        <x:v>提供段階</x:v>
      </x:c>
      <x:c r="O6" s="11" t="str">
        <x:v>参照カード全件</x:v>
      </x:c>
      <x:c r="P6" s="11" t="str">
        <x:v>詳細へ（先頭カード）</x:v>
      </x:c>
      <x:c r="Q6" s="11" t="str">
        <x:v>根拠ID</x:v>
      </x:c>
      <x:c r="R6" s="11" t="str">
        <x:v>原典URL</x:v>
      </x:c>
      <x:c r="S6" s="11" t="str">
        <x:v>AIの判断・提案</x:v>
      </x:c>
      <x:c r="T6" s="11" t="str">
        <x:v>実行・出力</x:v>
      </x:c>
      <x:c r="U6" s="11" t="str">
        <x:v>人の事前準備</x:v>
      </x:c>
      <x:c r="V6" s="11" t="str">
        <x:v>人の承認</x:v>
      </x:c>
      <x:c r="W6" s="11" t="str">
        <x:v>人の例外対応</x:v>
      </x:c>
      <x:c r="X6" s="11" t="str">
        <x:v>制約・公開資料の不足</x:v>
      </x:c>
    </x:row>
    <x:row r="7" ht="145" customHeight="1">
      <x:c r="A7" s="7" t="str">
        <x:v>フィジカルAI</x:v>
      </x:c>
      <x:c r="B7" s="7" t="n">
        <x:v>1</x:v>
      </x:c>
      <x:c r="C7" s="7" t="str">
        <x:v>先に見る</x:v>
      </x:c>
      <x:c r="D7" s="20" t="str">
        <x:v>TAKISAWA</x:v>
      </x:c>
      <x:c r="E7" s="7" t="str">
        <x:v>E3013</x:v>
      </x:c>
      <x:c r="F7" s="7" t="str">
        <x:v>TR-20W：主軸の切粉除去</x:v>
      </x:c>
      <x:c r="G7" s="7" t="str">
        <x:v>切粉の認識・判断・除去という具体作業と、2024の搬入出からのタスク差がある。参考出品として動作生成の限界を見る。</x:v>
      </x:c>
      <x:c r="H7" s="7" t="str">
        <x:v>2024のTR-20Wはワーク搬入・搬出の自動化デモを予告</x:v>
      </x:c>
      <x:c r="I7" s="7" t="str">
        <x:v>2026は切粉絡まり判断・除去を参考出品</x:v>
      </x:c>
      <x:c r="J7" s="7" t="str">
        <x:v>担当タスクの追加記載</x:v>
      </x:c>
      <x:c r="K7" s="7" t="str">
        <x:v>出展説明・公式資料の記載比較。初発明年・実演成功・性能向上を証明するものではない。</x:v>
      </x:c>
      <x:c r="L7" s="7" t="str">
        <x:v>絡まり方が変わる未学習例を示せるか。除去失敗の検出、再試行、主軸への接触回避と人の復帰操作を確認。</x:v>
      </x:c>
      <x:c r="M7" s="7" t="str">
        <x:v>JIMTOF2026公式カタログ掲載・現地未確認</x:v>
      </x:c>
      <x:c r="N7" s="7" t="str">
        <x:v>参考出品・現地未検証</x:v>
      </x:c>
      <x:c r="O7" s="7" t="str">
        <x:v>FC049</x:v>
      </x:c>
      <x:c t="str" r="P7" s="21">
        <x:f>HYPERLINK("#'展示詳細'!A"&amp;MATCH("FC049",'展示詳細'!$A$1:$A$340,0),"FC049")</x:f>
        <x:v>FC049</x:v>
      </x:c>
      <x:c r="Q7" s="7" t="str">
        <x:v>EOV-V030-2024-1
EOV-V030-2026-1
EAT-N01
EAT-N02
ERF-13</x:v>
      </x:c>
      <x:c r="R7" s="7" t="str">
        <x:v>EOV-V030-2024-1: https://www.jimtof.org/2024/search/jp/ESdetails?e=K00DRD-BngA
EOV-V030-2026-1: https://www.jimtof.org/search/jp/ESdetails?e=3dTDRAMwZpM
EAT-N01: https://www.nidec.com/jp/products/machine-tools/contents/machine-tool-jimtof2026/
EAT-N02: https://www.nidec.com/jp/product/news/2024/news1101-03/
ERF-13: https://www.nidec.com/jp/products/machine-tools/contents/machine-tool-jimtof2026/</x:v>
      </x:c>
      <x:c r="S7" s="7" t="str">
        <x:v>切粉の絡まり状況を認識・判断するとメーカーが説明</x:v>
      </x:c>
      <x:c r="T7" s="7" t="str">
        <x:v>台車型TR-20Wのロボットが主軸の切粉を除去する予定</x:v>
      </x:c>
      <x:c r="U7" s="7" t="str">
        <x:v>未記載：対象切粉・機械配置・除去具の設定手順</x:v>
      </x:c>
      <x:c r="V7" s="7" t="str">
        <x:v>未記載：動作前の承認、機械インターロックと許可範囲</x:v>
      </x:c>
      <x:c r="W7" s="7" t="str">
        <x:v>未記載：除去失敗の検出・再試行・停止後の人への引継ぎ</x:v>
      </x:c>
      <x:c r="X7" s="7" t="str">
        <x:v>未知の絡まり、除去力・接触回避・完了確認・成功率は未確認。市販済みと扱わない</x:v>
      </x:c>
    </x:row>
    <x:row r="8" ht="145" customHeight="1">
      <x:c r="A8" s="7" t="str">
        <x:v>フィジカルAI</x:v>
      </x:c>
      <x:c r="B8" s="7" t="n">
        <x:v>2</x:v>
      </x:c>
      <x:c r="C8" s="7" t="str">
        <x:v>先に見る</x:v>
      </x:c>
      <x:c r="D8" s="20" t="str">
        <x:v>カネテック株式会社</x:v>
      </x:c>
      <x:c r="E8" s="7" t="str">
        <x:v>W2013</x:v>
      </x:c>
      <x:c r="F8" s="7" t="str">
        <x:v>マグネットピンセット：AI・2Dカメラ・協働ロボット</x:v>
      </x:c>
      <x:c r="G8" s="7" t="str">
        <x:v>2Dカメラ・磁気把持・協働ロボットの小部品ピック。2024にも同種作業があるためAIが担う箇所を切り出せる。</x:v>
      </x:c>
      <x:c r="H8" s="7" t="str">
        <x:v>2024公式カタログと企業LPで、2Dカメラ・協働ロボット・磁気ピンセットによる小径ネジのバラ積みピックを確認。</x:v>
      </x:c>
      <x:c r="I8" s="7" t="str">
        <x:v>2026は同種構成にAIを明記し、小径ネジ・小部品のピッキングを説明。</x:v>
      </x:c>
      <x:c r="J8" s="7" t="str">
        <x:v>2024から継続・AIの記載を追加</x:v>
      </x:c>
      <x:c r="K8" s="7" t="str">
        <x:v>2026のAIという追記と、ピッキング方式自体の継続を区別。AIの具体担当・学習方式・性能差は未特定。</x:v>
      </x:c>
      <x:c r="L8" s="7" t="str">
        <x:v>2024と同一の小径ネジで、重なり認識・把持点・再試行のどれが変わったか。</x:v>
      </x:c>
      <x:c r="M8" s="7" t="str">
        <x:v>2026公式カタログ掲載・現地未確認</x:v>
      </x:c>
      <x:c r="N8" s="7" t="str">
        <x:v>2026展示予定。既存製品・参考出展・構想等は原典で個別確認</x:v>
      </x:c>
      <x:c r="O8" s="7" t="str">
        <x:v>AC051</x:v>
      </x:c>
      <x:c t="str" r="P8" s="21">
        <x:f>HYPERLINK("#'展示詳細'!A"&amp;MATCH("AC051",'展示詳細'!$A$1:$A$340,0),"AC051")</x:f>
        <x:v>AC051</x:v>
      </x:c>
      <x:c r="Q8" s="7" t="str">
        <x:v>EEX-EXH-2026-30b70a74241de123
EEX-EXH-2024-45415d070f47dc6e
EDP-01</x:v>
      </x:c>
      <x:c r="R8" s="7" t="str">
        <x:v>EEX-EXH-2026-30b70a74241de123: https://www.jimtof.org/search/jp/ESdetails?e=ekM3exgIAtc
EEX-EXH-2024-45415d070f47dc6e: https://www.jimtof.org/2024/search/jp/ESdetails?e=ot0Fx36wI0g
EDP-01: https://kanetec.co.jp/lp/MagnetPinset%40LP.html</x:v>
      </x:c>
      <x:c r="S8" s="7" t="str">
        <x:v>2026説明にAIを明示。ただし検出・把持点・重なり・再試行のどれをAIが判断するか未公開</x:v>
      </x:c>
      <x:c r="T8" s="7" t="str">
        <x:v>協働ロボットと磁気把持で山積み小部品を取り出す。整列は別の機械治具の提案</x:v>
      </x:c>
      <x:c r="U8" s="7" t="str">
        <x:v>未記載：対象材種・品種、画像学習・磁力の設定</x:v>
      </x:c>
      <x:c r="V8" s="7" t="str">
        <x:v>未記載：自動実行前の確認・誤把持の採否</x:v>
      </x:c>
      <x:c r="W8" s="7" t="str">
        <x:v>未記載：複数個吸着・空振り・取り落としからの復帰</x:v>
      </x:c>
      <x:c r="X8" s="7" t="str">
        <x:v>公式LPでも2024自動化モデルの出展を明記。AI導入時期・2024比の改善量は不明</x:v>
      </x:c>
    </x:row>
    <x:row r="9" ht="145" customHeight="1">
      <x:c r="A9" s="7" t="str">
        <x:v>フィジカルAI</x:v>
      </x:c>
      <x:c r="B9" s="7" t="n">
        <x:v>3</x:v>
      </x:c>
      <x:c r="C9" s="7" t="str">
        <x:v>方式を比較</x:v>
      </x:c>
      <x:c r="D9" s="20" t="str">
        <x:v>株式会社サイバーRC</x:v>
      </x:c>
      <x:c r="E9" s="7" t="str">
        <x:v>E7074</x:v>
      </x:c>
      <x:c r="F9" s="7" t="str">
        <x:v>GH5：工具の3D画像認識・AI補正ホーニング</x:v>
      </x:c>
      <x:c r="G9" s="7" t="str">
        <x:v>工具の機内3D認識からホーニング補正へ。搬送ではなく加工動作へのAI利用を比較する。</x:v>
      </x:c>
      <x:c r="H9" s="7" t="str">
        <x:v>2024はGM5の自動工具交換・研削とGri Star Honing2。</x:v>
      </x:c>
      <x:c r="I9" s="7" t="str">
        <x:v>2026はGH5で機内3D画像解析・AI自動補正、測定・加工・検査の一体化を説明。</x:v>
      </x:c>
      <x:c r="J9" s="7" t="str">
        <x:v>担当タスクの追加記載</x:v>
      </x:c>
      <x:c r="K9" s="7" t="str">
        <x:v>2024の研削・工具交換の自動化に対し、2026は画像測定からホーニング補正の担当を具体記載。公式PDFのURLは2025/10であり、2026初登場とは断定しない。</x:v>
      </x:c>
      <x:c r="L9" s="7" t="str">
        <x:v>認識量から補正する軸・条件、補正上限、検査結果と人の承認を一連で示せるか。</x:v>
      </x:c>
      <x:c r="M9" s="7" t="str">
        <x:v>2026公式カタログ掲載・現地未確認</x:v>
      </x:c>
      <x:c r="N9" s="7" t="str">
        <x:v>2026展示予定。既存製品・参考出展・構想等は原典で個別確認</x:v>
      </x:c>
      <x:c r="O9" s="7" t="str">
        <x:v>AC085</x:v>
      </x:c>
      <x:c t="str" r="P9" s="21">
        <x:f>HYPERLINK("#'展示詳細'!A"&amp;MATCH("AC085",'展示詳細'!$A$1:$A$340,0),"AC085")</x:f>
        <x:v>AC085</x:v>
      </x:c>
      <x:c r="Q9" s="7" t="str">
        <x:v>EEX-EXH-2026-a0cbad27ea34d7c4
EEX-EXH-2024-76ac534a229f7c29
EDP-02</x:v>
      </x:c>
      <x:c r="R9" s="7" t="str">
        <x:v>EEX-EXH-2026-a0cbad27ea34d7c4: https://www.jimtof.org/search/jp/ESdetails?e=8ealehgmk8o
EEX-EXH-2024-76ac534a229f7c29: https://www.jimtof.org/2024/search/jp/ESdetails?e=wk2AEX5rHpw
EDP-02: https://cyber-rc.com/wp-content/uploads/2025/10/%E7%B7%8F%E5%90%88%E3%82%AB%E3%82%BF%E3%83%AD%E3%82%B0420-x-297-mm%E6%A8%AA%E4%B8%A6%E3%81%B3-.pdf</x:v>
      </x:c>
      <x:c r="S9" s="7" t="str">
        <x:v>Robot Eyeで測定し、AI制御で設定した幅・角度に到達するよう調整するという説明</x:v>
      </x:c>
      <x:c r="T9" s="7" t="str">
        <x:v>GH5がホーニングを自動調整。測定・加工・検査を一体化</x:v>
      </x:c>
      <x:c r="U9" s="7" t="str">
        <x:v>公式：目標のホーニング幅・角度を数値設定</x:v>
      </x:c>
      <x:c r="V9" s="7" t="str">
        <x:v>未記載：補正上限・設定変更の承認。目標値の選択は人</x:v>
      </x:c>
      <x:c r="W9" s="7" t="str">
        <x:v>未記載：測定不能・過研磨・刃具異常時の止め方と人の復帰</x:v>
      </x:c>
      <x:c r="X9" s="7" t="str">
        <x:v>AIモデル、補正量の計算、精度・反復回数・検査判定は非開示。PDF本体は取得容量上限のため未取得、公式PDFの索引抽出を確認</x:v>
      </x:c>
    </x:row>
    <x:row r="10" ht="145" customHeight="1">
      <x:c r="A10" s="7" t="str">
        <x:v>フィジカルAI</x:v>
      </x:c>
      <x:c r="B10" s="7" t="n">
        <x:v>4</x:v>
      </x:c>
      <x:c r="C10" s="7" t="str">
        <x:v>基盤を比較</x:v>
      </x:c>
      <x:c r="D10" s="20" t="str">
        <x:v>NdotLight Co., Ltd.</x:v>
      </x:c>
      <x:c r="E10" s="7" t="str">
        <x:v>S4004</x:v>
      </x:c>
      <x:c r="F10" s="7" t="str">
        <x:v>TRINIX：CADから物理シミュレーション用データ生成</x:v>
      </x:c>
      <x:c r="G10" s="7" t="str">
        <x:v>実機動作を展示する企業と、ロボットの学習・物理シミュレーション用データを作る企業を分けて見る。</x:v>
      </x:c>
      <x:c r="H10" s="7" t="str">
        <x:v>同一名称の2024詳細なし。</x:v>
      </x:c>
      <x:c r="I10" s="7" t="str">
        <x:v>テキスト・画像・CADからNURBS形状、物理属性・関節・衝突メッシュを生成し、シミュレーション検証・自己修正を説明。</x:v>
      </x:c>
      <x:c r="J10" s="7" t="str">
        <x:v>2024個別比較不能</x:v>
      </x:c>
      <x:c r="K10" s="7" t="str">
        <x:v>2024差分は比較不能。ロボット動作そのものと、学習・検証用データ生成の基盤を区別。</x:v>
      </x:c>
      <x:c r="L10" s="7" t="str">
        <x:v>質量・摩擦・関節の推定をどう検証するか。自己修正ループの停止条件、実機との差とVLA向けデータの実体を確認。</x:v>
      </x:c>
      <x:c r="M10" s="7" t="str">
        <x:v>2026のライブデモ・ロボット学習用データ展示を予告。実機ロボットの作業実演とは未確認</x:v>
      </x:c>
      <x:c r="N10" s="7" t="str">
        <x:v>2026展示予定。既存製品・参考出展・構想等は原典で個別確認</x:v>
      </x:c>
      <x:c r="O10" s="7" t="str">
        <x:v>AC273</x:v>
      </x:c>
      <x:c t="str" r="P10" s="21">
        <x:f>HYPERLINK("#'展示詳細'!A"&amp;MATCH("AC273",'展示詳細'!$A$1:$A$340,0),"AC273")</x:f>
        <x:v>AC273</x:v>
      </x:c>
      <x:c r="Q10" s="7" t="str">
        <x:v>EEX-EXH-2026-016097f87d1914b2
EEX-WNDOT
ERF-06
ERF-07
ERF-08
ERF-09</x:v>
      </x:c>
      <x:c r="R10" s="7" t="str">
        <x:v>EEX-EXH-2026-016097f87d1914b2: https://www.jimtof.org/search/jp/ESdetails?e=6Ds1v9hxvrY
EEX-WNDOT: https://ndotlight.com/newsroom/ndotlight-proposes-a-new-3d-data-standard-for-the-physical-ai-era-with-trinix
ERF-06: https://ndotlight.com/
ERF-07: https://docs.omniverse.nvidia.com/simready/latest/simready-faq.html
ERF-08: https://docs.omniverse.nvidia.com/simready/latest/simready-asset-creation/physics-best-practices.html
ERF-09: https://ndotlight.com/newsroom/ndotlight-to-co-develop-dexbench-a-global-standard-for-humanoid-evaluation-with-nvidia-and-rlwrld</x:v>
      </x:c>
      <x:c r="S10" s="7" t="str">
        <x:v>CAD生成・SimReady変換。自己修正は出展説明の主張で、正解の作り方・修正判定は未公開</x:v>
      </x:c>
      <x:c r="T10" s="7" t="str">
        <x:v>NURBS等の編集可能形状と物理属性を生成し、USD/URDF/MJCF等へ出力する説明</x:v>
      </x:c>
      <x:c r="U10" s="7" t="str">
        <x:v>未記載：質量・摩擦・関節条件の実測入力と推定値の区別</x:v>
      </x:c>
      <x:c r="V10" s="7" t="str">
        <x:v>未記載：物理属性・生成形状・検証結果を人が承認する画面</x:v>
      </x:c>
      <x:c r="W10" s="7" t="str">
        <x:v>未記載：物理破綻や自己修正が収束しない時の扱い</x:v>
      </x:c>
      <x:c r="X10" s="7" t="str">
        <x:v>TRINIXは物理属性の推論と自己修正を説明済み。NVIDIAのアセット検証は周辺基盤の既存機能で、TRINIXへの搭載確認とは別。DexBenchは共同開発告知。実測正解・収束条件・実機誤差と公開ベンチの提供範囲は未確認</x:v>
      </x:c>
    </x:row>
    <x:row r="11" ht="145" customHeight="1">
      <x:c r="A11" s="7" t="str">
        <x:v>AIエージェント・対話支援</x:v>
      </x:c>
      <x:c r="B11" s="7" t="n">
        <x:v>1</x:v>
      </x:c>
      <x:c r="C11" s="7" t="str">
        <x:v>先に見る</x:v>
      </x:c>
      <x:c r="D11" s="20" t="str">
        <x:v>ベッコフオートメーション</x:v>
      </x:c>
      <x:c r="E11" s="7" t="str">
        <x:v>E2028</x:v>
      </x:c>
      <x:c r="F11" s="7" t="str">
        <x:v>TwinCAT CoAgent for Engineering：PLC
TwinCAT CoAgent for Engineering：I/O・HMI
TwinCAT CoAgent for Operations</x:v>
      </x:c>
      <x:c r="G11" s="7" t="str">
        <x:v>開発環境のPLC・I/O・HMI支援と、運用HMI上の診断・コマンドを同一企業で比較できる。製品発表段階。</x:v>
      </x:c>
      <x:c r="H11" s="7" t="str">
        <x:v>2024出展の個別詳細は未取得。ただし2023/4の企業公式発表でTwinCAT ChatによるPLCコード作成・追加・最適化・文書化を説明済み。
2024詳細不足</x:v>
      </x:c>
      <x:c r="I11" s="7" t="str">
        <x:v>2026カタログはPLC支援を掲載。製品ページで実装先・入出力を確認
2026のHMI支援記述を製品ページのI/O・画面設計で具体化
一般的なアラーム対策支援をHMI・データ接続・実行機能へ具体化</x:v>
      </x:c>
      <x:c r="J11" s="7" t="str">
        <x:v>2024以前の方式を確認・製品群を具体化
2024個別比較不能</x:v>
      </x:c>
      <x:c r="K11" s="7" t="str">
        <x:v>PLCコード支援は2023、CoAgentのPLC・I/O・HMI支援と専門家の実行承認方針は2025/6に説明済み。2026は展示記述の具体化として比較し、同年初搭載としない。
PLC・I/O・スケッチからのHMI作成は2025/6に説明済み。2024展示との差は未確定。2026をI/O・HMI支援の初登場とはしない。
2024以前のTwinCAT Chatは開発支援を説明。2026のOperationsでは運用HMI・実データ・コマンドへ対象を具体化。ただし2024展示の同名詳細がなく、初搭載年は断定しない。</x:v>
      </x:c>
      <x:c r="L11" s="7" t="str">
        <x:v>提案だけの操作と実行できる操作を実演で分ける。確認ダイアログ、権限、ログ、取り消し、国内提供時期を確認。</x:v>
      </x:c>
      <x:c r="M11" s="7" t="str">
        <x:v>JIMTOF2026公式カタログ掲載・現地未確認</x:v>
      </x:c>
      <x:c r="N11" s="7" t="str">
        <x:v>製品発表・投入時期要問い合わせ</x:v>
      </x:c>
      <x:c r="O11" s="7" t="str">
        <x:v>FC011
FC012
FC013</x:v>
      </x:c>
      <x:c t="str" r="P11" s="21">
        <x:f>HYPERLINK("#'展示詳細'!A"&amp;MATCH("FC011",'展示詳細'!$A$1:$A$340,0),"FC011")</x:f>
        <x:v>FC011</x:v>
      </x:c>
      <x:c r="Q11" s="7" t="str">
        <x:v>EOV-V005-2026-1
EAT-N03
EAT-N05
EDP-03
ERF-01
EAT-N04
ERF-02</x:v>
      </x:c>
      <x:c r="R11" s="7" t="str">
        <x:v>EOV-V005-2026-1: https://www.jimtof.org/search/jp/ESdetails?e=K7DqahO2h08
EAT-N03: https://www.beckhoff.com/ko-kr/products/automation/twincat/texxxx-twincat-3-engineering/te1700.html
EAT-N05: https://www.beckhoff.com/ko-kr/products/automation/twincat-projects-with-ai-supported-engineering/
EDP-03: https://www.beckhoff.com/en-en/company/press/twincat-chat-using-innovative-chatbot-technology-in-twincat-engineering-2023-04.html
ERF-01: https://www.beckhoff.com/en-gb/company/news/from-chatbot-to-intelligent-agent.html
EAT-N04: https://www.beckhoff.com/ko-kr/products/automation/twincat/tfxxxx-twincat-3-functions/tf1xxx-system/tf1700.html
ERF-02: https://www.beckhoff.com/en-en/products/automation/twincat/tfxxxx-twincat-3-functions/tf1xxx-system/tf1700.html</x:v>
      </x:c>
      <x:c r="S11" s="7" t="str">
        <x:v>要求とプロジェクト文脈からPLCコード案を提案
チャットでI/O構成案、スケッチからHMIレイアウト・設計案を提案
原因仮説・診断・対処案を機械・工程データと文書に基づいて作成</x:v>
      </x:c>
      <x:c r="T11" s="7" t="str">
        <x:v>TwinCAT開発環境でPLCコード案を生成。コンパイル・実機書込み・制御開始まで自動とは未確認
I/O設定とHMI画面の案を作成。機器接続確認・実機への適用権限は未公開
チャットからTwinCATコマンド実行・可視化照会を説明。許可コマンドの範囲は非開示</x:v>
      </x:c>
      <x:c r="U11" s="7" t="str">
        <x:v>公式：設計者が要求やスケッチを入力。機種・プロジェクトを準備
公式：自社保守手順・知識ベースを追加できる</x:v>
      </x:c>
      <x:c r="V11" s="7" t="str">
        <x:v>公式2025/6/13：専門家が生成結果を確認・確定・実行承認する方針。コンパイル・実機書込み・起動の個別画面と権限は未確認
公式2025/6/13：人が結果を確認・調整し、実行を承認する方針。I/O・HMIの変更反映、実機適用の個別権限は未確認
公式：専門家が制御権を保持。毎回承認の有無、書込先・コマンド権限は未確認</x:v>
      </x:c>
      <x:c r="W11" s="7" t="str">
        <x:v>未記載：誤った関数・I/O設定時の自動検証、ロールバック
未記載：コマンド失敗時の復旧、二重実行、誤診断からの引継ぎ</x:v>
      </x:c>
      <x:c r="X11" s="7" t="str">
        <x:v>製品発表段階・市場投入時期は要問合せ。提案と実機制御を混同しない
10/18の製品ページでも製品発表・投入時期要問合せ。命令ごとの許可・人の承認・二重実行防止・失敗復帰は未記載。Engineeringの承認方針だけでOperationsの毎回承認を断定しない</x:v>
      </x:c>
    </x:row>
    <x:row r="12" ht="145" customHeight="1">
      <x:c r="A12" s="7" t="str">
        <x:v>AIエージェント・対話支援</x:v>
      </x:c>
      <x:c r="B12" s="7" t="n">
        <x:v>2</x:v>
      </x:c>
      <x:c r="C12" s="7" t="str">
        <x:v>先に見る</x:v>
      </x:c>
      <x:c r="D12" s="20" t="str">
        <x:v>匠技研工業</x:v>
      </x:c>
      <x:c r="E12" s="7" t="str">
        <x:v>S3011</x:v>
      </x:c>
      <x:c r="F12" s="7" t="str">
        <x:v>匠フォース：業務AIエージェント</x:v>
      </x:c>
      <x:c r="G12" s="7" t="str">
        <x:v>見積等の業務フローを進めるエージェント。設備操作を助けるCoAgentと、対象データ・実行権限を比較する。</x:v>
      </x:c>
      <x:c r="H12" s="7" t="str">
        <x:v>2024詳細なし</x:v>
      </x:c>
      <x:c r="I12" s="7" t="str">
        <x:v>2026/7/17のメーカー発表で、引合メール受領・図面認識・原価計算・類似参照・見積書生成と、人の確認修正承認・再学習を具体化。</x:v>
      </x:c>
      <x:c r="J12" s="7" t="str">
        <x:v>2024個別比較不能</x:v>
      </x:c>
      <x:c r="K12" s="7" t="str">
        <x:v>2024同名出展資料がなく展示間比較は不能。2026年7月の新プロダクト発表は確認。従来サービスの開始年とエージェント機能の発表年は分ける。</x:v>
      </x:c>
      <x:c r="L12" s="7" t="str">
        <x:v>どの業務のどの入力から、何を作成・更新するか。人の承認前後、差戻し、既存システムへの書込みを示してもらう。</x:v>
      </x:c>
      <x:c r="M12" s="7" t="str">
        <x:v>JIMTOF2026公式カタログ掲載・現地未確認</x:v>
      </x:c>
      <x:c r="N12" s="7" t="str">
        <x:v>2026年7月に新プロダクト発表。顧客別提供・JIMTOF展示版の権限は要確認</x:v>
      </x:c>
      <x:c r="O12" s="7" t="str">
        <x:v>FC062</x:v>
      </x:c>
      <x:c t="str" r="P12" s="21">
        <x:f>HYPERLINK("#'展示詳細'!A"&amp;MATCH("FC062",'展示詳細'!$A$1:$A$340,0),"FC062")</x:f>
        <x:v>FC062</x:v>
      </x:c>
      <x:c r="Q12" s="7" t="str">
        <x:v>EOV-V041-2026-1
EDP-05</x:v>
      </x:c>
      <x:c r="R12" s="7" t="str">
        <x:v>EOV-V041-2026-1: https://www.jimtof.org/search/jp/ESdetails?e=i_4zCxJP258
EDP-05: https://prtimes.jp/main/html/rd/p/000000031.000057137.html</x:v>
      </x:c>
      <x:c r="S12" s="7" t="str">
        <x:v>図面認識、類似案件参照、材料費・加工費・自社見積金額の算出</x:v>
      </x:c>
      <x:c r="T12" s="7" t="str">
        <x:v>引合受領から見積書のたたき台を生成。人の修正を次回の学習へ還元する説明</x:v>
      </x:c>
      <x:c r="U12" s="7" t="str">
        <x:v>公式：過去見積・原価・自社の見積ロジックを利用</x:v>
      </x:c>
      <x:c r="V12" s="7" t="str">
        <x:v>公式：担当者が根拠を見て確認・修正・承認</x:v>
      </x:c>
      <x:c r="W12" s="7" t="str">
        <x:v>未記載：図面不足・矛盾、再学習の誤更新、承認前の社外送信</x:v>
      </x:c>
      <x:c r="X12" s="7" t="str">
        <x:v>見積以外の管理業務全体への展開は将来。自動送信・ERP更新の権限は未確認</x:v>
      </x:c>
    </x:row>
    <x:row r="13" ht="145" customHeight="1">
      <x:c r="A13" s="7" t="str">
        <x:v>AIエージェント・対話支援</x:v>
      </x:c>
      <x:c r="B13" s="7" t="n">
        <x:v>3</x:v>
      </x:c>
      <x:c r="C13" s="7" t="str">
        <x:v>方式を比較</x:v>
      </x:c>
      <x:c r="D13" s="20" t="str">
        <x:v>EPLAN</x:v>
      </x:c>
      <x:c r="E13" s="7" t="str">
        <x:v>S1067</x:v>
      </x:c>
      <x:c r="F13" s="7" t="str">
        <x:v>Eplan Copilot</x:v>
      </x:c>
      <x:c r="G13" s="7" t="str">
        <x:v>設計文脈を使う回答・手順支援。自動操作の将来構想と現在利用できる機能を切り分けられる。</x:v>
      </x:c>
      <x:c r="H13" s="7" t="str">
        <x:v>2024はデータ連携・3D盤設計</x:v>
      </x:c>
      <x:c r="I13" s="7" t="str">
        <x:v>2026はCopilotによる知識・操作支援を追加記載</x:v>
      </x:c>
      <x:c r="J13" s="7" t="str">
        <x:v>担当タスクの追加記載</x:v>
      </x:c>
      <x:c r="K13" s="7" t="str">
        <x:v>出展説明・公式資料の記載比較。初発明年・実演成功・性能向上を証明するものではない。</x:v>
      </x:c>
      <x:c r="L13" s="7" t="str">
        <x:v>今回の展示版で実際に設計データを変更できるか。回答支援と盤レイアウト自動生成の提供段階を分ける。</x:v>
      </x:c>
      <x:c r="M13" s="7" t="str">
        <x:v>JIMTOF2026公式カタログ掲載・現地未確認</x:v>
      </x:c>
      <x:c r="N13" s="7" t="str">
        <x:v>支援機能紹介。自動操作・盤レイアウト自動生成は将来構想</x:v>
      </x:c>
      <x:c r="O13" s="7" t="str">
        <x:v>FC017</x:v>
      </x:c>
      <x:c t="str" r="P13" s="21">
        <x:f>HYPERLINK("#'展示詳細'!A"&amp;MATCH("FC017",'展示詳細'!$A$1:$A$340,0),"FC017")</x:f>
        <x:v>FC017</x:v>
      </x:c>
      <x:c r="Q13" s="7" t="str">
        <x:v>EOV-V006-2024-1
EOV-V006-2026-1
EAT-N06</x:v>
      </x:c>
      <x:c r="R13" s="7" t="str">
        <x:v>EOV-V006-2024-1: https://www.jimtof.org/2024/search/jp/ESdetails?e=50efK4rQsHs
EOV-V006-2026-1: https://www.jimtof.org/search/jp/ESdetails?e=FHsQAvmFusY
EAT-N06: https://www.eplan.com/us-en/about-us/innovations/eplan-copilot/</x:v>
      </x:c>
      <x:c r="S13" s="7" t="str">
        <x:v>文脈に応じた回答・推奨・手順を生成</x:v>
      </x:c>
      <x:c r="T13" s="7" t="str">
        <x:v>現在の説明は案内・操作支援。自動操作・工程開始のオーケストレーションは将来構想</x:v>
      </x:c>
      <x:c r="U13" s="7" t="str">
        <x:v>公式：ユーザーが作業を自然言語で説明</x:v>
      </x:c>
      <x:c r="V13" s="7" t="str">
        <x:v>公式：意思決定者は人。設計変更の自動採用を現在機能と扱わない</x:v>
      </x:c>
      <x:c r="W13" s="7" t="str">
        <x:v>未記載：誤回答・誤った部品選択の検証と復旧</x:v>
      </x:c>
      <x:c r="X13" s="7" t="str">
        <x:v>盤レイアウト自動生成は構想段階。想定削減率を実績と扱わない</x:v>
      </x:c>
    </x:row>
    <x:row r="14" ht="145" customHeight="1">
      <x:c r="A14" s="7" t="str">
        <x:v>AIエージェント・対話支援</x:v>
      </x:c>
      <x:c r="B14" s="7" t="n">
        <x:v>4</x:v>
      </x:c>
      <x:c r="C14" s="7" t="str">
        <x:v>接続を比較</x:v>
      </x:c>
      <x:c r="D14" s="20" t="str">
        <x:v>たけびし</x:v>
      </x:c>
      <x:c r="E14" s="7" t="str">
        <x:v>S3015</x:v>
      </x:c>
      <x:c r="F14" s="7" t="str">
        <x:v>OPC UA情報モデルとエージェント連携</x:v>
      </x:c>
      <x:c r="G14" s="7" t="str">
        <x:v>2024のOPC UA情報モデルに対し、2026はエージェント連携シナリオを明記。業務AIと設備データの接点。</x:v>
      </x:c>
      <x:c r="H14" s="7" t="str">
        <x:v>OPC UA情報モデル・多ベンダー接続を説明</x:v>
      </x:c>
      <x:c r="I14" s="7" t="str">
        <x:v>AIエージェントへの連携シナリオを明記</x:v>
      </x:c>
      <x:c r="J14" s="7" t="str">
        <x:v>担当タスクの追加記載</x:v>
      </x:c>
      <x:c r="K14" s="7" t="str">
        <x:v>2024のOPC UA・多ベンダー接続に対し、2026はMCP AdapterとAI利用シナリオを追加説明。接続基盤の拡張であり、自律判断の搭載実績ではない。</x:v>
      </x:c>
      <x:c r="L14" s="7" t="str">
        <x:v>エージェントが読む情報の単位・更新頻度・意味付けと、書込み権限・誤操作防止の責任分界を確認。</x:v>
      </x:c>
      <x:c r="M14" s="7" t="str">
        <x:v>JIMTOF2026公式カタログ掲載・現地未確認</x:v>
      </x:c>
      <x:c r="N14" s="7" t="str">
        <x:v>OPC製品は既存。MCP Adapterは2026年6月のメーカー寄稿で提供計画。現在の提供版は要確認</x:v>
      </x:c>
      <x:c r="O14" s="7" t="str">
        <x:v>FC024</x:v>
      </x:c>
      <x:c t="str" r="P14" s="21">
        <x:f>HYPERLINK("#'展示詳細'!A"&amp;MATCH("FC024",'展示詳細'!$A$1:$A$340,0),"FC024")</x:f>
        <x:v>FC024</x:v>
      </x:c>
      <x:c r="Q14" s="7" t="str">
        <x:v>EOV-V011-2024-1
EOV-V011-2026-1
EDP-06</x:v>
      </x:c>
      <x:c r="R14" s="7" t="str">
        <x:v>EOV-V011-2024-1: https://www.jimtof.org/2024/search/jp/ESdetails?e=SiZMI-OH8_k
EOV-V011-2026-1: https://www.jimtof.org/search/jp/ESdetails?e=Qh27DAtEkbw
EDP-06: https://opcconnect.opcfoundation.org/2026/06/toward-realizing-ai-utilization-in-manufacturing-exploring-the-potential-of-integrating-the-opc-ua-information-model-with-ai-agents/</x:v>
      </x:c>
      <x:c r="S14" s="7" t="str">
        <x:v>OPC製品自体がAI判断するとは記載なし。分析・保全支援は接続先エージェントの用途</x:v>
      </x:c>
      <x:c r="T14" s="7" t="str">
        <x:v>設備データを構造化して提供。OPC UA×MCP Adapterは提供を計画と記載</x:v>
      </x:c>
      <x:c r="U14" s="7" t="str">
        <x:v>分析：接続機器・情報モデル・公開するデータ／メソッドの定義が必要。設定者は要確認</x:v>
      </x:c>
      <x:c r="V14" s="7" t="str">
        <x:v>未記載：読出しと書込みの区別、メソッド実行の承認・許可リスト</x:v>
      </x:c>
      <x:c r="W14" s="7" t="str">
        <x:v>未記載：状態誤解釈・通信切断・誤ったメソッド呼出し時の復帰</x:v>
      </x:c>
      <x:c r="X14" s="7" t="str">
        <x:v>接続シナリオと提供計画を実装済みの機械制御と扱わない</x:v>
      </x:c>
    </x:row>
    <x:row r="15" ht="145" customHeight="1">
      <x:c r="A15" s="7" t="str">
        <x:v>加工準備・業務AI</x:v>
      </x:c>
      <x:c r="B15" s="7" t="n">
        <x:v>1</x:v>
      </x:c>
      <x:c r="C15" s="7" t="str">
        <x:v>先に見る</x:v>
      </x:c>
      <x:c r="D15" s="20" t="str">
        <x:v>Hexagon Manufacturing Intelligence</x:v>
      </x:c>
      <x:c r="E15" s="7" t="str">
        <x:v>E2013</x:v>
      </x:c>
      <x:c r="F15" s="7" t="str">
        <x:v>ESPRIT EDGE ProPlanAI</x:v>
      </x:c>
      <x:c r="G15" s="7" t="str">
        <x:v>加工履歴から工程案を提示するAI CAM。対象加工と実用範囲が公式製品説明で具体化されている。</x:v>
      </x:c>
      <x:c r="H15" s="7" t="str">
        <x:v>同名2024詳細なし。別名称・旧法人との照合は未完了</x:v>
      </x:c>
      <x:c r="I15" s="7" t="str">
        <x:v>2025.2で導入説明、2026.1で旋削・複合・スイス型の商用範囲を説明</x:v>
      </x:c>
      <x:c r="J15" s="7" t="str">
        <x:v>2024個別比較不能</x:v>
      </x:c>
      <x:c r="K15" s="7" t="str">
        <x:v>2024同名資料との展示比較は不能。公式リリース履歴で2025.2の学習型工程予測、2026.1の旋削等商用拡張を確認。CAM Assistの物理・加工ルール型と学習源を分けて比較。</x:v>
      </x:c>
      <x:c r="L15" s="7" t="str">
        <x:v>同一部品で工程案、工具・機械制約、人の修正、NC検証と実加工までの残作業を確認。</x:v>
      </x:c>
      <x:c r="M15" s="7" t="str">
        <x:v>JIMTOF2026公式カタログ掲載・現地未確認</x:v>
      </x:c>
      <x:c r="N15" s="7" t="str">
        <x:v>メーカーが商用提供範囲を説明・顧客実績未確認</x:v>
      </x:c>
      <x:c r="O15" s="7" t="str">
        <x:v>FC018</x:v>
      </x:c>
      <x:c t="str" r="P15" s="21">
        <x:f>HYPERLINK("#'展示詳細'!A"&amp;MATCH("FC018",'展示詳細'!$A$1:$A$340,0),"FC018")</x:f>
        <x:v>FC018</x:v>
      </x:c>
      <x:c r="Q15" s="7" t="str">
        <x:v>EOV-V007-2026-2
EOV-W02</x:v>
      </x:c>
      <x:c r="R15" s="7" t="str">
        <x:v>EOV-V007-2026-2: https://www.jimtof.org/search/jp/ESdetails?e=6l20Qo0pjl4
EOV-W02: https://hexagon.com/products/esprit-edge/release-highlights</x:v>
      </x:c>
      <x:c r="S15" s="7" t="str">
        <x:v>自動特徴認識と工程予測。過去ジョブから新部品の加工工程を提案</x:v>
      </x:c>
      <x:c r="T15" s="7" t="str">
        <x:v>ESPRIT EDGE内の加工工程案を生成。2026.1は旋削・複合・スイス型に商用範囲を拡張</x:v>
      </x:c>
      <x:c r="U15" s="7" t="str">
        <x:v>公式：過去ジョブを利用。分析：工具・機械・段取り等の整合確認が必要</x:v>
      </x:c>
      <x:c r="V15" s="7" t="str">
        <x:v>推論：予測フィードバック画面で確認可能。最終NC採否・検証・実機実行の権限は未公開</x:v>
      </x:c>
      <x:c r="W15" s="7" t="str">
        <x:v>未記載：履歴にない形状・工具欠品・異なる機械への対応と誤案修正</x:v>
      </x:c>
      <x:c r="X15" s="7" t="str">
        <x:v>2025.2は旋削beta、2026.1は商用化。JIMTOFで動くバージョン・加工条件は確認が必要</x:v>
      </x:c>
    </x:row>
    <x:row r="16" ht="145" customHeight="1">
      <x:c r="A16" s="7" t="str">
        <x:v>加工準備・業務AI</x:v>
      </x:c>
      <x:c r="B16" s="7" t="n">
        <x:v>2</x:v>
      </x:c>
      <x:c r="C16" s="7" t="str">
        <x:v>先に見る</x:v>
      </x:c>
      <x:c r="D16" s="20" t="str">
        <x:v>タクテックス株式会社</x:v>
      </x:c>
      <x:c r="E16" s="7" t="str">
        <x:v>S1016</x:v>
      </x:c>
      <x:c r="F16" s="7" t="str">
        <x:v>CAM Assist for SolidCAM／SolidShop</x:v>
      </x:c>
      <x:c r="G16" s="7" t="str">
        <x:v>SolidCAMの既存CAM・計測支援にAI CAM支援を追加記載。CAM内での支援範囲を比較する。</x:v>
      </x:c>
      <x:c r="H16" s="7" t="str">
        <x:v>2024はSolidCAM、iMachining、SolidProbeと実機・プローブ連携。</x:v>
      </x:c>
      <x:c r="I16" s="7" t="str">
        <x:v>2026は形状からのAI CAM支援、生成AIセミナー、SolidShopによる設備接続を追加掲載。</x:v>
      </x:c>
      <x:c r="J16" s="7" t="str">
        <x:v>担当タスクの追加記載</x:v>
      </x:c>
      <x:c r="K16" s="7" t="str">
        <x:v>2024のiMachining・SolidProbeと、2026に記載されたCAM Assistを分ける。開発元はSolidCAM 2025 SP4対応を説明。過去ジョブ学習型と同じ方式と推測しない。</x:v>
      </x:c>
      <x:c r="L16" s="7" t="str">
        <x:v>形状からどの工程・工具・経路が作られるか。FC018/FC020と同じ部品・機械制約で比較する。</x:v>
      </x:c>
      <x:c r="M16" s="7" t="str">
        <x:v>2026公式カタログ掲載・現地未確認</x:v>
      </x:c>
      <x:c r="N16" s="7" t="str">
        <x:v>2026展示予定。既存製品・参考出展・構想等は原典で個別確認</x:v>
      </x:c>
      <x:c r="O16" s="7" t="str">
        <x:v>AC131</x:v>
      </x:c>
      <x:c t="str" r="P16" s="21">
        <x:f>HYPERLINK("#'展示詳細'!A"&amp;MATCH("AC131",'展示詳細'!$A$1:$A$340,0),"AC131")</x:f>
        <x:v>AC131</x:v>
      </x:c>
      <x:c r="Q16" s="7" t="str">
        <x:v>EEX-EXH-2026-0436fc7b61f51a8e
EEX-EXH-2024-eb84f3b7fa9cf6db
EDP-07
EDP-08
ERF-04</x:v>
      </x:c>
      <x:c r="R16" s="7" t="str">
        <x:v>EEX-EXH-2026-0436fc7b61f51a8e: https://www.jimtof.org/search/jp/ESdetails?e=2TVzwvOqLxI
EEX-EXH-2024-eb84f3b7fa9cf6db: https://www.jimtof.org/2024/search/jp/ESdetails?e=p_i9WuUhNRg
EDP-07: https://www.cloudnc.com/ja/solidcam
EDP-08: https://help.solidcam.com/topics/solutions/cloudnc-cam-assist.htm
ERF-04: https://help.solidcam.com/topics/solutions/cloudnc-cam-assist.htm</x:v>
      </x:c>
      <x:c r="S16" s="7" t="str">
        <x:v>加工性を評価し、3軸・3+2軸の加工戦略・工具経路・条件案を生成</x:v>
      </x:c>
      <x:c r="T16" s="7" t="str">
        <x:v>SolidCAM内に編集可能な加工オペレーションを生成。シミュレーション・検証・NC出力は既存フロー</x:v>
      </x:c>
      <x:c r="U16" s="7" t="str">
        <x:v>公式：工具・材料・保持・機械、加工方向と回避範囲を設定</x:v>
      </x:c>
      <x:c r="V16" s="7" t="str">
        <x:v>公式：生成案を確認・編集し、工程順序を変更して採用。最終加工の制御権はプログラマー</x:v>
      </x:c>
      <x:c r="W16" s="7" t="str">
        <x:v>公式：非対応形状等を加工性評価で表示。その他の例外処理は未確認</x:v>
      </x:c>
      <x:c r="X16" s="7" t="str">
        <x:v>当面3軸・3+2軸ミル。複雑な同時5軸・旋削等の範囲と国内版は要確認。通信が必要</x:v>
      </x:c>
    </x:row>
    <x:row r="17" ht="145" customHeight="1">
      <x:c r="A17" s="7" t="str">
        <x:v>加工準備・業務AI</x:v>
      </x:c>
      <x:c r="B17" s="7" t="n">
        <x:v>3</x:v>
      </x:c>
      <x:c r="C17" s="7" t="str">
        <x:v>方式を比較</x:v>
      </x:c>
      <x:c r="D17" s="20" t="str">
        <x:v>ジェービーエムエンジニアリング</x:v>
      </x:c>
      <x:c r="E17" s="7" t="str">
        <x:v>E2002</x:v>
      </x:c>
      <x:c r="F17" s="7" t="str">
        <x:v>Mastercam＋CAMAssist</x:v>
      </x:c>
      <x:c r="G17" s="7" t="str">
        <x:v>Mastercam向けCAMAssistは世界では2024年7月に提供発表済み。2026の国内展示版と、人が修正・検証する範囲を見る。</x:v>
      </x:c>
      <x:c r="H17" s="7" t="str">
        <x:v>2024のJBM出展説明はMastercam等を掲載。開発元CloudNCは2024/7/25にMastercam向けCAM Assist提供開始を公式発表（北米販売説明）。</x:v>
      </x:c>
      <x:c r="I17" s="7" t="str">
        <x:v>CAMAssistの手作業自動化を追加記載</x:v>
      </x:c>
      <x:c r="J17" s="7" t="str">
        <x:v>2024に提供発表済み・2026出展記述を具体化</x:v>
      </x:c>
      <x:c r="K17" s="7" t="str">
        <x:v>2026出展説明へのCAMAssist追加を、世界初登場と扱わない。2024時点の3軸・3+2軸と2026国内展示版の加工性評価・条件・修正支援の差を確認。</x:v>
      </x:c>
      <x:c r="L17" s="7" t="str">
        <x:v>自動生成できない加工、修正履歴、工具ライブラリ、ポストと干渉検証のつながりを確認。</x:v>
      </x:c>
      <x:c r="M17" s="7" t="str">
        <x:v>JIMTOF2026公式カタログ掲載・現地未確認</x:v>
      </x:c>
      <x:c r="N17" s="7" t="str">
        <x:v>2026展示予定・提供段階未確認</x:v>
      </x:c>
      <x:c r="O17" s="7" t="str">
        <x:v>FC020</x:v>
      </x:c>
      <x:c t="str" r="P17" s="21">
        <x:f>HYPERLINK("#'展示詳細'!A"&amp;MATCH("FC020",'展示詳細'!$A$1:$A$340,0),"FC020")</x:f>
        <x:v>FC020</x:v>
      </x:c>
      <x:c r="Q17" s="7" t="str">
        <x:v>EOV-V008-2024-1
EOV-V008-2024-2
EOV-V008-2026-1
EDP-09
EDP-10
ERF-03</x:v>
      </x:c>
      <x:c r="R17" s="7" t="str">
        <x:v>EOV-V008-2024-1: https://www.jimtof.org/2024/search/jp/ESdetails?e=G-8gydwhMvE
EOV-V008-2024-2: https://www.jimtof.org/2024/search/jp/ESdetails?e=ZBxZW2vyjUw
EOV-V008-2026-1: https://www.jimtof.org/search/jp/ESdetails?e=VrAjMTKmxdw
EDP-09: https://www.cloudnc.com/ja/mastercam
EDP-10: https://www.cloudnc.com/news-room/cam-assist-the-first-ai-plug-in-for-cam-is-now-available-for-mastercam
ERF-03: https://www.cloudnc.com/ja/mastercam</x:v>
      </x:c>
      <x:c r="S17" s="7" t="str">
        <x:v>加工法の候補を検討し工程・経路・切削条件案を選ぶという説明。顧客のMastercamデータで学習しないと明記</x:v>
      </x:c>
      <x:c r="T17" s="7" t="str">
        <x:v>Mastercam内で修正・シミュレーション可能な工程を作成。人がポスト処理してNCを準備</x:v>
      </x:c>
      <x:c r="U17" s="7" t="str">
        <x:v>公式：工具・材料・保持・機械と加工方向・回避範囲を指定</x:v>
      </x:c>
      <x:c r="V17" s="7" t="str">
        <x:v>公式：AI戦略を確認・調整してからCAMへ送る。実機の自動運転開始とは別</x:v>
      </x:c>
      <x:c r="W17" s="7" t="str">
        <x:v>公式：材料不足・非対応形状等を事前表示。未検出の危険や最終修正は現地で確認</x:v>
      </x:c>
      <x:c r="X17" s="7" t="str">
        <x:v>3軸・3+2軸ミル中心。2024/7/25に世界向けMastercam対応を発表済み。日本版の供給・展示年とは別</x:v>
      </x:c>
    </x:row>
    <x:row r="18" ht="145" customHeight="1">
      <x:c r="A18" s="7" t="str">
        <x:v>加工準備・業務AI</x:v>
      </x:c>
      <x:c r="B18" s="7" t="n">
        <x:v>4</x:v>
      </x:c>
      <x:c r="C18" s="7" t="str">
        <x:v>方式を比較</x:v>
      </x:c>
      <x:c r="D18" s="20" t="str">
        <x:v>有限会社ツールディスカバリー</x:v>
      </x:c>
      <x:c r="E18" s="7" t="str">
        <x:v>W1069</x:v>
      </x:c>
      <x:c r="F18" s="7" t="str">
        <x:v>切削加工条件カリキュレーター</x:v>
      </x:c>
      <x:c r="G18" s="7" t="str">
        <x:v>スマホで工具・材種・加工方法を選び条件の目安を得る。工程・経路生成と異なる軽量な条件支援。</x:v>
      </x:c>
      <x:c r="H18" s="7" t="str">
        <x:v>同一名称の2024詳細なし。法人同一性を含む別名照合は未実施。</x:v>
      </x:c>
      <x:c r="I18" s="7" t="str">
        <x:v>スマホで工具・被削材・加工方法を選び、AI最適化した切削条件の目安を出して共有する。</x:v>
      </x:c>
      <x:c r="J18" s="7" t="str">
        <x:v>2024個別比較不能</x:v>
      </x:c>
      <x:c r="K18" s="7" t="str">
        <x:v>2024差分は比較不能。CAM内の工程生成と、条件目安の提示の違いを比較する。</x:v>
      </x:c>
      <x:c r="L18" s="7" t="str">
        <x:v>AIの算定根拠、適用工具・材種、機械剛性・突出しを入力するか、条件の検証方法を確認。</x:v>
      </x:c>
      <x:c r="M18" s="7" t="str">
        <x:v>2026公式カタログ掲載・現地未確認</x:v>
      </x:c>
      <x:c r="N18" s="7" t="str">
        <x:v>2026展示予定。既存製品・参考出展・構想等は原典で個別確認</x:v>
      </x:c>
      <x:c r="O18" s="7" t="str">
        <x:v>AC136</x:v>
      </x:c>
      <x:c t="str" r="P18" s="21">
        <x:f>HYPERLINK("#'展示詳細'!A"&amp;MATCH("AC136",'展示詳細'!$A$1:$A$340,0),"AC136")</x:f>
        <x:v>AC136</x:v>
      </x:c>
      <x:c r="Q18" s="7" t="str">
        <x:v>EEX-EXH-2026-d383a51fea03ae6e
ERF-12</x:v>
      </x:c>
      <x:c r="R18" s="7" t="str">
        <x:v>EEX-EXH-2026-d383a51fea03ae6e: https://www.jimtof.org/search/jp/ESdetails?e=2N7pXq5Aehs
ERF-12: https://www.jimtof.org/search/jp/ExhibitorDetails?b=W1069</x:v>
      </x:c>
      <x:c r="S18" s="7" t="str">
        <x:v>AIで最適化した条件の目安と説明。学習・算定モデルや制約は未公開</x:v>
      </x:c>
      <x:c r="T18" s="7" t="str">
        <x:v>切削条件を表示し共有。機械への条件書込み・NC作成は記載なし</x:v>
      </x:c>
      <x:c r="U18" s="7" t="str">
        <x:v>公式出展説明：作業者が3項目を選ぶ</x:v>
      </x:c>
      <x:c r="V18" s="7" t="str">
        <x:v>分析：目安を実加工へ採用する判断は別。承認画面・検証方法は未記載</x:v>
      </x:c>
      <x:c r="W18" s="7" t="str">
        <x:v>未記載：未対応材種・工具や、推奨が成立しない加工条件の警告</x:v>
      </x:c>
      <x:c r="X18" s="7" t="str">
        <x:v>10/18のW1069公式合同掲載でも条件目安・共有まで。AIの算定、考慮制約、実加工の確認手順は未公開。補足技術資料未確認を保持</x:v>
      </x:c>
    </x:row>
    <x:row r="19" ht="145" customHeight="1">
      <x:c r="A19" s="7" t="str">
        <x:v>加工準備・業務AI</x:v>
      </x:c>
      <x:c r="B19" s="7" t="n">
        <x:v>5</x:v>
      </x:c>
      <x:c r="C19" s="7" t="str">
        <x:v>業務用途を比較</x:v>
      </x:c>
      <x:c r="D19" s="20" t="str">
        <x:v>株式会社Fact Base</x:v>
      </x:c>
      <x:c r="E19" s="7" t="str">
        <x:v>S3017</x:v>
      </x:c>
      <x:c r="F19" s="7" t="str">
        <x:v>ズメーン：図面・関連文書管理とAI</x:v>
      </x:c>
      <x:c r="G19" s="7" t="str">
        <x:v>図面検索に見積・検査書を結び付ける。AI CAMとは異なる、加工前後の情報探索・登録負担を見る。</x:v>
      </x:c>
      <x:c r="H19" s="7" t="str">
        <x:v>同一名称の2024詳細なし。</x:v>
      </x:c>
      <x:c r="I19" s="7" t="str">
        <x:v>図面を検索し、見積・検査書等を紐づけ管理。AIで登録から運用を支援との説明。</x:v>
      </x:c>
      <x:c r="J19" s="7" t="str">
        <x:v>2024個別比較不能</x:v>
      </x:c>
      <x:c r="K19" s="7" t="str">
        <x:v>2024差分は比較不能。検索・関連付け・AI支援の担当範囲を具体化する。</x:v>
      </x:c>
      <x:c r="L19" s="7" t="str">
        <x:v>AIがOCR・類似検索・登録のどこを担うか。図面改訂、誤関連の訂正、権限と運用工数を確認。</x:v>
      </x:c>
      <x:c r="M19" s="7" t="str">
        <x:v>2026公式カタログ掲載・現地未確認</x:v>
      </x:c>
      <x:c r="N19" s="7" t="str">
        <x:v>2026展示予定。既存製品・参考出展・構想等は原典で個別確認</x:v>
      </x:c>
      <x:c r="O19" s="7" t="str">
        <x:v>AC195</x:v>
      </x:c>
      <x:c t="str" r="P19" s="21">
        <x:f>HYPERLINK("#'展示詳細'!A"&amp;MATCH("AC195",'展示詳細'!$A$1:$A$340,0),"AC195")</x:f>
        <x:v>AC195</x:v>
      </x:c>
      <x:c r="Q19" s="7" t="str">
        <x:v>EEX-EXH-2026-3b6a1de81c17dfee
EDP-11</x:v>
      </x:c>
      <x:c r="R19" s="7" t="str">
        <x:v>EEX-EXH-2026-3b6a1de81c17dfee: https://www.jimtof.org/search/jp/ESdetails?e=hZaNogHdQM4
EDP-11: https://lp.zume-n.com/case-1/sagadainichi</x:v>
      </x:c>
      <x:c r="S19" s="7" t="str">
        <x:v>メーカー掲載の顧客事例でAI・OCRの自動文字読取りを確認。登録AIの全機能・類似度方式は不明</x:v>
      </x:c>
      <x:c r="T19" s="7" t="str">
        <x:v>図面を登録・検索し周辺資料と紐付けて共有。AIが見積金額を決める証拠ではない</x:v>
      </x:c>
      <x:c r="U19" s="7" t="str">
        <x:v>公式顧客事例：ドラッグ＆ドロップで登録、図面の回転・分割を利用</x:v>
      </x:c>
      <x:c r="V19" s="7" t="str">
        <x:v>公式顧客事例：文字読取り結果を人の目で確認・補正できる</x:v>
      </x:c>
      <x:c r="W19" s="7" t="str">
        <x:v>未記載：誤関連・版違い・検索漏れを検出する仕組みと権限</x:v>
      </x:c>
      <x:c r="X19" s="7" t="str">
        <x:v>導入事例はメーカー編集の顧客発言。工数の因果・精度の独立検証ではない。OCRを自律エージェントと扱わない</x:v>
      </x:c>
    </x:row>
    <x:row r="20" ht="145" customHeight="1">
      <x:c r="A20" s="7" t="str">
        <x:v>検査・診断・予測AI</x:v>
      </x:c>
      <x:c r="B20" s="7" t="n">
        <x:v>1</x:v>
      </x:c>
      <x:c r="C20" s="7" t="str">
        <x:v>先に見る</x:v>
      </x:c>
      <x:c r="D20" s="20" t="str">
        <x:v>モリマシナリー</x:v>
      </x:c>
      <x:c r="E20" s="7" t="str">
        <x:v>S3048</x:v>
      </x:c>
      <x:c r="F20" s="7" t="str">
        <x:v>ツールコラージュ
ツールコラージュアナライザー</x:v>
      </x:c>
      <x:c r="G20" s="7" t="str">
        <x:v>2024にある工具欠け・摩耗判定と、2026に具体掲載された寿命・交換提案を分けて比較できる。</x:v>
      </x:c>
      <x:c r="H20" s="7" t="str">
        <x:v>診断箇所自動認知とAI摩耗判定を説明済み
2024展示は主に欠け・摩耗判定。寿命推定研究は2023にも発表</x:v>
      </x:c>
      <x:c r="I20" s="7" t="str">
        <x:v>撮像・AI・判定記録を継続掲載
2026はアナライザーと寿命・交換提案を具体掲載</x:v>
      </x:c>
      <x:c r="J20" s="7" t="str">
        <x:v>2024から継続
担当タスクの追加記載</x:v>
      </x:c>
      <x:c r="K20" s="7" t="str">
        <x:v>出展説明・公式資料の記載比較。初発明年・実演成功・性能向上を証明するものではない。
2024出展は欠け・摩耗判定が中心。寿命推定の研究は2023に公式発表済み。2026のアナライザー掲載は製品・用途の具体化であり、予測技術の初発明ではない。</x:v>
      </x:c>
      <x:c r="L20" s="7" t="str">
        <x:v>同じ工具・材種で摩耗の判定と残寿命推定を比較。必要な履歴量、誤判定、交換提案を人が採用する条件は。</x:v>
      </x:c>
      <x:c r="M20" s="7" t="str">
        <x:v>JIMTOF2026公式カタログ掲載・現地未確認</x:v>
      </x:c>
      <x:c r="N20" s="7" t="str">
        <x:v>2026展示予定・提供段階未確認
2026展示予定・寿命推定研究自体は既存</x:v>
      </x:c>
      <x:c r="O20" s="7" t="str">
        <x:v>FC039
FC040</x:v>
      </x:c>
      <x:c t="str" r="P20" s="21">
        <x:f>HYPERLINK("#'展示詳細'!A"&amp;MATCH("FC039",'展示詳細'!$A$1:$A$340,0),"FC039")</x:f>
        <x:v>FC039</x:v>
      </x:c>
      <x:c r="Q20" s="7" t="str">
        <x:v>EOV-V024-2024-1
EOV-V024-2026-1
EDP-12
EOV-W08</x:v>
      </x:c>
      <x:c r="R20" s="7" t="str">
        <x:v>EOV-V024-2024-1: https://www.jimtof.org/2024/search/jp/ESdetails?e=yEoPl5sH6Sg
EOV-V024-2026-1: https://www.jimtof.org/search/jp/ESdetails?e=ZvT3Lci-hnM
EDP-12: https://mori-machinery.com/en/product/tool-sommelier?post_id=1066
EOV-W08: https://mori-machinery.com/wp-content/uploads/2023/06/%E7%86%9F%E7%B7%B4%E8%80%85%E3%81%AE%E7%B5%8C%E9%A8%93%E7%9F%A5%E3%82%92%E3%82%82%E3%81%A8%E3%81%AB%E5%88%87%E5%89%8A%E5%B7%A5%E5%85%B7%E3%81%AE%E6%AC%A0%E3%81%91%E3%83%BB%E6%91%A9%E8%80%97%E3%83%BB%E5%AF%BF%E5%91%BD%E3%82%92%E6%8E%A8%E5%AE%9A%E3%81%99%E3%82%8BAI%E3%82%92%E9%96%8B%E7%99%BA.pdf</x:v>
      </x:c>
      <x:c r="S20" s="7" t="str">
        <x:v>刃先の診断箇所を認知し欠け・摩耗を検出する説明
摩耗・寿命を推定し適した交換時期を提案</x:v>
      </x:c>
      <x:c r="T20" s="7" t="str">
        <x:v>撮像・AI判定・結果保存。工具を自動交換する動作はこの機能では記載なし
解析・提案であり、自動工具交換の指令まで確認できない</x:v>
      </x:c>
      <x:c r="U20" s="7" t="str">
        <x:v>公式：対象工具・寸法と撮像条件の整合が必要。基準学習の手順は要確認
分析：工具・材種・加工条件と摩耗の履歴を揃える必要。実際の必要量は未確認</x:v>
      </x:c>
      <x:c r="V20" s="7" t="str">
        <x:v>未記載：NG判定を採用する閾値と、最終使用継続の決定者
未記載：交換提案の採用基準・責任者。人が承認する設計かを要確認</x:v>
      </x:c>
      <x:c r="W20" s="7" t="str">
        <x:v>未記載：油汚れ・照明変動・未学習工具・境界摩耗での再判定
未記載：履歴不足・条件変更・突発欠損を寿命予測から分離する方法</x:v>
      </x:c>
      <x:c r="X20" s="7" t="str">
        <x:v>公式FAQに工具種類・径・変位量の制約あり。2024にも判定方式を説明済み
2023の研究発表の実証精度・売上目標を、2026製品の実績や市場規模と扱わない</x:v>
      </x:c>
    </x:row>
    <x:row r="21" ht="145" customHeight="1">
      <x:c r="A21" s="7" t="str">
        <x:v>検査・診断・予測AI</x:v>
      </x:c>
      <x:c r="B21" s="7" t="n">
        <x:v>2</x:v>
      </x:c>
      <x:c r="C21" s="7" t="str">
        <x:v>先に見る</x:v>
      </x:c>
      <x:c r="D21" s="20" t="str">
        <x:v>株式会社サイバーRC</x:v>
      </x:c>
      <x:c r="E21" s="7" t="str">
        <x:v>E7074</x:v>
      </x:c>
      <x:c r="F21" s="7" t="str">
        <x:v>GH5：工具の3D画像認識・AI補正ホーニング</x:v>
      </x:c>
      <x:c r="G21" s="7" t="str">
        <x:v>検査して止める用途と、計測結果で加工条件・動作を補正する用途の差を見る。</x:v>
      </x:c>
      <x:c r="H21" s="7" t="str">
        <x:v>2024はGM5の自動工具交換・研削とGri Star Honing2。</x:v>
      </x:c>
      <x:c r="I21" s="7" t="str">
        <x:v>2026はGH5で機内3D画像解析・AI自動補正、測定・加工・検査の一体化を説明。</x:v>
      </x:c>
      <x:c r="J21" s="7" t="str">
        <x:v>担当タスクの追加記載</x:v>
      </x:c>
      <x:c r="K21" s="7" t="str">
        <x:v>2024の研削・工具交換の自動化に対し、2026は画像測定からホーニング補正の担当を具体記載。公式PDFのURLは2025/10であり、2026初登場とは断定しない。</x:v>
      </x:c>
      <x:c r="L21" s="7" t="str">
        <x:v>測定不確かさとAI補正、加工後検査の関係、異常時の補正停止条件を確認。</x:v>
      </x:c>
      <x:c r="M21" s="7" t="str">
        <x:v>2026公式カタログ掲載・現地未確認</x:v>
      </x:c>
      <x:c r="N21" s="7" t="str">
        <x:v>2026展示予定。既存製品・参考出展・構想等は原典で個別確認</x:v>
      </x:c>
      <x:c r="O21" s="7" t="str">
        <x:v>AC085</x:v>
      </x:c>
      <x:c t="str" r="P21" s="21">
        <x:f>HYPERLINK("#'展示詳細'!A"&amp;MATCH("AC085",'展示詳細'!$A$1:$A$340,0),"AC085")</x:f>
        <x:v>AC085</x:v>
      </x:c>
      <x:c r="Q21" s="7" t="str">
        <x:v>EEX-EXH-2026-a0cbad27ea34d7c4
EEX-EXH-2024-76ac534a229f7c29
EDP-02</x:v>
      </x:c>
      <x:c r="R21" s="7" t="str">
        <x:v>EEX-EXH-2026-a0cbad27ea34d7c4: https://www.jimtof.org/search/jp/ESdetails?e=8ealehgmk8o
EEX-EXH-2024-76ac534a229f7c29: https://www.jimtof.org/2024/search/jp/ESdetails?e=wk2AEX5rHpw
EDP-02: https://cyber-rc.com/wp-content/uploads/2025/10/%E7%B7%8F%E5%90%88%E3%82%AB%E3%82%BF%E3%83%AD%E3%82%B0420-x-297-mm%E6%A8%AA%E4%B8%A6%E3%81%B3-.pdf</x:v>
      </x:c>
      <x:c r="S21" s="7" t="str">
        <x:v>Robot Eyeで測定し、AI制御で設定した幅・角度に到達するよう調整するという説明</x:v>
      </x:c>
      <x:c r="T21" s="7" t="str">
        <x:v>GH5がホーニングを自動調整。測定・加工・検査を一体化</x:v>
      </x:c>
      <x:c r="U21" s="7" t="str">
        <x:v>公式：目標のホーニング幅・角度を数値設定</x:v>
      </x:c>
      <x:c r="V21" s="7" t="str">
        <x:v>未記載：補正上限・設定変更の承認。目標値の選択は人</x:v>
      </x:c>
      <x:c r="W21" s="7" t="str">
        <x:v>未記載：測定不能・過研磨・刃具異常時の止め方と人の復帰</x:v>
      </x:c>
      <x:c r="X21" s="7" t="str">
        <x:v>AIモデル、補正量の計算、精度・反復回数・検査判定は非開示。PDF本体は取得容量上限のため未取得、公式PDFの索引抽出を確認</x:v>
      </x:c>
    </x:row>
    <x:row r="22" ht="145" customHeight="1">
      <x:c r="A22" s="7" t="str">
        <x:v>検査・診断・予測AI</x:v>
      </x:c>
      <x:c r="B22" s="7" t="n">
        <x:v>3</x:v>
      </x:c>
      <x:c r="C22" s="7" t="str">
        <x:v>継続方式を比較</x:v>
      </x:c>
      <x:c r="D22" s="20" t="str">
        <x:v>ムラテックＣＣＳ株式会社</x:v>
      </x:c>
      <x:c r="E22" s="7" t="str">
        <x:v>E3031</x:v>
      </x:c>
      <x:c r="F22" s="7" t="str">
        <x:v>プライマリドクタサービス：稼働中データのAI診断</x:v>
      </x:c>
      <x:c r="G22" s="7" t="str">
        <x:v>稼働中の重要部位データを取得するAI診断。2024からの継続を基準に、停止診断等と比較できる。</x:v>
      </x:c>
      <x:c r="H22" s="7" t="str">
        <x:v>2024に容易に脱着できる機器で稼働中の重要部位データを取得し、AI診断・レポート・追加点検を説明。</x:v>
      </x:c>
      <x:c r="I22" s="7" t="str">
        <x:v>2026も同名AIリモート診断を掲載。</x:v>
      </x:c>
      <x:c r="J22" s="7" t="str">
        <x:v>2024から継続</x:v>
      </x:c>
      <x:c r="K22" s="7" t="str">
        <x:v>2024にもAI診断・レポート・追加点検を説明。公式2025技術資料で判断入力を補足したが、2026の新しい診断機能は確認できない。</x:v>
      </x:c>
      <x:c r="L22" s="7" t="str">
        <x:v>2024以降の追加対象故障・対応機・信号・分析機能は。誤警報と診断後の保全判断・実績を確認。</x:v>
      </x:c>
      <x:c r="M22" s="7" t="str">
        <x:v>2026公式カタログ掲載・現地未確認</x:v>
      </x:c>
      <x:c r="N22" s="7" t="str">
        <x:v>2026展示予定。既存製品・参考出展・構想等は原典で個別確認</x:v>
      </x:c>
      <x:c r="O22" s="7" t="str">
        <x:v>AC225</x:v>
      </x:c>
      <x:c t="str" r="P22" s="21">
        <x:f>HYPERLINK("#'展示詳細'!A"&amp;MATCH("AC225",'展示詳細'!$A$1:$A$340,0),"AC225")</x:f>
        <x:v>AC225</x:v>
      </x:c>
      <x:c r="Q22" s="7" t="str">
        <x:v>EEX-EXH-2026-308c5194f12fe009
EEX-EXH-2024-b0a94c1cd407ea8a
EDP-13</x:v>
      </x:c>
      <x:c r="R22" s="7" t="str">
        <x:v>EEX-EXH-2026-308c5194f12fe009: https://www.jimtof.org/search/jp/ESdetails?e=Z_SbvK_hxBY
EEX-EXH-2024-b0a94c1cd407ea8a: https://www.jimtof.org/2024/search/jp/ESdetails?e=2N7pXq5Aehs
EDP-13: https://www.muratec.jp/company/ti/rd/detail.php?id=7540</x:v>
      </x:c>
      <x:c r="S22" s="7" t="str">
        <x:v>抵抗増大に伴う電流や振動の変化を新品データと比較し、軸受・ガイド等の劣化・異常を判断</x:v>
      </x:c>
      <x:c r="T22" s="7" t="str">
        <x:v>リモート診断とレポート・追加点検の提案。自動修理・制御補正は確認できない</x:v>
      </x:c>
      <x:c r="U22" s="7" t="str">
        <x:v>公式出展説明：計測機器で稼働中データを取得。2025技術説明で信号種を具体化</x:v>
      </x:c>
      <x:c r="V22" s="7" t="str">
        <x:v>未記載：診断を受けた点検・部品交換の最終判断者と基準</x:v>
      </x:c>
      <x:c r="W22" s="7" t="str">
        <x:v>未記載：誤警報・低サンプリング・新品基準との差が小さい故障の扱い</x:v>
      </x:c>
      <x:c r="X22" s="7" t="str">
        <x:v>2024から同名サービスを掲載。2025の方式説明を2026の新機能と混同しない</x:v>
      </x:c>
    </x:row>
    <x:row r="23" ht="145" customHeight="1">
      <x:c r="A23" s="7" t="str">
        <x:v>検査・診断・予測AI</x:v>
      </x:c>
      <x:c r="B23" s="7" t="n">
        <x:v>4</x:v>
      </x:c>
      <x:c r="C23" s="7" t="str">
        <x:v>方式を比較</x:v>
      </x:c>
      <x:c r="D23" s="20" t="str">
        <x:v>HACARUS</x:v>
      </x:c>
      <x:c r="E23" s="7" t="str">
        <x:v>S1031</x:v>
      </x:c>
      <x:c r="F23" s="7" t="str">
        <x:v>HACARUS Check ZERO</x:v>
      </x:c>
      <x:c r="G23" s="7" t="str">
        <x:v>良品データから学ぶ外観検査。工具状態や設備保全のAIと、学習データ・判定対象の違いを比較する。</x:v>
      </x:c>
      <x:c r="H23" s="7" t="str">
        <x:v>2024同名出展詳細なし。ただし2025/7/7の公式発表は、従来Check AIの少量良品学習を基準に、ZEROの追加学習機能を新搭載と説明。</x:v>
      </x:c>
      <x:c r="I23" s="7" t="str">
        <x:v>2026で良品学習と追加調整を説明</x:v>
      </x:c>
      <x:c r="J23" s="7" t="str">
        <x:v>2025の製品・機能追加を確認</x:v>
      </x:c>
      <x:c r="K23" s="7" t="str">
        <x:v>2025/7/9販売開始のZEROで、良品学習に良品／不良品アノテーション追加学習とUI改善を追加。2024展示との同条件比較は不能。</x:v>
      </x:c>
      <x:c r="L23" s="7" t="str">
        <x:v>照明・部品・材種が変わる際の良品データ量、調整、見逃し・過検出、導入工数を確認。</x:v>
      </x:c>
      <x:c r="M23" s="7" t="str">
        <x:v>JIMTOF2026公式カタログ掲載・現地未確認</x:v>
      </x:c>
      <x:c r="N23" s="7" t="str">
        <x:v>2025年7月9日販売開始の既存製品。2026展示予定</x:v>
      </x:c>
      <x:c r="O23" s="7" t="str">
        <x:v>FC036</x:v>
      </x:c>
      <x:c t="str" r="P23" s="21">
        <x:f>HYPERLINK("#'展示詳細'!A"&amp;MATCH("FC036",'展示詳細'!$A$1:$A$340,0),"FC036")</x:f>
        <x:v>FC036</x:v>
      </x:c>
      <x:c r="Q23" s="7" t="str">
        <x:v>EOV-V021-2026-1
EOV-W06
EDP-14
EDP-15
ERF-05</x:v>
      </x:c>
      <x:c r="R23" s="7" t="str">
        <x:v>EOV-V021-2026-1: https://www.jimtof.org/search/jp/ESdetails?e=oatArsOZ-Wc
EOV-W06: https://hacarus.com/ja/technology/hacarus-check-series/
EDP-14: https://hacarus.com/ja/press-release/20250707-news/
EDP-15: https://check.hacarus.com/ja/
ERF-05: https://check.hacarus.com/ja/aisoftware/</x:v>
      </x:c>
      <x:c r="S23" s="7" t="str">
        <x:v>良品との差による異常検出。見逃した欠陥・過検出した良品を追加学習して判定を調整</x:v>
      </x:c>
      <x:c r="T23" s="7" t="str">
        <x:v>検査画像の良否・異常箇所を表示。ロボットによる多面撮像は別のハード構成</x:v>
      </x:c>
      <x:c r="U23" s="7" t="str">
        <x:v>公式：良品画像を準備し、対象に合う撮像ハードを構成</x:v>
      </x:c>
      <x:c r="V23" s="7" t="str">
        <x:v>公式：人が良否アノテーションを追加。更新モデルの採用承認、独立評価・旧版への差戻し、最終出荷判定は未記載</x:v>
      </x:c>
      <x:c r="W23" s="7" t="str">
        <x:v>公式：見逃しと過検出の両面から追加学習。限界例・停止条件は未確認</x:v>
      </x:c>
      <x:c r="X23" s="7" t="str">
        <x:v>見逃しゼロ・過検出ゼロは目標。全対象での保証ではない</x:v>
      </x:c>
    </x:row>
    <x:row r="24" ht="145" customHeight="1">
      <x:c r="A24" s="7" t="str">
        <x:v>設計・製造DX</x:v>
      </x:c>
      <x:c r="B24" s="7" t="n">
        <x:v>1</x:v>
      </x:c>
      <x:c r="C24" s="7" t="str">
        <x:v>先に見る</x:v>
      </x:c>
      <x:c r="D24" s="20" t="str">
        <x:v>シーメンス株式会社</x:v>
      </x:c>
      <x:c r="E24" s="7" t="str">
        <x:v>E3006</x:v>
      </x:c>
      <x:c r="F24" s="7" t="str">
        <x:v>Digital Thread：工作機械ツイン・工程内品質保証</x:v>
      </x:c>
      <x:c r="G24" s="7" t="str">
        <x:v>設計・CNC・機械ツインから工程内品質保証への接続。2024にもデジタル連携があり追加構成を検証できる。</x:v>
      </x:c>
      <x:c r="H24" s="7" t="str">
        <x:v>2024カタログにNX・CNC・Mcenter等。Siemens公式事例にはToknと仮想SINUMERIK ONEによる訓練をCompletion 2024と明記。</x:v>
      </x:c>
      <x:c r="I24" s="7" t="str">
        <x:v>2026はHeller Toknツイン、Renishaw Equator品質保証、ヒューマノイド特別展示を具体記載。</x:v>
      </x:c>
      <x:c r="J24" s="7" t="str">
        <x:v>2024から継続・構成を具体化</x:v>
      </x:c>
      <x:c r="K24" s="7" t="str">
        <x:v>Toknツインを2026の新登場としない。2026/4のトート物流AI運用試験は別の具体例。JIMTOF特別展示機の作業・機体・品質保証との接続は未確認。</x:v>
      </x:c>
      <x:c r="L24" s="7" t="str">
        <x:v>Heller ToknとEquatorのどの情報が往復し何が変わるか。特別展示のヒューマノイドの具体作業は別途確認。</x:v>
      </x:c>
      <x:c r="M24" s="7" t="str">
        <x:v>2026公式カタログ掲載・現地未確認</x:v>
      </x:c>
      <x:c r="N24" s="7" t="str">
        <x:v>2026展示予定。既存製品・参考出展・構想等は原典で個別確認</x:v>
      </x:c>
      <x:c r="O24" s="7" t="str">
        <x:v>AC098</x:v>
      </x:c>
      <x:c t="str" r="P24" s="21">
        <x:f>HYPERLINK("#'展示詳細'!A"&amp;MATCH("AC098",'展示詳細'!$A$1:$A$340,0),"AC098")</x:f>
        <x:v>AC098</x:v>
      </x:c>
      <x:c r="Q24" s="7" t="str">
        <x:v>EEX-EXH-2026-9b991dd8132f51dc
EEX-EXH-2024-558faea07a73f5d8
EDP-16
EDP-17</x:v>
      </x:c>
      <x:c r="R24" s="7" t="str">
        <x:v>EEX-EXH-2026-9b991dd8132f51dc: https://www.jimtof.org/search/jp/ESdetails?e=EBIotJu7lrg
EEX-EXH-2024-558faea07a73f5d8: https://www.jimtof.org/2024/search/jp/ESdetails?e=nYvFR1vpbuE
EDP-16: https://references.siemens.com/en/reference/heller-tokn-digital-twin?id=41137
EDP-17: https://press.siemens.com/jp/ja/pressrelease/pr-20260416</x:v>
      </x:c>
      <x:c r="S24" s="7" t="str">
        <x:v>ToknのNC構文・衝突検証はAI判断と未確認。別のHMND 01 Alpha試験は認識・行動をAIで処理する説明</x:v>
      </x:c>
      <x:c r="T24" s="7" t="str">
        <x:v>Toknは仮想加工・訓練。2026/4のドイツ工場では車輪型HMND 01 Alphaがトートのピッキング・搬送・配置を試験</x:v>
      </x:c>
      <x:c r="U24" s="7" t="str">
        <x:v>公式：物流実例はIsaac Sim/Labでのシミュレーション・ポリシー学習とJetson Thor等を利用</x:v>
      </x:c>
      <x:c r="V24" s="7" t="str">
        <x:v>未記載：物流作業の許可・停止・人の承認。JIMTOFのヒューマノイドと同一機体か未確認</x:v>
      </x:c>
      <x:c r="W24" s="7" t="str">
        <x:v>未記載：失敗・人との接触リスク・再試行時の介入。成功率の残りの失敗処理は不明</x:v>
      </x:c>
      <x:c r="X24" s="7" t="str">
        <x:v>ドイツ工場のメーカー実証とJIMTOF展示確定を分ける。Tokn・Equator・ヒューマノイドの実装済み一体連携とは確認できない</x:v>
      </x:c>
    </x:row>
    <x:row r="25" ht="145" customHeight="1">
      <x:c r="A25" s="7" t="str">
        <x:v>設計・製造DX</x:v>
      </x:c>
      <x:c r="B25" s="7" t="n">
        <x:v>2</x:v>
      </x:c>
      <x:c r="C25" s="7" t="str">
        <x:v>先に見る</x:v>
      </x:c>
      <x:c r="D25" s="20" t="str">
        <x:v>WinTool AG</x:v>
      </x:c>
      <x:c r="E25" s="7" t="str">
        <x:v>E1049</x:v>
      </x:c>
      <x:c r="F25" s="7" t="str">
        <x:v>WinTool：工具情報と現物・工程資源の連携</x:v>
      </x:c>
      <x:c r="G25" s="7" t="str">
        <x:v>工具データのCAM接続と、現物・在庫・生産資源の整合性。2024の連携からどこが進んだかを問える。</x:v>
      </x:c>
      <x:c r="H25" s="7" t="str">
        <x:v>2024も工具ライブラリ・CAM／NC・在庫・段取り・収納／プリセッター連携を説明。</x:v>
      </x:c>
      <x:c r="I25" s="7" t="str">
        <x:v>2026は現物情報と生産資源・BOPへの対応、一貫性を強調。</x:v>
      </x:c>
      <x:c r="J25" s="7" t="str">
        <x:v>2024から継続</x:v>
      </x:c>
      <x:c r="K25" s="7" t="str">
        <x:v>工具情報・CAM・在庫等の接続は2024にも記載。公式製品資料で自動転送と購買承認の境界を具体化したが、その機能が2024以降に追加されたとは確認できない。</x:v>
      </x:c>
      <x:c r="L25" s="7" t="str">
        <x:v>工具組立・品番・所在・寿命の正本はどこか。CAM・実機・収納の同期、改訂と差異検出を確認。</x:v>
      </x:c>
      <x:c r="M25" s="7" t="str">
        <x:v>2026公式カタログ掲載・現地未確認</x:v>
      </x:c>
      <x:c r="N25" s="7" t="str">
        <x:v>2026展示予定。既存製品・参考出展・構想等は原典で個別確認</x:v>
      </x:c>
      <x:c r="O25" s="7" t="str">
        <x:v>AC295</x:v>
      </x:c>
      <x:c t="str" r="P25" s="21">
        <x:f>HYPERLINK("#'展示詳細'!A"&amp;MATCH("AC295",'展示詳細'!$A$1:$A$340,0),"AC295")</x:f>
        <x:v>AC295</x:v>
      </x:c>
      <x:c r="Q25" s="7" t="str">
        <x:v>EEX-EXH-2026-4fb92ba6b82546d7
EEX-EXH-2024-3f1fa1966a57e011
EDP-18
EDP-19</x:v>
      </x:c>
      <x:c r="R25" s="7" t="str">
        <x:v>EEX-EXH-2026-4fb92ba6b82546d7: https://www.jimtof.org/search/jp/ESdetails?e=sSFZV23clJo
EEX-EXH-2024-3f1fa1966a57e011: https://www.jimtof.org/2024/search/jp/ESdetails?e=-n22F1d_CDc
EDP-18: https://www.wintool.com/en/tool-management-software/cnc-inventory-manager/erp-integration
EDP-19: https://www.wintool.com/software/cnc-prozessverwaltung</x:v>
      </x:c>
      <x:c r="S25" s="7" t="str">
        <x:v>最低在庫等のルールで購買要求を生成。学習AIによる工具選定・発注判断とは記載なし</x:v>
      </x:c>
      <x:c r="T25" s="7" t="str">
        <x:v>工具リスト・在庫確認・プリセッター指示・NC／測定値転送。管理者承認後に購買要求をERPへ送信</x:v>
      </x:c>
      <x:c r="U25" s="7" t="str">
        <x:v>分析：工具マスター・工程リスト・最低在庫・連携先の設定が必要</x:v>
      </x:c>
      <x:c r="V25" s="7" t="str">
        <x:v>公式：購買要求は管理者承認後にERPへ自動送信</x:v>
      </x:c>
      <x:c r="W25" s="7" t="str">
        <x:v>未記載：工具品番違い・同期失敗・購買要求取消し等の例外処理</x:v>
      </x:c>
      <x:c r="X25" s="7" t="str">
        <x:v>承認を含む自動ワークフローと自律発注AIを分ける。これら機能の追加年は未記載</x:v>
      </x:c>
    </x:row>
    <x:row r="26" ht="145" customHeight="1">
      <x:c r="A26" s="7" t="str">
        <x:v>設計・製造DX</x:v>
      </x:c>
      <x:c r="B26" s="7" t="n">
        <x:v>3</x:v>
      </x:c>
      <x:c r="C26" s="7" t="str">
        <x:v>基盤を比較</x:v>
      </x:c>
      <x:c r="D26" s="20" t="str">
        <x:v>NdotLight Co., Ltd.</x:v>
      </x:c>
      <x:c r="E26" s="7" t="str">
        <x:v>S4004</x:v>
      </x:c>
      <x:c r="F26" s="7" t="str">
        <x:v>TRINIX：CADから物理シミュレーション用データ生成</x:v>
      </x:c>
      <x:c r="G26" s="7" t="str">
        <x:v>CADデータを物理属性付きシミュレーションデータへ変換。設計形状の連携から学習・検証基盤への広がり。</x:v>
      </x:c>
      <x:c r="H26" s="7" t="str">
        <x:v>同一名称の2024詳細なし。</x:v>
      </x:c>
      <x:c r="I26" s="7" t="str">
        <x:v>テキスト・画像・CADからNURBS形状、物理属性・関節・衝突メッシュを生成し、シミュレーション検証・自己修正を説明。</x:v>
      </x:c>
      <x:c r="J26" s="7" t="str">
        <x:v>2024個別比較不能</x:v>
      </x:c>
      <x:c r="K26" s="7" t="str">
        <x:v>2024差分は比較不能。ロボット動作そのものと、学習・検証用データ生成の基盤を区別。</x:v>
      </x:c>
      <x:c r="L26" s="7" t="str">
        <x:v>編集可能な形状、関節・衝突メッシュ、USD/URDF/MJCFへの変換後の検証と修正を確認。</x:v>
      </x:c>
      <x:c r="M26" s="7" t="str">
        <x:v>2026のライブデモ・ロボット学習用データ展示を予告。実機ロボットの作業実演とは未確認</x:v>
      </x:c>
      <x:c r="N26" s="7" t="str">
        <x:v>2026展示予定。既存製品・参考出展・構想等は原典で個別確認</x:v>
      </x:c>
      <x:c r="O26" s="7" t="str">
        <x:v>AC273</x:v>
      </x:c>
      <x:c t="str" r="P26" s="21">
        <x:f>HYPERLINK("#'展示詳細'!A"&amp;MATCH("AC273",'展示詳細'!$A$1:$A$340,0),"AC273")</x:f>
        <x:v>AC273</x:v>
      </x:c>
      <x:c r="Q26" s="7" t="str">
        <x:v>EEX-EXH-2026-016097f87d1914b2
EEX-WNDOT
ERF-06
ERF-07
ERF-08
ERF-09</x:v>
      </x:c>
      <x:c r="R26" s="7" t="str">
        <x:v>EEX-EXH-2026-016097f87d1914b2: https://www.jimtof.org/search/jp/ESdetails?e=6Ds1v9hxvrY
EEX-WNDOT: https://ndotlight.com/newsroom/ndotlight-proposes-a-new-3d-data-standard-for-the-physical-ai-era-with-trinix
ERF-06: https://ndotlight.com/
ERF-07: https://docs.omniverse.nvidia.com/simready/latest/simready-faq.html
ERF-08: https://docs.omniverse.nvidia.com/simready/latest/simready-asset-creation/physics-best-practices.html
ERF-09: https://ndotlight.com/newsroom/ndotlight-to-co-develop-dexbench-a-global-standard-for-humanoid-evaluation-with-nvidia-and-rlwrld</x:v>
      </x:c>
      <x:c r="S26" s="7" t="str">
        <x:v>CAD生成・SimReady変換。自己修正は出展説明の主張で、正解の作り方・修正判定は未公開</x:v>
      </x:c>
      <x:c r="T26" s="7" t="str">
        <x:v>NURBS等の編集可能形状と物理属性を生成し、USD/URDF/MJCF等へ出力する説明</x:v>
      </x:c>
      <x:c r="U26" s="7" t="str">
        <x:v>未記載：質量・摩擦・関節条件の実測入力と推定値の区別</x:v>
      </x:c>
      <x:c r="V26" s="7" t="str">
        <x:v>未記載：物理属性・生成形状・検証結果を人が承認する画面</x:v>
      </x:c>
      <x:c r="W26" s="7" t="str">
        <x:v>未記載：物理破綻や自己修正が収束しない時の扱い</x:v>
      </x:c>
      <x:c r="X26" s="7" t="str">
        <x:v>TRINIXは物理属性の推論と自己修正を説明済み。NVIDIAのアセット検証は周辺基盤の既存機能で、TRINIXへの搭載確認とは別。DexBenchは共同開発告知。実測正解・収束条件・実機誤差と公開ベンチの提供範囲は未確認</x:v>
      </x:c>
    </x:row>
    <x:row r="27" ht="145" customHeight="1">
      <x:c r="A27" s="7" t="str">
        <x:v>設計・製造DX</x:v>
      </x:c>
      <x:c r="B27" s="7" t="n">
        <x:v>4</x:v>
      </x:c>
      <x:c r="C27" s="7" t="str">
        <x:v>既存方式を比較</x:v>
      </x:c>
      <x:c r="D27" s="20" t="str">
        <x:v>CGTech</x:v>
      </x:c>
      <x:c r="E27" s="7" t="str">
        <x:v>S3014</x:v>
      </x:c>
      <x:c r="F27" s="7" t="str">
        <x:v>Vericut：Gコード検証</x:v>
      </x:c>
      <x:c r="G27" s="7" t="str">
        <x:v>AIが作る工程や経路を受ける、Gコード検証の既存基盤。生成AIの支援範囲と検証責任を切り分ける。</x:v>
      </x:c>
      <x:c r="H27" s="7" t="str">
        <x:v>同方式に加えCNCプリチェック・実機モニターまで説明</x:v>
      </x:c>
      <x:c r="I27" s="7" t="str">
        <x:v>検証・デジタルツインを継続掲載</x:v>
      </x:c>
      <x:c r="J27" s="7" t="str">
        <x:v>2024から継続</x:v>
      </x:c>
      <x:c r="K27" s="7" t="str">
        <x:v>出展説明・公式資料の記載比較。初発明年・実演成功・性能向上を証明するものではない。</x:v>
      </x:c>
      <x:c r="L27" s="7" t="str">
        <x:v>ポスト後の実行NC、機械・工具・治具モデルをどこまで検証するか。2024からの新しい接続・機能は。</x:v>
      </x:c>
      <x:c r="M27" s="7" t="str">
        <x:v>JIMTOF2026公式カタログ掲載・現地未確認</x:v>
      </x:c>
      <x:c r="N27" s="7" t="str">
        <x:v>2026展示予定・提供段階未確認</x:v>
      </x:c>
      <x:c r="O27" s="7" t="str">
        <x:v>FC021</x:v>
      </x:c>
      <x:c t="str" r="P27" s="21">
        <x:f>HYPERLINK("#'展示詳細'!A"&amp;MATCH("FC021",'展示詳細'!$A$1:$A$340,0),"FC021")</x:f>
        <x:v>FC021</x:v>
      </x:c>
      <x:c r="Q27" s="7" t="str">
        <x:v>EOV-V009-2024-1
EOV-V009-2026-1
EDP-20</x:v>
      </x:c>
      <x:c r="R27" s="7" t="str">
        <x:v>EOV-V009-2024-1: https://www.jimtof.org/2024/search/jp/ESdetails?e=AxDUk3YbQDI
EOV-V009-2026-1: https://www.jimtof.org/search/jp/ESdetails?e=41U8xW4UkcM
EDP-20: https://vericut.com/ja-jp/products/cnc-machine-simulation</x:v>
      </x:c>
      <x:c r="S27" s="7" t="str">
        <x:v>仮想実行で干渉・衝突、削り過ぎ／残し等を検出。学習AIによる判定と記載なし</x:v>
      </x:c>
      <x:c r="T27" s="7" t="str">
        <x:v>検証・比較結果を出力。Forceの送り最適化や機械接続は別モジュール</x:v>
      </x:c>
      <x:c r="U27" s="7" t="str">
        <x:v>分析：実機と同じNC・工具・治具・機械モデルを用意する必要</x:v>
      </x:c>
      <x:c r="V27" s="7" t="str">
        <x:v>分析：指摘を修正し、実加工への採用を判断。自動承認の根拠なし</x:v>
      </x:c>
      <x:c r="W27" s="7" t="str">
        <x:v>未記載：モデル誤り・現物差・未検出エラーをどう運用で補うか</x:v>
      </x:c>
      <x:c r="X27" s="7" t="str">
        <x:v>仮想検証は現物モデル・設定の正しさに依存。AI CAMと組み合わせる実装済み連携は個別確認</x:v>
      </x:c>
    </x:row>
    <x:row r="28" ht="145" customHeight="1">
      <x:c r="A28" s="7" t="str">
        <x:v>工場運用DX</x:v>
      </x:c>
      <x:c r="B28" s="7" t="n">
        <x:v>1</x:v>
      </x:c>
      <x:c r="C28" s="7" t="str">
        <x:v>先に見る</x:v>
      </x:c>
      <x:c r="D28" s="20" t="str">
        <x:v>FNS株式会社</x:v>
      </x:c>
      <x:c r="E28" s="7" t="str">
        <x:v>E2034</x:v>
      </x:c>
      <x:c r="F28" s="7" t="str">
        <x:v>TM-2800：AMR・ロボット・加工機の統合</x:v>
      </x:c>
      <x:c r="G28" s="7" t="str">
        <x:v>2024のセル内供給から2026のストッカー・AMR・ロボット・加工機統合へ、接続対象の拡大を確認できる。</x:v>
      </x:c>
      <x:c r="H28" s="7" t="str">
        <x:v>2024はRK510のストッカー・2D位置補正・ハンド交換と加工機接続。</x:v>
      </x:c>
      <x:c r="I28" s="7" t="str">
        <x:v>2026は高層ストッカーTM-2800を起点にAMR・ロボット・加工機を統合制御する提案。</x:v>
      </x:c>
      <x:c r="J28" s="7" t="str">
        <x:v>搬送対象・構成の追加記載</x:v>
      </x:c>
      <x:c r="K28" s="7" t="str">
        <x:v>セル内供給から工程間統合へ対象拡大を記載。再計画・未知例外対応は未確認。</x:v>
      </x:c>
      <x:c r="L28" s="7" t="str">
        <x:v>人の投入後の指示・スケジューリングを実演。AMR遅延・加工機停止時に再計画するか人が直すか。</x:v>
      </x:c>
      <x:c r="M28" s="7" t="str">
        <x:v>2026公式カタログ掲載・現地未確認</x:v>
      </x:c>
      <x:c r="N28" s="7" t="str">
        <x:v>2026展示予定。既存製品・参考出展・構想等は原典で個別確認</x:v>
      </x:c>
      <x:c r="O28" s="7" t="str">
        <x:v>AC039</x:v>
      </x:c>
      <x:c t="str" r="P28" s="21">
        <x:f>HYPERLINK("#'展示詳細'!A"&amp;MATCH("AC039",'展示詳細'!$A$1:$A$340,0),"AC039")</x:f>
        <x:v>AC039</x:v>
      </x:c>
      <x:c r="Q28" s="7" t="str">
        <x:v>EEX-EXH-2026-9022dcaec2b02dde
EEX-EXH-2024-caa95a5ce916176b
EDP-25</x:v>
      </x:c>
      <x:c r="R28" s="7" t="str">
        <x:v>EEX-EXH-2026-9022dcaec2b02dde: https://www.jimtof.org/search/jp/ESdetails?e=_q_YetP8_og
EEX-EXH-2024-caa95a5ce916176b: https://www.jimtof.org/2024/search/jp/ESdetails?e=LRKay8iRNz4
EDP-25: https://www.fns-inc.jp/%E3%83%AD%E3%83%9C%E3%83%83%E3%83%88%E3%82%B7%E3%82%B9%E3%83%86%E3%83%A0</x:v>
      </x:c>
      <x:c r="S28" s="7" t="str">
        <x:v>TM-2800の工程指示・統合制御の説明。AIによる再計画・最適化の有無は未特定</x:v>
      </x:c>
      <x:c r="T28" s="7" t="str">
        <x:v>ストッカー・AMR・ロボット・加工機へ指示。旧RK510はCRX-10iA、カメラ・ハンド交換等の構成</x:v>
      </x:c>
      <x:c r="U28" s="7" t="str">
        <x:v>公式出展説明：人が投入・スケジューリング。企業製品ページは旧RK510等の構成まで</x:v>
      </x:c>
      <x:c r="V28" s="7" t="str">
        <x:v>未記載：統合指示・計画変更の承認、機器間の権限</x:v>
      </x:c>
      <x:c r="W28" s="7" t="str">
        <x:v>未記載：AMR遅延・加工機停止・仕掛品欠品での再計画と復帰</x:v>
      </x:c>
      <x:c r="X28" s="7" t="str">
        <x:v>企業ページで確認したRK510の構成を、新TM-2800の機器構成として流用しない。TM-2800の補足技術資料は未確認</x:v>
      </x:c>
    </x:row>
    <x:row r="29" ht="145" customHeight="1">
      <x:c r="A29" s="7" t="str">
        <x:v>工場運用DX</x:v>
      </x:c>
      <x:c r="B29" s="7" t="n">
        <x:v>2</x:v>
      </x:c>
      <x:c r="C29" s="7" t="str">
        <x:v>先に見る</x:v>
      </x:c>
      <x:c r="D29" s="20" t="str">
        <x:v>ソフィックス</x:v>
      </x:c>
      <x:c r="E29" s="7" t="str">
        <x:v>E1067</x:v>
      </x:c>
      <x:c r="F29" s="7" t="str">
        <x:v>SOFIXCAN Fleeter＋AI Forecast：ミニ工場</x:v>
      </x:c>
      <x:c r="G29" s="7" t="str">
        <x:v>ミニ工場で設備接続・搬送・AI予測を組み合わせる展示。実用システムとデモでの連携範囲を比べる。</x:v>
      </x:c>
      <x:c r="H29" s="7" t="str">
        <x:v>メーター読取、切粉除去、AI熱変位補正を掲載</x:v>
      </x:c>
      <x:c r="I29" s="7" t="str">
        <x:v>2026は連携するミニ工場展示</x:v>
      </x:c>
      <x:c r="J29" s="7" t="str">
        <x:v>対象・構成・要素の追加記載</x:v>
      </x:c>
      <x:c r="K29" s="7" t="str">
        <x:v>2024の画像読取・熱変位等に対し2026は連携ミニ工場を掲げる。ただしメーカーは2025にも同系デモを告知。2026固有の予測→指令の接続追加は未確認。</x:v>
      </x:c>
      <x:c r="L29" s="7" t="str">
        <x:v>予測が実際に計画・搬送指示を変えるか。制約、例外処理、人の介入、販売可能な構成を確認。</x:v>
      </x:c>
      <x:c r="M29" s="7" t="str">
        <x:v>JIMTOF2026公式カタログ掲載・現地未確認</x:v>
      </x:c>
      <x:c r="N29" s="7" t="str">
        <x:v>ミニ工場の展示デモ予定・商用無人工場実績ではない</x:v>
      </x:c>
      <x:c r="O29" s="7" t="str">
        <x:v>FC030</x:v>
      </x:c>
      <x:c t="str" r="P29" s="21">
        <x:f>HYPERLINK("#'展示詳細'!A"&amp;MATCH("FC030",'展示詳細'!$A$1:$A$340,0),"FC030")</x:f>
        <x:v>FC030</x:v>
      </x:c>
      <x:c r="Q29" s="7" t="str">
        <x:v>EOV-V015-2024-1
EOV-V015-2026-1
EDP-21
EDP-22
EDP-23</x:v>
      </x:c>
      <x:c r="R29" s="7" t="str">
        <x:v>EOV-V015-2024-1: https://www.jimtof.org/2024/search/jp/ESdetails?e=WNiUW-E-atY
EOV-V015-2026-1: https://www.jimtof.org/search/jp/ESdetails?e=rYRhOM0muPQ
EDP-21: https://www.sofix.co.jp/products/sofixcan_ai_forecast/
EDP-22: https://www.sofix.co.jp/products/sofixcan_fleeter/
EDP-23: https://www.sofix.co.jp/</x:v>
      </x:c>
      <x:c r="S29" s="7" t="str">
        <x:v>AI Forecastは時系列・形状領域を予測。予測を生産計画変更に使う実装は未確認</x:v>
      </x:c>
      <x:c r="T29" s="7" t="str">
        <x:v>Fleeterは上位命令をトリガーにAMR・アーム・PLC等を制御。AI予測が直接搬送を決めると推測しない</x:v>
      </x:c>
      <x:c r="U29" s="7" t="str">
        <x:v>公式：顧客向け予測システム・機器通信モジュールの開発を行う</x:v>
      </x:c>
      <x:c r="V29" s="7" t="str">
        <x:v>未記載：予測案から設備指令に移す許可・承認、現場の変更権限</x:v>
      </x:c>
      <x:c r="W29" s="7" t="str">
        <x:v>未記載：通信切断・予測外・搬送失敗での自動復帰と人への通知</x:v>
      </x:c>
      <x:c r="X29" s="7" t="str">
        <x:v>2025国際ロボット展でもFleeterミニ工場を予告。ミニ工場そのものを2026新登場としない</x:v>
      </x:c>
    </x:row>
    <x:row r="30" ht="145" customHeight="1">
      <x:c r="A30" s="7" t="str">
        <x:v>工場運用DX</x:v>
      </x:c>
      <x:c r="B30" s="7" t="n">
        <x:v>3</x:v>
      </x:c>
      <x:c r="C30" s="7" t="str">
        <x:v>監視の範囲を比較</x:v>
      </x:c>
      <x:c r="D30" s="20" t="str">
        <x:v>株式会社ユシロ</x:v>
      </x:c>
      <x:c r="E30" s="7" t="str">
        <x:v>S3093</x:v>
      </x:c>
      <x:c r="F30" s="7" t="str">
        <x:v>ALFRED：クーラント濃度・pH監視</x:v>
      </x:c>
      <x:c r="G30" s="7" t="str">
        <x:v>クーラント濃度・pHを継続監視。見える化と自動補給・制御の境界が明確に比較できる。</x:v>
      </x:c>
      <x:c r="H30" s="7" t="str">
        <x:v>公式社名変更告知で旧社名ユシロ化学工業と照合。2024のE1005ではクーラントのリモート監視システムとフレキシブル濃度補給装置を掲載。</x:v>
      </x:c>
      <x:c r="I30" s="7" t="str">
        <x:v>濃度・pHをリアルタイム監視し、会場ではコントローラーと管理画面を展示予定。</x:v>
      </x:c>
      <x:c r="J30" s="7" t="str">
        <x:v>旧社名照合：監視・補給は2024既存、ALFRED固有差未確定</x:v>
      </x:c>
      <x:c r="K30" s="7" t="str">
        <x:v>2025/4/1の社名変更を公式確認。ALFREDの初公開と、監視・濃度補給方式の初登場を分離。2024装置と同じ製品か、濃度補給機能を継承したか、AI利用は未確認。</x:v>
      </x:c>
      <x:c r="L30" s="7" t="str">
        <x:v>今回の展示はコントローラーと画面。警報・自動補給連携の有無、液種・汚れ・校正の運用を確認。</x:v>
      </x:c>
      <x:c r="M30" s="7" t="str">
        <x:v>2026はコントローラーと管理画面の展示予定</x:v>
      </x:c>
      <x:c r="N30" s="7" t="str">
        <x:v>2026展示予定。既存製品・参考出展・構想等は原典で個別確認</x:v>
      </x:c>
      <x:c r="O30" s="7" t="str">
        <x:v>AC234</x:v>
      </x:c>
      <x:c t="str" r="P30" s="21">
        <x:f>HYPERLINK("#'展示詳細'!A"&amp;MATCH("AC234",'展示詳細'!$A$1:$A$340,0),"AC234")</x:f>
        <x:v>AC234</x:v>
      </x:c>
      <x:c r="Q30" s="7" t="str">
        <x:v>EEX-EXH-2026-1fb607fd5307c2fa
ERF-10
ERF-11</x:v>
      </x:c>
      <x:c r="R30" s="7" t="str">
        <x:v>EEX-EXH-2026-1fb607fd5307c2fa: https://www.jimtof.org/search/jp/ESdetails?e=-U1GqEJcgSM
ERF-10: https://www.yushiro.co.jp/news/社名変更のお知らせ
ERF-11: https://www.jimtof.org/2024/search/jp/ESdetails?e=He5z-J4NQm8</x:v>
      </x:c>
      <x:c r="S30" s="7" t="str">
        <x:v>状態監視・可視化を説明。AI異常判定・補給量の自動決定は確認できない</x:v>
      </x:c>
      <x:c r="T30" s="7" t="str">
        <x:v>コントローラーと管理画面を展示予定。自動補給・調液の実行は未確認</x:v>
      </x:c>
      <x:c r="U30" s="7" t="str">
        <x:v>未記載：液種設定・センサ校正・洗浄方法</x:v>
      </x:c>
      <x:c r="V30" s="7" t="str">
        <x:v>未記載：濃度基準・警報後の補給／液交換の決定者</x:v>
      </x:c>
      <x:c r="W30" s="7" t="str">
        <x:v>未記載：センサ汚れ・校正ずれ・通信断・異常液の扱い</x:v>
      </x:c>
      <x:c r="X30" s="7" t="str">
        <x:v>旧社名の2024原典を照合済み。ALFREDの自動補給・AI判断・2024装置との接続／機能差は未確認。2024濃度補給の説明をALFREDの仕様へ流用しない</x:v>
      </x:c>
    </x:row>
    <x:row r="31" ht="145" customHeight="1">
      <x:c r="A31" s="7" t="str">
        <x:v>工場運用DX</x:v>
      </x:c>
      <x:c r="B31" s="7" t="n">
        <x:v>4</x:v>
      </x:c>
      <x:c r="C31" s="7" t="str">
        <x:v>人の運用を比較</x:v>
      </x:c>
      <x:c r="D31" s="20" t="str">
        <x:v>パナソニックプロダクションエンジニアリング</x:v>
      </x:c>
      <x:c r="E31" s="7" t="str">
        <x:v>W3086</x:v>
      </x:c>
      <x:c r="F31" s="7" t="str">
        <x:v>X-Area Remote</x:v>
      </x:c>
      <x:c r="G31" s="7" t="str">
        <x:v>遠隔監視・人による対処を、完全無人化とは分けて比較する。停止時の復帰を含めた運用を見る。</x:v>
      </x:c>
      <x:c r="H31" s="7" t="str">
        <x:v>2024詳細なし。2022年に工場内けん引車の実証あり</x:v>
      </x:c>
      <x:c r="I31" s="7" t="str">
        <x:v>2026年7月の公式実証で、障害物停止後に人が遠隔回避する運用と車載構成を具体確認。JIMTOFは遠隔管制を展示予定。</x:v>
      </x:c>
      <x:c r="J31" s="7" t="str">
        <x:v>2024個別比較不能</x:v>
      </x:c>
      <x:c r="K31" s="7" t="str">
        <x:v>2024同名出展資料との比較は不能。既存の遠隔監視に対し、2026/7公式実証で屋外自動搬送への切替・人の回避操作を具体化。自律的な例外復帰の完成とはしない。</x:v>
      </x:c>
      <x:c r="L31" s="7" t="str">
        <x:v>監視者が見る情報、操作できる機器、通信遅延・切断、安全停止、復帰後の生産再開の役割を確認。</x:v>
      </x:c>
      <x:c r="M31" s="7" t="str">
        <x:v>JIMTOF2026公式カタログ掲載・現地未確認</x:v>
      </x:c>
      <x:c r="N31" s="7" t="str">
        <x:v>既存サービス方式確認・2026展示予定</x:v>
      </x:c>
      <x:c r="O31" s="7" t="str">
        <x:v>FC031</x:v>
      </x:c>
      <x:c t="str" r="P31" s="21">
        <x:f>HYPERLINK("#'展示詳細'!A"&amp;MATCH("FC031",'展示詳細'!$A$1:$A$340,0),"FC031")</x:f>
        <x:v>FC031</x:v>
      </x:c>
      <x:c r="Q31" s="7" t="str">
        <x:v>EOV-V016-2026-1
EOV-W05
EOV-W09
EDP-24</x:v>
      </x:c>
      <x:c r="R31" s="7" t="str">
        <x:v>EOV-V016-2026-1: https://www.jimtof.org/search/jp/ESdetails?e=5mrMofo3nN8
EOV-W05: https://www.panasonic.com/jp/company/ppe/products/x-area.html
EOV-W09: https://tech.panasonic.com/jp/td/news/20221124.html
EDP-24: https://news.panasonic.com/jp/press/jn260713-1</x:v>
      </x:c>
      <x:c r="S31" s="7" t="str">
        <x:v>公式にAI支援型とするが、確認資料ではAIが決める経路・操作量の具体範囲は未説明</x:v>
      </x:c>
      <x:c r="T31" s="7" t="str">
        <x:v>通常はeve auto自動運転。障害物で停止したら人がX-Area Remoteへ切替えて回避操作</x:v>
      </x:c>
      <x:c r="U31" s="7" t="str">
        <x:v>公式実証：eve autoへカメラと車載コンピューターを搭載</x:v>
      </x:c>
      <x:c r="V31" s="7" t="str">
        <x:v>公式：ENEOSの運行担当者がオフィスから回避操作。完全無人の例外復帰とは別</x:v>
      </x:c>
      <x:c r="W31" s="7" t="str">
        <x:v>公式：想定外の工事車両で停止した際に人が遠隔介入。実証にはセーフティドライバーが搭乗</x:v>
      </x:c>
      <x:c r="X31" s="7" t="str">
        <x:v>屋外物流の2026/7実証とJIMTOF展示版は区別。AI支援の具体方式、通信断・安全条件は未確認</x:v>
      </x:c>
    </x:row>
    <x:row r="32" ht="145" customHeight="1">
      <x:c r="A32" s="7" t="str">
        <x:v>自動化</x:v>
      </x:c>
      <x:c r="B32" s="7" t="n">
        <x:v>1</x:v>
      </x:c>
      <x:c r="C32" s="7" t="str">
        <x:v>先に見る</x:v>
      </x:c>
      <x:c r="D32" s="20" t="str">
        <x:v>東京エレクトロンデバイス株式会社</x:v>
      </x:c>
      <x:c r="E32" s="7" t="str">
        <x:v>E7073</x:v>
      </x:c>
      <x:c r="F32" s="7" t="str">
        <x:v>3D形状認識・教示不要の面取り／皿もみ</x:v>
      </x:c>
      <x:c r="G32" s="7" t="str">
        <x:v>レーザースキャンで不定形ワークを認識し教示不要で面取り等を行う予定。固定教示との違いを具体作業で確認。</x:v>
      </x:c>
      <x:c r="H32" s="7" t="str">
        <x:v>同一名称の2024詳細なし。名称変更・他ブースの照合は未完了。</x:v>
      </x:c>
      <x:c r="I32" s="7" t="str">
        <x:v>レーザースキャンで未教示の不定形ワークを認識し、加工軌道を生成して面取り・皿もみ等を行う予定。</x:v>
      </x:c>
      <x:c r="J32" s="7" t="str">
        <x:v>2024個別比較不能</x:v>
      </x:c>
      <x:c r="K32" s="7" t="str">
        <x:v>2024差分は比較不能。AI使用を断定せず、認識から軌道生成・実行までを比較対象にする。</x:v>
      </x:c>
      <x:c r="L32" s="7" t="str">
        <x:v>未登録形状→軌道生成→干渉確認→加工を一連で見る。AI使用は未確認。東京エンジニアリングE7073内の展示。</x:v>
      </x:c>
      <x:c r="M32" s="7" t="str">
        <x:v>東京エンジニアリングE7073内で展示予定（企業公式告知で確認）</x:v>
      </x:c>
      <x:c r="N32" s="7" t="str">
        <x:v>2026展示予定。既存製品・参考出展・構想等は原典で個別確認</x:v>
      </x:c>
      <x:c r="O32" s="7" t="str">
        <x:v>AC146</x:v>
      </x:c>
      <x:c t="str" r="P32" s="21">
        <x:f>HYPERLINK("#'展示詳細'!A"&amp;MATCH("AC146",'展示詳細'!$A$1:$A$340,0),"AC146")</x:f>
        <x:v>AC146</x:v>
      </x:c>
      <x:c r="Q32" s="7" t="str">
        <x:v>EEX-EXH-2026-8c08de1ffed47316
EEX-WTED</x:v>
      </x:c>
      <x:c r="R32" s="7" t="str">
        <x:v>EEX-EXH-2026-8c08de1ffed47316: https://www.jimtof.org/search/jp/ESdetails?e=c4cChQniAm8
EEX-WTED: https://www.inrevium.com/news-event/event/p7331/</x:v>
      </x:c>
      <x:c r="S32" s="7" t="str">
        <x:v>形状から加工軌道を生成。ローダーは穴位置を避けるピック位置を決める</x:v>
      </x:c>
      <x:c r="T32" s="7" t="str">
        <x:v>面取り・皿もみ・バリ取り、1枚ずつ供給と加工後搬出を連携実演予定</x:v>
      </x:c>
      <x:c r="U32" s="7" t="str">
        <x:v>公式：CADやパタン教示を不要と説明。加工条件・形状制約の設定者は未公開</x:v>
      </x:c>
      <x:c r="V32" s="7" t="str">
        <x:v>未記載：生成軌道の干渉確認・加工許可・品質承認の手順</x:v>
      </x:c>
      <x:c r="W32" s="7" t="str">
        <x:v>未記載：反り・二枚取り・誤認識・工具摩耗・取り残し時の扱い</x:v>
      </x:c>
      <x:c r="X32" s="7" t="str">
        <x:v>独自3D形状認識という説明。機械学習／生成AIの利用は未確認。教示不要と未知形状無制限は同義ではない</x:v>
      </x:c>
    </x:row>
    <x:row r="33" ht="145" customHeight="1">
      <x:c r="A33" s="7" t="str">
        <x:v>自動化</x:v>
      </x:c>
      <x:c r="B33" s="7" t="n">
        <x:v>2</x:v>
      </x:c>
      <x:c r="C33" s="7" t="str">
        <x:v>先に見る</x:v>
      </x:c>
      <x:c r="D33" s="20" t="str">
        <x:v>松本機械工業株式会社</x:v>
      </x:c>
      <x:c r="E33" s="7" t="str">
        <x:v>W2070</x:v>
      </x:c>
      <x:c r="F33" s="7" t="str">
        <x:v>Smart Terrace Adv／爪・CAPTO工具の交換</x:v>
      </x:c>
      <x:c r="G33" s="7" t="str">
        <x:v>CAPTO・MAC交換は2024に初披露済み。Advの後付け、寸法入力による運用、単体販売への対応を比較する。</x:v>
      </x:c>
      <x:c r="H33" s="7" t="str">
        <x:v>2024/11/11の企業出展報告で、爪交換・ケレ交換・自動計測に加え、CAPTO工具交換とMACチャック丸ごと交換を展示会初披露と明記。</x:v>
      </x:c>
      <x:c r="I33" s="7" t="str">
        <x:v>2026は既設機向けAdvを追加し、爪・CAPTO工具・ケレ交換等を具体展示。</x:v>
      </x:c>
      <x:c r="J33" s="7" t="str">
        <x:v>2024から継続・Adv構成と提供方法を具体化</x:v>
      </x:c>
      <x:c r="K33" s="7" t="str">
        <x:v>CAPTO交換を2026新登場とした読みを修正。Advの省スペース・寸法入力の運用・後付け条件を比較。2026/7にはハード／ストッカー単体販売への対応を公式告知。</x:v>
      </x:c>
      <x:c r="L33" s="7" t="str">
        <x:v>後付けの改造点、交換後の精度確認、品種切替時の残作業、現場運用と導入条件を確認。</x:v>
      </x:c>
      <x:c r="M33" s="7" t="str">
        <x:v>2026公式カタログ掲載・現地未確認</x:v>
      </x:c>
      <x:c r="N33" s="7" t="str">
        <x:v>2026展示予定。既存製品・参考出展・構想等は原典で個別確認</x:v>
      </x:c>
      <x:c r="O33" s="7" t="str">
        <x:v>AC214</x:v>
      </x:c>
      <x:c t="str" r="P33" s="21">
        <x:f>HYPERLINK("#'展示詳細'!A"&amp;MATCH("AC214",'展示詳細'!$A$1:$A$340,0),"AC214")</x:f>
        <x:v>AC214</x:v>
      </x:c>
      <x:c r="Q33" s="7" t="str">
        <x:v>EEX-EXH-2026-0daa587f8abf6076
EEX-EXH-2024-1dc10e3b594ed9d8
EDP-26
EDP-27
EDP-28</x:v>
      </x:c>
      <x:c r="R33" s="7" t="str">
        <x:v>EEX-EXH-2026-0daa587f8abf6076: https://www.jimtof.org/search/jp/ESdetails?e=bhpEIIjKNb4
EEX-EXH-2024-1dc10e3b594ed9d8: https://www.jimtof.org/2024/search/jp/ESdetails?e=1cGhqW04Qes
EDP-26: https://mmkchuck.com/product/7218/
EDP-27: https://mmkchuck.com/news/2024/5903/
EDP-28: https://mmkchuck.com/news/2026/7380/</x:v>
      </x:c>
      <x:c r="S33" s="7" t="str">
        <x:v>寸法から動作を設定するセンサーレス自動ティーチング。学習AIの軌道生成とは未確認</x:v>
      </x:c>
      <x:c r="T33" s="7" t="str">
        <x:v>既設機のワーク・爪・工具等の段取り替え。機外計測によるNC補正は構成次第</x:v>
      </x:c>
      <x:c r="U33" s="7" t="str">
        <x:v>公式：作業者がティーチングBOXで寸法入力。初期プログラムはメーカーが組込み</x:v>
      </x:c>
      <x:c r="V33" s="7" t="str">
        <x:v>未記載：交換確認・計測補正の採用基準。手動段取り用のアクセスを確保</x:v>
      </x:c>
      <x:c r="W33" s="7" t="str">
        <x:v>未記載：掴み損ね・識別誤り・計測異常時の停止復帰</x:v>
      </x:c>
      <x:c r="X33" s="7" t="str">
        <x:v>2024にもCAPTO・チャック丸ごと交換を初披露。2026差分はAdvの後付け・構成・提供方法を中心に見る</x:v>
      </x:c>
    </x:row>
    <x:row r="34" ht="145" customHeight="1">
      <x:c r="A34" s="7" t="str">
        <x:v>自動化</x:v>
      </x:c>
      <x:c r="B34" s="7" t="n">
        <x:v>3</x:v>
      </x:c>
      <x:c r="C34" s="7" t="str">
        <x:v>方式を比較</x:v>
      </x:c>
      <x:c r="D34" s="20" t="str">
        <x:v>株式会社白山機工</x:v>
      </x:c>
      <x:c r="E34" s="7" t="str">
        <x:v>E2007</x:v>
      </x:c>
      <x:c r="F34" s="7" t="str">
        <x:v>AMRによる切り屑自動回収</x:v>
      </x:c>
      <x:c r="G34" s="7" t="str">
        <x:v>切り屑の集中処理とAMR回収の構成差。加工品以外の搬送を含め工場全体の自動化範囲を見る。</x:v>
      </x:c>
      <x:c r="H34" s="7" t="str">
        <x:v>2024は高精度ろ過、スマートチップコンベヤ、複数機からのポンプバック集中処理。</x:v>
      </x:c>
      <x:c r="I34" s="7" t="str">
        <x:v>2026はAMR切り屑回収、自由なレイアウトのコンベヤ、ろ過を実演・模型で紹介。</x:v>
      </x:c>
      <x:c r="J34" s="7" t="str">
        <x:v>搬送対象・構成の追加記載</x:v>
      </x:c>
      <x:c r="K34" s="7" t="str">
        <x:v>集中コンベヤ／配管とAMR回収を比較できる。AMRでの運搬対象・受渡しを確認。</x:v>
      </x:c>
      <x:c r="L34" s="7" t="str">
        <x:v>AMR回収の実機／模型の範囲、容器交換・満杯検知・回収順序・通路混雑・停止復帰を確認。</x:v>
      </x:c>
      <x:c r="M34" s="7" t="str">
        <x:v>2026は実演・模型を併用。AMR回収の実機／模型の範囲は要確認</x:v>
      </x:c>
      <x:c r="N34" s="7" t="str">
        <x:v>2026展示予定。既存製品・参考出展・構想等は原典で個別確認</x:v>
      </x:c>
      <x:c r="O34" s="7" t="str">
        <x:v>AC186</x:v>
      </x:c>
      <x:c t="str" r="P34" s="21">
        <x:f>HYPERLINK("#'展示詳細'!A"&amp;MATCH("AC186",'展示詳細'!$A$1:$A$340,0),"AC186")</x:f>
        <x:v>AC186</x:v>
      </x:c>
      <x:c r="Q34" s="7" t="str">
        <x:v>EEX-EXH-2026-d8a50e23a9101b11
EEX-EXH-2024-89cb7807f64be75b
EDP-29</x:v>
      </x:c>
      <x:c r="R34" s="7" t="str">
        <x:v>EEX-EXH-2026-d8a50e23a9101b11: https://www.jimtof.org/search/jp/ESdetails?e=FNFR7REQOl4
EEX-EXH-2024-89cb7807f64be75b: https://www.jimtof.org/2024/search/jp/ESdetails?e=krDglZoYKFc
EDP-29: https://www.hakusankiko.co.jp/news/event/8837/</x:v>
      </x:c>
      <x:c r="S34" s="7" t="str">
        <x:v>AMRを使う回収を説明。回収順序・配車・経路のAI判断は確認できない</x:v>
      </x:c>
      <x:c r="T34" s="7" t="str">
        <x:v>AMR切り屑回収、自由レイアウトのコンベヤ、ろ過を実演・模型で紹介</x:v>
      </x:c>
      <x:c r="U34" s="7" t="str">
        <x:v>未記載：ルート・置場・容器・回収周期の設定方法</x:v>
      </x:c>
      <x:c r="V34" s="7" t="str">
        <x:v>未記載：容器交換の確認と回収／ろ過条件の変更承認</x:v>
      </x:c>
      <x:c r="W34" s="7" t="str">
        <x:v>未記載：満杯・こぼれ・通路混雑・ドッキング失敗と人の復帰</x:v>
      </x:c>
      <x:c r="X34" s="7" t="str">
        <x:v>企業告知でも実演・模型を併記。AMRの実機実演範囲と処理量・稼働実績は未確認</x:v>
      </x:c>
    </x:row>
    <x:row r="35" ht="145" customHeight="1">
      <x:c r="A35" s="7" t="str">
        <x:v>自動化</x:v>
      </x:c>
      <x:c r="B35" s="7" t="n">
        <x:v>4</x:v>
      </x:c>
      <x:c r="C35" s="7" t="str">
        <x:v>機構方式を比較</x:v>
      </x:c>
      <x:c r="D35" s="20" t="str">
        <x:v>イマオコーポレーション</x:v>
      </x:c>
      <x:c r="E35" s="7" t="str">
        <x:v>W2001</x:v>
      </x:c>
      <x:c r="F35" s="7" t="str">
        <x:v>ナットランナー治具
メカ式フィンガー交換</x:v>
      </x:c>
      <x:c r="G35" s="7" t="str">
        <x:v>治具・指の交換をメカ機構で担う方式。AIが必要な判断と、シンプルに自動化できる作業を比較する。</x:v>
      </x:c>
      <x:c r="H35" s="7" t="str">
        <x:v>2024企業出展パンフにナットランナーのスイング・サイド・引込みクランプ、サポーター等を具体掲載。
メカ式ツールチェンジャーを掲載</x:v>
      </x:c>
      <x:c r="I35" s="7" t="str">
        <x:v>ナットランナー治具の種類追加を説明
ばねを用いたフィンガー交換を具体掲載</x:v>
      </x:c>
      <x:c r="J35" s="7" t="str">
        <x:v>対象・構成・要素の追加記載
2026具体化・機能差未確定</x:v>
      </x:c>
      <x:c r="K35" s="7" t="str">
        <x:v>ナットランナーによる治具クランプ自体は継続。2026の種類追加の中身は2024パンフの品番と照合し、未確認の型式を新製品としない。
出展説明・公式資料の記載比較。初発明年・実演成功・性能向上を証明するものではない。</x:v>
      </x:c>
      <x:c r="L35" s="7" t="str">
        <x:v>品種データ準備、交換確認、保持力・位置精度、故障・異物時の対処と人の残作業を確認。</x:v>
      </x:c>
      <x:c r="M35" s="7" t="str">
        <x:v>JIMTOF2026公式カタログ掲載・現地未確認</x:v>
      </x:c>
      <x:c r="N35" s="7" t="str">
        <x:v>2026展示予定・提供段階未確認</x:v>
      </x:c>
      <x:c r="O35" s="7" t="str">
        <x:v>FC042
FC043</x:v>
      </x:c>
      <x:c t="str" r="P35" s="21">
        <x:f>HYPERLINK("#'展示詳細'!A"&amp;MATCH("FC042",'展示詳細'!$A$1:$A$340,0),"FC042")</x:f>
        <x:v>FC042</x:v>
      </x:c>
      <x:c r="Q35" s="7" t="str">
        <x:v>EOV-V025-2024-1
EOV-V025-2026-1
EDP-30
EDP-32
EDP-31</x:v>
      </x:c>
      <x:c r="R35" s="7" t="str">
        <x:v>EOV-V025-2024-1: https://www.jimtof.org/2024/search/jp/ESdetails?e=MTYTZ2Km3zM
EOV-V025-2026-1: https://www.jimtof.org/search/jp/ESdetails?e=shuDpJLDn-A
EDP-30: https://www.imao.co.jp/products/nutrunnerclamp.html
EDP-32: https://www.imao.co.jp/event-20241105-1110-jimtof/jimtof.pdf
EDP-31: https://www.imao.co.jp/products/tsume-changer.html</x:v>
      </x:c>
      <x:c r="S35" s="7" t="str">
        <x:v>締結はメカ機構。ワーク選択・把持可否を判断するAIをこの治具が持つとは記載なし
締結部品がロックを機械的に保持。自動で交換すべき指を選ぶAIとは記載なし</x:v>
      </x:c>
      <x:c r="T35" s="7" t="str">
        <x:v>ナットランナーでクランプ・アンクランプ。配管配線不要で手動操作も可能
ハンド本体を残してフィンガーを交換。ばね・ボール・クサビで固定し、イジェクトピンで解除</x:v>
      </x:c>
      <x:c r="U35" s="7" t="str">
        <x:v>公式：ワークに合う治具・アクセサリー・フック形状を選び構築
公式：ハンドに合う取付板・フィンガー・ピンを設計して配置</x:v>
      </x:c>
      <x:c r="V35" s="7" t="str">
        <x:v>未記載：締付トルク・着座・クランプ完了を誰が何で確認するか
未記載：指の種類識別・締結完了の信号確認。認識センサの標準範囲は要確認</x:v>
      </x:c>
      <x:c r="W35" s="7" t="str">
        <x:v>公式資料：手動操作も可能。異物・緩み・締付異常時の運用は要確認
未記載：ピン未挿入・切粉噛込み・ロック不足の検出と復帰</x:v>
      </x:c>
      <x:c r="X35" s="7" t="str">
        <x:v>2024出展パンフにも同系列の治具を掲載済み。2026の新規型式は個別品番で確認する
配線配管不要はロック機構についての説明。セル全体のセンサ・制御配線が不要という意味ではない</x:v>
      </x:c>
    </x:row>
    <x:row r="36" ht="145" customHeight="1">
      <x:c r="A36" s="7" t="str">
        <x:v>自律化</x:v>
      </x:c>
      <x:c r="B36" s="7" t="n">
        <x:v>1</x:v>
      </x:c>
      <x:c r="C36" s="7" t="str">
        <x:v>先に見る</x:v>
      </x:c>
      <x:c r="D36" s="20" t="str">
        <x:v>TAKISAWA</x:v>
      </x:c>
      <x:c r="E36" s="7" t="str">
        <x:v>E3013</x:v>
      </x:c>
      <x:c r="F36" s="7" t="str">
        <x:v>TR-20W：主軸の切粉除去</x:v>
      </x:c>
      <x:c r="G36" s="7" t="str">
        <x:v>切粉の認識・判断・除去という限定タスクで、自動動作と状況に応じた判断の境界を確認できる。</x:v>
      </x:c>
      <x:c r="H36" s="7" t="str">
        <x:v>2024のTR-20Wはワーク搬入・搬出の自動化デモを予告</x:v>
      </x:c>
      <x:c r="I36" s="7" t="str">
        <x:v>2026は切粉絡まり判断・除去を参考出品</x:v>
      </x:c>
      <x:c r="J36" s="7" t="str">
        <x:v>担当タスクの追加記載</x:v>
      </x:c>
      <x:c r="K36" s="7" t="str">
        <x:v>出展説明・公式資料の記載比較。初発明年・実演成功・性能向上を証明するものではない。</x:v>
      </x:c>
      <x:c r="L36" s="7" t="str">
        <x:v>未知の絡まり、失敗検出、再試行の停止条件と人への引継ぎを確認。参考出品を実用化済みと扱わない。</x:v>
      </x:c>
      <x:c r="M36" s="7" t="str">
        <x:v>JIMTOF2026公式カタログ掲載・現地未確認</x:v>
      </x:c>
      <x:c r="N36" s="7" t="str">
        <x:v>参考出品・現地未検証</x:v>
      </x:c>
      <x:c r="O36" s="7" t="str">
        <x:v>FC049</x:v>
      </x:c>
      <x:c t="str" r="P36" s="21">
        <x:f>HYPERLINK("#'展示詳細'!A"&amp;MATCH("FC049",'展示詳細'!$A$1:$A$340,0),"FC049")</x:f>
        <x:v>FC049</x:v>
      </x:c>
      <x:c r="Q36" s="7" t="str">
        <x:v>EOV-V030-2024-1
EOV-V030-2026-1
EAT-N01
EAT-N02
ERF-13</x:v>
      </x:c>
      <x:c r="R36" s="7" t="str">
        <x:v>EOV-V030-2024-1: https://www.jimtof.org/2024/search/jp/ESdetails?e=K00DRD-BngA
EOV-V030-2026-1: https://www.jimtof.org/search/jp/ESdetails?e=3dTDRAMwZpM
EAT-N01: https://www.nidec.com/jp/products/machine-tools/contents/machine-tool-jimtof2026/
EAT-N02: https://www.nidec.com/jp/product/news/2024/news1101-03/
ERF-13: https://www.nidec.com/jp/products/machine-tools/contents/machine-tool-jimtof2026/</x:v>
      </x:c>
      <x:c r="S36" s="7" t="str">
        <x:v>切粉の絡まり状況を認識・判断するとメーカーが説明</x:v>
      </x:c>
      <x:c r="T36" s="7" t="str">
        <x:v>台車型TR-20Wのロボットが主軸の切粉を除去する予定</x:v>
      </x:c>
      <x:c r="U36" s="7" t="str">
        <x:v>未記載：対象切粉・機械配置・除去具の設定手順</x:v>
      </x:c>
      <x:c r="V36" s="7" t="str">
        <x:v>未記載：動作前の承認、機械インターロックと許可範囲</x:v>
      </x:c>
      <x:c r="W36" s="7" t="str">
        <x:v>未記載：除去失敗の検出・再試行・停止後の人への引継ぎ</x:v>
      </x:c>
      <x:c r="X36" s="7" t="str">
        <x:v>未知の絡まり、除去力・接触回避・完了確認・成功率は未確認。市販済みと扱わない</x:v>
      </x:c>
    </x:row>
    <x:row r="37" ht="145" customHeight="1">
      <x:c r="A37" s="7" t="str">
        <x:v>自律化</x:v>
      </x:c>
      <x:c r="B37" s="7" t="n">
        <x:v>2</x:v>
      </x:c>
      <x:c r="C37" s="7" t="str">
        <x:v>先に見る</x:v>
      </x:c>
      <x:c r="D37" s="20" t="str">
        <x:v>東京エレクトロンデバイス株式会社</x:v>
      </x:c>
      <x:c r="E37" s="7" t="str">
        <x:v>E7073</x:v>
      </x:c>
      <x:c r="F37" s="7" t="str">
        <x:v>3D形状認識・教示不要の面取り／皿もみ</x:v>
      </x:c>
      <x:c r="G37" s="7" t="str">
        <x:v>形状に応じた軌道生成・加工。AI呼称に頼らず、入力変化への適応と実行範囲を比較する。</x:v>
      </x:c>
      <x:c r="H37" s="7" t="str">
        <x:v>同一名称の2024詳細なし。名称変更・他ブースの照合は未完了。</x:v>
      </x:c>
      <x:c r="I37" s="7" t="str">
        <x:v>レーザースキャンで未教示の不定形ワークを認識し、加工軌道を生成して面取り・皿もみ等を行う予定。</x:v>
      </x:c>
      <x:c r="J37" s="7" t="str">
        <x:v>2024個別比較不能</x:v>
      </x:c>
      <x:c r="K37" s="7" t="str">
        <x:v>2024差分は比較不能。AI使用を断定せず、認識から軌道生成・実行までを比較対象にする。</x:v>
      </x:c>
      <x:c r="L37" s="7" t="str">
        <x:v>事前登録不要の範囲と形状制約、認識失敗・干渉・刃具摩耗への対応を確認。AI利用は未確認。</x:v>
      </x:c>
      <x:c r="M37" s="7" t="str">
        <x:v>東京エンジニアリングE7073内で展示予定（企業公式告知で確認）</x:v>
      </x:c>
      <x:c r="N37" s="7" t="str">
        <x:v>2026展示予定。既存製品・参考出展・構想等は原典で個別確認</x:v>
      </x:c>
      <x:c r="O37" s="7" t="str">
        <x:v>AC146</x:v>
      </x:c>
      <x:c t="str" r="P37" s="21">
        <x:f>HYPERLINK("#'展示詳細'!A"&amp;MATCH("AC146",'展示詳細'!$A$1:$A$340,0),"AC146")</x:f>
        <x:v>AC146</x:v>
      </x:c>
      <x:c r="Q37" s="7" t="str">
        <x:v>EEX-EXH-2026-8c08de1ffed47316
EEX-WTED</x:v>
      </x:c>
      <x:c r="R37" s="7" t="str">
        <x:v>EEX-EXH-2026-8c08de1ffed47316: https://www.jimtof.org/search/jp/ESdetails?e=c4cChQniAm8
EEX-WTED: https://www.inrevium.com/news-event/event/p7331/</x:v>
      </x:c>
      <x:c r="S37" s="7" t="str">
        <x:v>形状から加工軌道を生成。ローダーは穴位置を避けるピック位置を決める</x:v>
      </x:c>
      <x:c r="T37" s="7" t="str">
        <x:v>面取り・皿もみ・バリ取り、1枚ずつ供給と加工後搬出を連携実演予定</x:v>
      </x:c>
      <x:c r="U37" s="7" t="str">
        <x:v>公式：CADやパタン教示を不要と説明。加工条件・形状制約の設定者は未公開</x:v>
      </x:c>
      <x:c r="V37" s="7" t="str">
        <x:v>未記載：生成軌道の干渉確認・加工許可・品質承認の手順</x:v>
      </x:c>
      <x:c r="W37" s="7" t="str">
        <x:v>未記載：反り・二枚取り・誤認識・工具摩耗・取り残し時の扱い</x:v>
      </x:c>
      <x:c r="X37" s="7" t="str">
        <x:v>独自3D形状認識という説明。機械学習／生成AIの利用は未確認。教示不要と未知形状無制限は同義ではない</x:v>
      </x:c>
    </x:row>
    <x:row r="38" ht="145" customHeight="1">
      <x:c r="A38" s="7" t="str">
        <x:v>自律化</x:v>
      </x:c>
      <x:c r="B38" s="7" t="n">
        <x:v>3</x:v>
      </x:c>
      <x:c r="C38" s="7" t="str">
        <x:v>判断範囲を確認</x:v>
      </x:c>
      <x:c r="D38" s="20" t="str">
        <x:v>FNS株式会社</x:v>
      </x:c>
      <x:c r="E38" s="7" t="str">
        <x:v>E2034</x:v>
      </x:c>
      <x:c r="F38" s="7" t="str">
        <x:v>TM-2800：AMR・ロボット・加工機の統合</x:v>
      </x:c>
      <x:c r="G38" s="7" t="str">
        <x:v>統合制御の記述はあるが自律再計画は未確認。スケジューリングと未知例外への対応を分ける比較対象。</x:v>
      </x:c>
      <x:c r="H38" s="7" t="str">
        <x:v>2024はRK510のストッカー・2D位置補正・ハンド交換と加工機接続。</x:v>
      </x:c>
      <x:c r="I38" s="7" t="str">
        <x:v>2026は高層ストッカーTM-2800を起点にAMR・ロボット・加工機を統合制御する提案。</x:v>
      </x:c>
      <x:c r="J38" s="7" t="str">
        <x:v>搬送対象・構成の追加記載</x:v>
      </x:c>
      <x:c r="K38" s="7" t="str">
        <x:v>セル内供給から工程間統合へ対象拡大を記載。再計画・未知例外対応は未確認。</x:v>
      </x:c>
      <x:c r="L38" s="7" t="str">
        <x:v>設備停止や搬送遅延を起こした時に、どこが何を再計画し、人の承認がどこに入るか。</x:v>
      </x:c>
      <x:c r="M38" s="7" t="str">
        <x:v>2026公式カタログ掲載・現地未確認</x:v>
      </x:c>
      <x:c r="N38" s="7" t="str">
        <x:v>2026展示予定。既存製品・参考出展・構想等は原典で個別確認</x:v>
      </x:c>
      <x:c r="O38" s="7" t="str">
        <x:v>AC039</x:v>
      </x:c>
      <x:c t="str" r="P38" s="21">
        <x:f>HYPERLINK("#'展示詳細'!A"&amp;MATCH("AC039",'展示詳細'!$A$1:$A$340,0),"AC039")</x:f>
        <x:v>AC039</x:v>
      </x:c>
      <x:c r="Q38" s="7" t="str">
        <x:v>EEX-EXH-2026-9022dcaec2b02dde
EEX-EXH-2024-caa95a5ce916176b
EDP-25</x:v>
      </x:c>
      <x:c r="R38" s="7" t="str">
        <x:v>EEX-EXH-2026-9022dcaec2b02dde: https://www.jimtof.org/search/jp/ESdetails?e=_q_YetP8_og
EEX-EXH-2024-caa95a5ce916176b: https://www.jimtof.org/2024/search/jp/ESdetails?e=LRKay8iRNz4
EDP-25: https://www.fns-inc.jp/%E3%83%AD%E3%83%9C%E3%83%83%E3%83%88%E3%82%B7%E3%82%B9%E3%83%86%E3%83%A0</x:v>
      </x:c>
      <x:c r="S38" s="7" t="str">
        <x:v>TM-2800の工程指示・統合制御の説明。AIによる再計画・最適化の有無は未特定</x:v>
      </x:c>
      <x:c r="T38" s="7" t="str">
        <x:v>ストッカー・AMR・ロボット・加工機へ指示。旧RK510はCRX-10iA、カメラ・ハンド交換等の構成</x:v>
      </x:c>
      <x:c r="U38" s="7" t="str">
        <x:v>公式出展説明：人が投入・スケジューリング。企業製品ページは旧RK510等の構成まで</x:v>
      </x:c>
      <x:c r="V38" s="7" t="str">
        <x:v>未記載：統合指示・計画変更の承認、機器間の権限</x:v>
      </x:c>
      <x:c r="W38" s="7" t="str">
        <x:v>未記載：AMR遅延・加工機停止・仕掛品欠品での再計画と復帰</x:v>
      </x:c>
      <x:c r="X38" s="7" t="str">
        <x:v>企業ページで確認したRK510の構成を、新TM-2800の機器構成として流用しない。TM-2800の補足技術資料は未確認</x:v>
      </x:c>
    </x:row>
    <x:row r="39" ht="145" customHeight="1">
      <x:c r="A39" s="7" t="str">
        <x:v>自律化</x:v>
      </x:c>
      <x:c r="B39" s="7" t="n">
        <x:v>4</x:v>
      </x:c>
      <x:c r="C39" s="7" t="str">
        <x:v>構想・実装を比較</x:v>
      </x:c>
      <x:c r="D39" s="20" t="str">
        <x:v>ソフィックス</x:v>
      </x:c>
      <x:c r="E39" s="7" t="str">
        <x:v>E1067</x:v>
      </x:c>
      <x:c r="F39" s="7" t="str">
        <x:v>SOFIXCAN Fleeter＋AI Forecast：ミニ工場</x:v>
      </x:c>
      <x:c r="G39" s="7" t="str">
        <x:v>AIによる工場最適化を掲げるミニ工場。現物デモの閉じた環境と実工場への適用条件を比較する。</x:v>
      </x:c>
      <x:c r="H39" s="7" t="str">
        <x:v>メーター読取、切粉除去、AI熱変位補正を掲載</x:v>
      </x:c>
      <x:c r="I39" s="7" t="str">
        <x:v>2026は連携するミニ工場展示</x:v>
      </x:c>
      <x:c r="J39" s="7" t="str">
        <x:v>対象・構成・要素の追加記載</x:v>
      </x:c>
      <x:c r="K39" s="7" t="str">
        <x:v>2024の画像読取・熱変位等に対し2026は連携ミニ工場を掲げる。ただしメーカーは2025にも同系デモを告知。2026固有の予測→指令の接続追加は未確認。</x:v>
      </x:c>
      <x:c r="L39" s="7" t="str">
        <x:v>予測から実行までの権限、未知例外、適用規模、採用実績を確認。デモの最適化を工場全体の自律化としない。</x:v>
      </x:c>
      <x:c r="M39" s="7" t="str">
        <x:v>JIMTOF2026公式カタログ掲載・現地未確認</x:v>
      </x:c>
      <x:c r="N39" s="7" t="str">
        <x:v>ミニ工場の展示デモ予定・商用無人工場実績ではない</x:v>
      </x:c>
      <x:c r="O39" s="7" t="str">
        <x:v>FC030</x:v>
      </x:c>
      <x:c t="str" r="P39" s="21">
        <x:f>HYPERLINK("#'展示詳細'!A"&amp;MATCH("FC030",'展示詳細'!$A$1:$A$340,0),"FC030")</x:f>
        <x:v>FC030</x:v>
      </x:c>
      <x:c r="Q39" s="7" t="str">
        <x:v>EOV-V015-2024-1
EOV-V015-2026-1
EDP-21
EDP-22
EDP-23</x:v>
      </x:c>
      <x:c r="R39" s="7" t="str">
        <x:v>EOV-V015-2024-1: https://www.jimtof.org/2024/search/jp/ESdetails?e=WNiUW-E-atY
EOV-V015-2026-1: https://www.jimtof.org/search/jp/ESdetails?e=rYRhOM0muPQ
EDP-21: https://www.sofix.co.jp/products/sofixcan_ai_forecast/
EDP-22: https://www.sofix.co.jp/products/sofixcan_fleeter/
EDP-23: https://www.sofix.co.jp/</x:v>
      </x:c>
      <x:c r="S39" s="7" t="str">
        <x:v>AI Forecastは時系列・形状領域を予測。予測を生産計画変更に使う実装は未確認</x:v>
      </x:c>
      <x:c r="T39" s="7" t="str">
        <x:v>Fleeterは上位命令をトリガーにAMR・アーム・PLC等を制御。AI予測が直接搬送を決めると推測しない</x:v>
      </x:c>
      <x:c r="U39" s="7" t="str">
        <x:v>公式：顧客向け予測システム・機器通信モジュールの開発を行う</x:v>
      </x:c>
      <x:c r="V39" s="7" t="str">
        <x:v>未記載：予測案から設備指令に移す許可・承認、現場の変更権限</x:v>
      </x:c>
      <x:c r="W39" s="7" t="str">
        <x:v>未記載：通信切断・予測外・搬送失敗での自動復帰と人への通知</x:v>
      </x:c>
      <x:c r="X39" s="7" t="str">
        <x:v>2025国際ロボット展でもFleeterミニ工場を予告。ミニ工場そのものを2026新登場としない</x:v>
      </x:c>
    </x:row>
    <x:row r="40" ht="145" customHeight="1">
      <x:c r="A40" s="7" t="str">
        <x:v>AI実装・連携基盤</x:v>
      </x:c>
      <x:c r="B40" s="7" t="n">
        <x:v>1</x:v>
      </x:c>
      <x:c r="C40" s="7" t="str">
        <x:v>先に見る</x:v>
      </x:c>
      <x:c r="D40" s="20" t="str">
        <x:v>NdotLight Co., Ltd.</x:v>
      </x:c>
      <x:c r="E40" s="7" t="str">
        <x:v>S4004</x:v>
      </x:c>
      <x:c r="F40" s="7" t="str">
        <x:v>TRINIX：CADから物理シミュレーション用データ生成</x:v>
      </x:c>
      <x:c r="G40" s="7" t="str">
        <x:v>実機AIの前工程にある、シミュレーション・学習用3Dデータ生成基盤を具体に確認できる。</x:v>
      </x:c>
      <x:c r="H40" s="7" t="str">
        <x:v>同一名称の2024詳細なし。</x:v>
      </x:c>
      <x:c r="I40" s="7" t="str">
        <x:v>テキスト・画像・CADからNURBS形状、物理属性・関節・衝突メッシュを生成し、シミュレーション検証・自己修正を説明。</x:v>
      </x:c>
      <x:c r="J40" s="7" t="str">
        <x:v>2024個別比較不能</x:v>
      </x:c>
      <x:c r="K40" s="7" t="str">
        <x:v>2024差分は比較不能。ロボット動作そのものと、学習・検証用データ生成の基盤を区別。</x:v>
      </x:c>
      <x:c r="L40" s="7" t="str">
        <x:v>CADから物理属性の付与、検証、自己修正、学習データ出力まで実物で確認。実機作業の成功率とは分ける。</x:v>
      </x:c>
      <x:c r="M40" s="7" t="str">
        <x:v>2026のライブデモ・ロボット学習用データ展示を予告。実機ロボットの作業実演とは未確認</x:v>
      </x:c>
      <x:c r="N40" s="7" t="str">
        <x:v>2026展示予定。既存製品・参考出展・構想等は原典で個別確認</x:v>
      </x:c>
      <x:c r="O40" s="7" t="str">
        <x:v>AC273</x:v>
      </x:c>
      <x:c t="str" r="P40" s="21">
        <x:f>HYPERLINK("#'展示詳細'!A"&amp;MATCH("AC273",'展示詳細'!$A$1:$A$340,0),"AC273")</x:f>
        <x:v>AC273</x:v>
      </x:c>
      <x:c r="Q40" s="7" t="str">
        <x:v>EEX-EXH-2026-016097f87d1914b2
EEX-WNDOT
ERF-06
ERF-07
ERF-08
ERF-09</x:v>
      </x:c>
      <x:c r="R40" s="7" t="str">
        <x:v>EEX-EXH-2026-016097f87d1914b2: https://www.jimtof.org/search/jp/ESdetails?e=6Ds1v9hxvrY
EEX-WNDOT: https://ndotlight.com/newsroom/ndotlight-proposes-a-new-3d-data-standard-for-the-physical-ai-era-with-trinix
ERF-06: https://ndotlight.com/
ERF-07: https://docs.omniverse.nvidia.com/simready/latest/simready-faq.html
ERF-08: https://docs.omniverse.nvidia.com/simready/latest/simready-asset-creation/physics-best-practices.html
ERF-09: https://ndotlight.com/newsroom/ndotlight-to-co-develop-dexbench-a-global-standard-for-humanoid-evaluation-with-nvidia-and-rlwrld</x:v>
      </x:c>
      <x:c r="S40" s="7" t="str">
        <x:v>CAD生成・SimReady変換。自己修正は出展説明の主張で、正解の作り方・修正判定は未公開</x:v>
      </x:c>
      <x:c r="T40" s="7" t="str">
        <x:v>NURBS等の編集可能形状と物理属性を生成し、USD/URDF/MJCF等へ出力する説明</x:v>
      </x:c>
      <x:c r="U40" s="7" t="str">
        <x:v>未記載：質量・摩擦・関節条件の実測入力と推定値の区別</x:v>
      </x:c>
      <x:c r="V40" s="7" t="str">
        <x:v>未記載：物理属性・生成形状・検証結果を人が承認する画面</x:v>
      </x:c>
      <x:c r="W40" s="7" t="str">
        <x:v>未記載：物理破綻や自己修正が収束しない時の扱い</x:v>
      </x:c>
      <x:c r="X40" s="7" t="str">
        <x:v>TRINIXは物理属性の推論と自己修正を説明済み。NVIDIAのアセット検証は周辺基盤の既存機能で、TRINIXへの搭載確認とは別。DexBenchは共同開発告知。実測正解・収束条件・実機誤差と公開ベンチの提供範囲は未確認</x:v>
      </x:c>
    </x:row>
    <x:row r="41" ht="145" customHeight="1">
      <x:c r="A41" s="7" t="str">
        <x:v>AI実装・連携基盤</x:v>
      </x:c>
      <x:c r="B41" s="7" t="n">
        <x:v>2</x:v>
      </x:c>
      <x:c r="C41" s="7" t="str">
        <x:v>先に見る</x:v>
      </x:c>
      <x:c r="D41" s="20" t="str">
        <x:v>ベッコフオートメーション</x:v>
      </x:c>
      <x:c r="E41" s="7" t="str">
        <x:v>E2028</x:v>
      </x:c>
      <x:c r="F41" s="7" t="str">
        <x:v>TwinCAT Machine Learning Creator</x:v>
      </x:c>
      <x:c r="G41" s="7" t="str">
        <x:v>ノーコードで学習モデルを作成してPLCへ実装する説明。モデル作成と現場制御の接続点を見る。</x:v>
      </x:c>
      <x:c r="H41" s="7" t="str">
        <x:v>2024出展詳細は不足。ただしPC Control 02/2024で、データ分割・モデル解析・ONNX出力から制御への統合を説明済み。</x:v>
      </x:c>
      <x:c r="I41" s="7" t="str">
        <x:v>2026はノーコードでAI作成しPLC実装と記載</x:v>
      </x:c>
      <x:c r="J41" s="7" t="str">
        <x:v>2024以前からの基盤・展示差分未確定</x:v>
      </x:c>
      <x:c r="K41" s="7" t="str">
        <x:v>ノーコードのモデル生成とONNX実装を2026の新機能とはしない。追加モデル・データ種・運用評価機能のバージョン差は要確認。</x:v>
      </x:c>
      <x:c r="L41" s="7" t="str">
        <x:v>教師データ、推論周期、実行環境、モデル更新・ロールバック、誤判定時の制御への影響を確認。</x:v>
      </x:c>
      <x:c r="M41" s="7" t="str">
        <x:v>JIMTOF2026公式カタログ掲載・現地未確認</x:v>
      </x:c>
      <x:c r="N41" s="7" t="str">
        <x:v>既存製品方式確認・2026掲載</x:v>
      </x:c>
      <x:c r="O41" s="7" t="str">
        <x:v>FC014</x:v>
      </x:c>
      <x:c t="str" r="P41" s="21">
        <x:f>HYPERLINK("#'展示詳細'!A"&amp;MATCH("FC014",'展示詳細'!$A$1:$A$340,0),"FC014")</x:f>
        <x:v>FC014</x:v>
      </x:c>
      <x:c r="Q41" s="7" t="str">
        <x:v>EOV-V005-2026-1
EOV-W01
EDP-04</x:v>
      </x:c>
      <x:c r="R41" s="7" t="str">
        <x:v>EOV-V005-2026-1: https://www.jimtof.org/search/jp/ESdetails?e=K7DqahO2h08
EOV-W01: https://www.beckhoff.com/en-za/products/automation/twincat/texxxx-twincat-3-engineering/te3850.html
EDP-04: https://www.beckhoff.com/media/downloads/information-media/pc-control/pcc_0224_e.pdf</x:v>
      </x:c>
      <x:c r="S41" s="7" t="str">
        <x:v>学習・モデル選択／最適化を自動化。訓練とテストに分けてモデルを解析</x:v>
      </x:c>
      <x:c r="T41" s="7" t="str">
        <x:v>モデルをONNX等で出力し制御へ導入。モデルが実機で何を判断するかは用途ごとに別設定</x:v>
      </x:c>
      <x:c r="U41" s="7" t="str">
        <x:v>公式：データ準備・アノテーション・目的を設定する工程</x:v>
      </x:c>
      <x:c r="V41" s="7" t="str">
        <x:v>公式：解析・レポートでモデル評価を支援。実機採用基準と承認者は要確認</x:v>
      </x:c>
      <x:c r="W41" s="7" t="str">
        <x:v>未記載：ドリフト検出・再学習採否・モデル差替え失敗時の復帰</x:v>
      </x:c>
      <x:c r="X41" s="7" t="str">
        <x:v>AutoMLを備えるだけで実機が自律運転するとはいえない</x:v>
      </x:c>
    </x:row>
    <x:row r="42" ht="145" customHeight="1">
      <x:c r="A42" s="7" t="str">
        <x:v>AI実装・連携基盤</x:v>
      </x:c>
      <x:c r="B42" s="7" t="n">
        <x:v>3</x:v>
      </x:c>
      <x:c r="C42" s="7" t="str">
        <x:v>接続を比較</x:v>
      </x:c>
      <x:c r="D42" s="20" t="str">
        <x:v>たけびし</x:v>
      </x:c>
      <x:c r="E42" s="7" t="str">
        <x:v>S3015</x:v>
      </x:c>
      <x:c r="F42" s="7" t="str">
        <x:v>OPC UA情報モデルとエージェント連携</x:v>
      </x:c>
      <x:c r="G42" s="7" t="str">
        <x:v>異機種の設備情報をOPC UAの情報モデルでそろえる。エージェントが利用できるデータの条件を確認。</x:v>
      </x:c>
      <x:c r="H42" s="7" t="str">
        <x:v>OPC UA情報モデル・多ベンダー接続を説明</x:v>
      </x:c>
      <x:c r="I42" s="7" t="str">
        <x:v>AIエージェントへの連携シナリオを明記</x:v>
      </x:c>
      <x:c r="J42" s="7" t="str">
        <x:v>担当タスクの追加記載</x:v>
      </x:c>
      <x:c r="K42" s="7" t="str">
        <x:v>2024のOPC UA・多ベンダー接続に対し、2026はMCP AdapterとAI利用シナリオを追加説明。接続基盤の拡張であり、自律判断の搭載実績ではない。</x:v>
      </x:c>
      <x:c r="L42" s="7" t="str">
        <x:v>設備側の改造、旧機の接続、データの意味・更新・欠損、読取と書込の境界を確認。</x:v>
      </x:c>
      <x:c r="M42" s="7" t="str">
        <x:v>JIMTOF2026公式カタログ掲載・現地未確認</x:v>
      </x:c>
      <x:c r="N42" s="7" t="str">
        <x:v>OPC製品は既存。MCP Adapterは2026年6月のメーカー寄稿で提供計画。現在の提供版は要確認</x:v>
      </x:c>
      <x:c r="O42" s="7" t="str">
        <x:v>FC024</x:v>
      </x:c>
      <x:c t="str" r="P42" s="21">
        <x:f>HYPERLINK("#'展示詳細'!A"&amp;MATCH("FC024",'展示詳細'!$A$1:$A$340,0),"FC024")</x:f>
        <x:v>FC024</x:v>
      </x:c>
      <x:c r="Q42" s="7" t="str">
        <x:v>EOV-V011-2024-1
EOV-V011-2026-1
EDP-06</x:v>
      </x:c>
      <x:c r="R42" s="7" t="str">
        <x:v>EOV-V011-2024-1: https://www.jimtof.org/2024/search/jp/ESdetails?e=SiZMI-OH8_k
EOV-V011-2026-1: https://www.jimtof.org/search/jp/ESdetails?e=Qh27DAtEkbw
EDP-06: https://opcconnect.opcfoundation.org/2026/06/toward-realizing-ai-utilization-in-manufacturing-exploring-the-potential-of-integrating-the-opc-ua-information-model-with-ai-agents/</x:v>
      </x:c>
      <x:c r="S42" s="7" t="str">
        <x:v>OPC製品自体がAI判断するとは記載なし。分析・保全支援は接続先エージェントの用途</x:v>
      </x:c>
      <x:c r="T42" s="7" t="str">
        <x:v>設備データを構造化して提供。OPC UA×MCP Adapterは提供を計画と記載</x:v>
      </x:c>
      <x:c r="U42" s="7" t="str">
        <x:v>分析：接続機器・情報モデル・公開するデータ／メソッドの定義が必要。設定者は要確認</x:v>
      </x:c>
      <x:c r="V42" s="7" t="str">
        <x:v>未記載：読出しと書込みの区別、メソッド実行の承認・許可リスト</x:v>
      </x:c>
      <x:c r="W42" s="7" t="str">
        <x:v>未記載：状態誤解釈・通信切断・誤ったメソッド呼出し時の復帰</x:v>
      </x:c>
      <x:c r="X42" s="7" t="str">
        <x:v>接続シナリオと提供計画を実装済みの機械制御と扱わない</x:v>
      </x:c>
    </x:row>
    <x:row r="43" ht="145" customHeight="1">
      <x:c r="A43" s="7" t="str">
        <x:v>AI実装・連携基盤</x:v>
      </x:c>
      <x:c r="B43" s="7" t="n">
        <x:v>4</x:v>
      </x:c>
      <x:c r="C43" s="7" t="str">
        <x:v>入力を比較</x:v>
      </x:c>
      <x:c r="D43" s="20" t="str">
        <x:v>興和オプトロニクス</x:v>
      </x:c>
      <x:c r="E43" s="7" t="str">
        <x:v>S3104</x:v>
      </x:c>
      <x:c r="F43" s="7" t="str">
        <x:v>RW耐環境ビジョンユニット</x:v>
      </x:c>
      <x:c r="G43" s="7" t="str">
        <x:v>油・切粉・ミスト下の撮像を安定させる入力基盤とAI異常検知。アルゴリズム以前の現場条件を見る。</x:v>
      </x:c>
      <x:c r="H43" s="7" t="str">
        <x:v>2024詳細なし</x:v>
      </x:c>
      <x:c r="I43" s="7" t="str">
        <x:v>2026は耐環境撮像とAIによる切粉・工具異常検知を具体説明</x:v>
      </x:c>
      <x:c r="J43" s="7" t="str">
        <x:v>2024個別比較不能</x:v>
      </x:c>
      <x:c r="K43" s="7" t="str">
        <x:v>出展説明・公式資料の記載比較。初発明年・実演成功・性能向上を証明するものではない。</x:v>
      </x:c>
      <x:c r="L43" s="7" t="str">
        <x:v>清掃・保護・照明、視界不良検知、学習と撮像の責任分界。実機装着と検知機能を分けて確認。</x:v>
      </x:c>
      <x:c r="M43" s="7" t="str">
        <x:v>JIMTOF2026公式カタログ掲載・現地未確認</x:v>
      </x:c>
      <x:c r="N43" s="7" t="str">
        <x:v>2026展示予定・提供段階未確認</x:v>
      </x:c>
      <x:c r="O43" s="7" t="str">
        <x:v>FC063</x:v>
      </x:c>
      <x:c t="str" r="P43" s="21">
        <x:f>HYPERLINK("#'展示詳細'!A"&amp;MATCH("FC063",'展示詳細'!$A$1:$A$340,0),"FC063")</x:f>
        <x:v>FC063</x:v>
      </x:c>
      <x:c r="Q43" s="7" t="str">
        <x:v>EOV-V042-2026-1
EDP-33</x:v>
      </x:c>
      <x:c r="R43" s="7" t="str">
        <x:v>EOV-V042-2026-1: https://www.jimtof.org/search/jp/ESdetails?e=v6nw4APC-vQ
EDP-33: https://optical.kowa-opt.co.jp/camera-rw/</x:v>
      </x:c>
      <x:c r="S43" s="7" t="str">
        <x:v>加工不良・切粉巻付き・刃先の欠損をAIで検出する説明</x:v>
      </x:c>
      <x:c r="T43" s="7" t="str">
        <x:v>異常部のヒートマップ表示、アラート発信。切粉除去や機械停止は別の接続機能で未確認</x:v>
      </x:c>
      <x:c r="U43" s="7" t="str">
        <x:v>公式：ビジョンプロセッサとの組合せが必要。学習・閾値・照明の設定手順は未公開</x:v>
      </x:c>
      <x:c r="V43" s="7" t="str">
        <x:v>未記載：アラート後の継続加工・停止の承認者と自動停止範囲</x:v>
      </x:c>
      <x:c r="W43" s="7" t="str">
        <x:v>未記載：カメラ視界不良、油付着、過検出・見逃し時の切替</x:v>
      </x:c>
      <x:c r="X43" s="7" t="str">
        <x:v>RWカメラ単体とAI解析を含む構成を分ける。検知→通知は確認、検知→自動除去は未確認</x:v>
      </x:c>
    </x:row>
  </x:sheetData>
  <x:pageMargins left="0.7" right="0.7" top="0.75" bottom="0.75" header="0.3" footer="0.3"/>
  <x:tableParts count="1">
    <x:tablePart xmlns:r="http://schemas.openxmlformats.org/officeDocument/2006/relationships" r:id="R6aa4b695348845a5"/>
  </x:tableParts>
</x:worksheet>
</file>

<file path=xl/worksheets/sheet8.xml><?xml version="1.0" encoding="utf-8"?>
<x:worksheet xmlns:x="http://schemas.openxmlformats.org/spreadsheetml/2006/main">
  <x:sheetPr>
    <x:tabColor rgb="FF244B63"/>
  </x:sheetPr>
  <x:sheetViews>
    <x:sheetView showGridLines="0" workbookViewId="0">
      <x:pane xSplit="3" ySplit="6" topLeftCell="D7" activePane="bottomRight" state="frozen"/>
    </x:sheetView>
  </x:sheetViews>
  <x:sheetFormatPr defaultRowHeight="15"/>
  <x:cols>
    <x:col min="1" max="1" width="25" hidden="0" customWidth="1"/>
    <x:col min="2" max="2" width="30" hidden="0" customWidth="1"/>
    <x:col min="3" max="3" width="30" hidden="0" customWidth="1"/>
    <x:col min="4" max="4" width="45" hidden="0" customWidth="1"/>
    <x:col min="5" max="5" width="15" hidden="0" customWidth="1"/>
    <x:col min="6" max="6" width="25" hidden="0" customWidth="1"/>
    <x:col min="7" max="7" width="43" hidden="0" customWidth="1"/>
    <x:col min="8" max="8" width="15" hidden="0" customWidth="1"/>
    <x:col min="9" max="9" width="65" hidden="0" customWidth="1"/>
    <x:col min="10" max="10" width="35" hidden="0" customWidth="1"/>
    <x:col min="11" max="11" width="65" hidden="0" customWidth="1"/>
  </x:cols>
  <x:sheetData>
    <x:row r="2" ht="30" customHeight="1">
      <x:c r="A2" s="3" t="str">
        <x:v>JIMTOF2026 カテゴリー別出展索引</x:v>
      </x:c>
      <x:c r="B2" s="1"/>
      <x:c r="C2" s="1"/>
      <x:c r="D2" s="1"/>
      <x:c r="E2" s="1"/>
      <x:c r="F2" s="1"/>
      <x:c r="G2" s="1"/>
      <x:c r="H2" s="1"/>
      <x:c r="I2" s="1"/>
      <x:c r="J2" s="1"/>
      <x:c r="K2" s="1"/>
    </x:row>
    <x:row r="3" ht="22" customHeight="1">
      <x:c r="A3" s="5" t="str">
        <x:v>309名称キー・334カード／追加候補を9カテゴリーで一次整理。重複・周辺部品を含み、精査深度は展示詳細を参照。</x:v>
      </x:c>
      <x:c r="B3" s="5"/>
      <x:c r="C3" s="5"/>
      <x:c r="D3" s="5"/>
      <x:c r="E3" s="5"/>
      <x:c r="F3" s="5"/>
      <x:c r="G3" s="5"/>
      <x:c r="H3" s="5"/>
      <x:c r="I3" s="5"/>
      <x:c r="J3" s="5"/>
      <x:c r="K3" s="5"/>
    </x:row>
    <x:row r="4" ht="22" customHeight="1">
      <x:c r="A4" s="5" t="str">
        <x:v>2026年は展示予定。基礎原典10/16・追補10/18（全件再取得ではない）。詳細・制約はカードと原典を参照。</x:v>
      </x:c>
      <x:c r="B4" s="5"/>
      <x:c r="C4" s="5"/>
      <x:c r="D4" s="5"/>
      <x:c r="E4" s="5"/>
      <x:c r="F4" s="5"/>
      <x:c r="G4" s="5"/>
      <x:c r="H4" s="5"/>
      <x:c r="I4" s="5"/>
      <x:c r="J4" s="5"/>
      <x:c r="K4" s="5"/>
    </x:row>
    <x:row r="5">
      <x:c r="A5" s="1"/>
      <x:c r="B5" s="1"/>
      <x:c r="C5" s="1"/>
      <x:c r="D5" s="1"/>
      <x:c r="E5" s="1"/>
      <x:c r="F5" s="1"/>
      <x:c r="G5" s="1"/>
      <x:c r="H5" s="1"/>
      <x:c r="I5" s="1"/>
      <x:c r="J5" s="1"/>
      <x:c r="K5" s="1"/>
    </x:row>
    <x:row r="6" ht="34" customHeight="1">
      <x:c r="A6" s="11" t="str">
        <x:v>カテゴリー</x:v>
      </x:c>
      <x:c r="B6" s="11" t="str">
        <x:v>細分類</x:v>
      </x:c>
      <x:c r="C6" s="11" t="str">
        <x:v>企業名</x:v>
      </x:c>
      <x:c r="D6" s="11" t="str">
        <x:v>展示アイテム</x:v>
      </x:c>
      <x:c r="E6" s="11" t="str">
        <x:v>2026ブース</x:v>
      </x:c>
      <x:c r="F6" s="11" t="str">
        <x:v>分類根拠</x:v>
      </x:c>
      <x:c r="G6" s="11" t="str">
        <x:v>関連範囲</x:v>
      </x:c>
      <x:c r="H6" s="11" t="str">
        <x:v>詳細へ</x:v>
      </x:c>
      <x:c r="I6" s="11" t="str">
        <x:v>分類理由</x:v>
      </x:c>
      <x:c r="J6" s="11" t="str">
        <x:v>根拠ID</x:v>
      </x:c>
      <x:c r="K6" s="11" t="str">
        <x:v>原典URL</x:v>
      </x:c>
    </x:row>
    <x:row r="7" ht="84" customHeight="1">
      <x:c r="A7" s="7" t="str">
        <x:v>フィジカルAI</x:v>
      </x:c>
      <x:c r="B7" s="7" t="str">
        <x:v>TRINIX：CADから物理シミュレーション用データ生成</x:v>
      </x:c>
      <x:c r="C7" s="7" t="str">
        <x:v>NdotLight Co., Ltd.</x:v>
      </x:c>
      <x:c r="D7" s="7" t="str">
        <x:v>TRINIX：CADから物理シミュレーション用データ生成</x:v>
      </x:c>
      <x:c r="E7" s="7" t="str">
        <x:v>S4004</x:v>
      </x:c>
      <x:c r="F7" s="7" t="str">
        <x:v>メーカー明示（Physical AI／公式製品説明）</x:v>
      </x:c>
      <x:c r="G7" s="7" t="str">
        <x:v>Physical AIの訴求／学習基盤。具体タスク・適用範囲はカード参照</x:v>
      </x:c>
      <x:c t="str" r="H7" s="21">
        <x:f>HYPERLINK("#'展示詳細'!A"&amp;MATCH("AC273",'展示詳細'!$A$1:$A$340,0),"AC273")</x:f>
        <x:v>AC273</x:v>
      </x:c>
      <x:c r="I7" s="7" t="str">
        <x:v>2026の具体記述：TRINIX is an AI-native platform that turns text, images and existing CAD or mesh data into simulation-ready 3D assets automatically. Describe what you need, or upload STEP, IGES or USD files. Then, TRINIX will generate f</x:v>
      </x:c>
      <x:c r="J7" s="7" t="str">
        <x:v>EEX-EXH-2026-016097f87d1914b2
EEX-WNDOT
ERF-06
ERF-07
ERF-08
ERF-09</x:v>
      </x:c>
      <x:c r="K7" s="7" t="str">
        <x:v>https://www.jimtof.org/search/jp/ESdetails?e=6Ds1v9hxvrY
https://ndotlight.com/newsroom/ndotlight-proposes-a-new-3d-data-standard-for-the-physical-ai-era-with-trinix
https://ndotlight.com/
https://docs.omniverse.nvidia.com/simready/latest/simready-faq.html
https://docs.omniverse.nvidia.com/simready/latest/simready-asset-creation/physics-best-practices.html
https://ndotlight.com/newsroom/ndotlight-to-co-develop-dexbench-a-global-standard-for-humanoid-evaluation-with-nvidia-and-rlwrld</x:v>
      </x:c>
    </x:row>
    <x:row r="8" ht="84" customHeight="1">
      <x:c r="A8" s="7" t="str">
        <x:v>フィジカルAI</x:v>
      </x:c>
      <x:c r="B8" s="7" t="str">
        <x:v>物理作業・CNC・セルへの適用</x:v>
      </x:c>
      <x:c r="C8" s="7" t="str">
        <x:v>TAKISAWA</x:v>
      </x:c>
      <x:c r="D8" s="7" t="str">
        <x:v>TR-20W：主軸の切粉除去</x:v>
      </x:c>
      <x:c r="E8" s="7" t="str">
        <x:v>E3013</x:v>
      </x:c>
      <x:c r="F8" s="7" t="str">
        <x:v>メーカー明示</x:v>
      </x:c>
      <x:c r="G8" s="7" t="str">
        <x:v>応用・展示提案（個別の確認範囲はカード参照）</x:v>
      </x:c>
      <x:c t="str" r="H8" s="21">
        <x:f>HYPERLINK("#'展示詳細'!A"&amp;MATCH("FC049",'展示詳細'!$A$1:$A$340,0),"FC049")</x:f>
        <x:v>FC049</x:v>
      </x:c>
      <x:c r="I8" s="7" t="str">
        <x:v>原典がフィジカルAIと呼ぶ展示。具体タスク・権限・参考出品の区別を保持。</x:v>
      </x:c>
      <x:c r="J8" s="7" t="str">
        <x:v>EOV-V030-2026-1
EAT-N01
EAT-N02
ERF-13</x:v>
      </x:c>
      <x:c r="K8" s="7" t="str">
        <x:v>https://www.jimtof.org/search/jp/ESdetails?e=3dTDRAMwZpM
https://www.nidec.com/jp/products/machine-tools/contents/machine-tool-jimtof2026/
https://www.nidec.com/jp/product/news/2024/news1101-03/</x:v>
      </x:c>
    </x:row>
    <x:row r="9" ht="84" customHeight="1">
      <x:c r="A9" s="7" t="str">
        <x:v>フィジカルAI</x:v>
      </x:c>
      <x:c r="B9" s="7" t="str">
        <x:v>マグネットピンセット：AI・2Dカメラ・協働ロボット</x:v>
      </x:c>
      <x:c r="C9" s="7" t="str">
        <x:v>カネテック株式会社</x:v>
      </x:c>
      <x:c r="D9" s="7" t="str">
        <x:v>マグネットピンセット：AI・2Dカメラ・協働ロボット</x:v>
      </x:c>
      <x:c r="E9" s="7" t="str">
        <x:v>W2013</x:v>
      </x:c>
      <x:c r="F9" s="7" t="str">
        <x:v>内容から分類（調査者・一次整理）</x:v>
      </x:c>
      <x:c r="G9" s="7" t="str">
        <x:v>フィジカルAI関連の応用／基盤。メーカー呼称と内容分類を分ける。</x:v>
      </x:c>
      <x:c t="str" r="H9" s="21">
        <x:f>HYPERLINK("#'展示詳細'!A"&amp;MATCH("AC051",'展示詳細'!$A$1:$A$340,0),"AC051")</x:f>
        <x:v>AC051</x:v>
      </x:c>
      <x:c r="I9" s="7" t="str">
        <x:v>2026の具体記述：また、小径ネジや小部品のバラ積みピッキング自動化を実現する、エンドエフェクタ「マグネットピンセット」は 磁気制御技術と2Dカメラ・AI、協働ロボットの連携により、省力化・自動化に向けた具体的な提案を展開する。 / 自動化・ワークの多様化に応えるラインアップで、幅広い業界のモノづくりを支える出展品の数々を、この機会に是非ご覧いただきたい。 / [バラ積みピッキング自動化]</x:v>
      </x:c>
      <x:c r="J9" s="7" t="str">
        <x:v>EEX-EXH-2026-30b70a74241de123
EDP-01</x:v>
      </x:c>
      <x:c r="K9" s="7" t="str">
        <x:v>https://www.jimtof.org/search/jp/ESdetails?e=ekM3exgIAtc
https://kanetec.co.jp/lp/MagnetPinset%40LP.html</x:v>
      </x:c>
    </x:row>
    <x:row r="10" ht="84" customHeight="1">
      <x:c r="A10" s="7" t="str">
        <x:v>フィジカルAI</x:v>
      </x:c>
      <x:c r="B10" s="7" t="str">
        <x:v>実装基盤・機構要素</x:v>
      </x:c>
      <x:c r="C10" s="7" t="str">
        <x:v>ケーメックス・オートメーション</x:v>
      </x:c>
      <x:c r="D10" s="7" t="str">
        <x:v>産業用IPC／VARIO-X・分散I/O</x:v>
      </x:c>
      <x:c r="E10" s="7" t="str">
        <x:v>S3024</x:v>
      </x:c>
      <x:c r="F10" s="7" t="str">
        <x:v>メーカー明示</x:v>
      </x:c>
      <x:c r="G10" s="7" t="str">
        <x:v>基盤・部品。AI動作の実装確認ではない</x:v>
      </x:c>
      <x:c t="str" r="H10" s="21">
        <x:f>HYPERLINK("#'展示詳細'!A"&amp;MATCH("FC068",'展示詳細'!$A$1:$A$340,0),"FC068")</x:f>
        <x:v>FC068</x:v>
      </x:c>
      <x:c r="I10" s="7" t="str">
        <x:v>フィジカルAIの導入基盤／用途向けと原典が記載。ロボット作業そのものとは分ける。</x:v>
      </x:c>
      <x:c r="J10" s="7" t="str">
        <x:v>EAT-V045-2026-1</x:v>
      </x:c>
      <x:c r="K10" s="7" t="str">
        <x:v>https://www.jimtof.org/search/jp/ESdetails?e=bz4bGc4T6ag</x:v>
      </x:c>
    </x:row>
    <x:row r="11" ht="84" customHeight="1">
      <x:c r="A11" s="7" t="str">
        <x:v>フィジカルAI</x:v>
      </x:c>
      <x:c r="B11" s="7" t="str">
        <x:v>物理作業・CNC・セルへの適用</x:v>
      </x:c>
      <x:c r="C11" s="7" t="str">
        <x:v>シマダマシンツール</x:v>
      </x:c>
      <x:c r="D11" s="7" t="str">
        <x:v>HS4200：フィジカルAI自動段取り替え</x:v>
      </x:c>
      <x:c r="E11" s="7" t="str">
        <x:v>E2018</x:v>
      </x:c>
      <x:c r="F11" s="7" t="str">
        <x:v>メーカー明示</x:v>
      </x:c>
      <x:c r="G11" s="7" t="str">
        <x:v>応用・展示提案（個別の確認範囲はカード参照）</x:v>
      </x:c>
      <x:c t="str" r="H11" s="21">
        <x:f>HYPERLINK("#'展示詳細'!A"&amp;MATCH("FC051",'展示詳細'!$A$1:$A$340,0),"FC051")</x:f>
        <x:v>FC051</x:v>
      </x:c>
      <x:c r="I11" s="7" t="str">
        <x:v>原典がフィジカルAIと呼ぶ展示。具体タスク・権限・参考出品の区別を保持。</x:v>
      </x:c>
      <x:c r="J11" s="7" t="str">
        <x:v>EOV-V031-2026-1</x:v>
      </x:c>
      <x:c r="K11" s="7" t="str">
        <x:v>https://www.jimtof.org/search/jp/ESdetails?e=xntdeqgs_F4</x:v>
      </x:c>
    </x:row>
    <x:row r="12" ht="84" customHeight="1">
      <x:c r="A12" s="7" t="str">
        <x:v>フィジカルAI</x:v>
      </x:c>
      <x:c r="B12" s="7" t="str">
        <x:v>実装基盤・機構要素</x:v>
      </x:c>
      <x:c r="C12" s="7" t="str">
        <x:v>テクノダイナミックス</x:v>
      </x:c>
      <x:c r="D12" s="7" t="str">
        <x:v>歳差ローラカム式減速機</x:v>
      </x:c>
      <x:c r="E12" s="7" t="str">
        <x:v>W3036</x:v>
      </x:c>
      <x:c r="F12" s="7" t="str">
        <x:v>メーカー明示</x:v>
      </x:c>
      <x:c r="G12" s="7" t="str">
        <x:v>基盤・部品。AI動作の実装確認ではない</x:v>
      </x:c>
      <x:c t="str" r="H12" s="21">
        <x:f>HYPERLINK("#'展示詳細'!A"&amp;MATCH("FC069",'展示詳細'!$A$1:$A$340,0),"FC069")</x:f>
        <x:v>FC069</x:v>
      </x:c>
      <x:c r="I12" s="7" t="str">
        <x:v>フィジカルAIの導入基盤／用途向けと原典が記載。ロボット作業そのものとは分ける。</x:v>
      </x:c>
      <x:c r="J12" s="7" t="str">
        <x:v>EAT-V046-2026-1</x:v>
      </x:c>
      <x:c r="K12" s="7" t="str">
        <x:v>https://www.jimtof.org/search/jp/ESdetails?e=2X8A1y5c4A8</x:v>
      </x:c>
    </x:row>
    <x:row r="13" ht="84" customHeight="1">
      <x:c r="A13" s="7" t="str">
        <x:v>フィジカルAI</x:v>
      </x:c>
      <x:c r="B13" s="7" t="str">
        <x:v>物理作業・CNC・セルへの適用</x:v>
      </x:c>
      <x:c r="C13" s="7" t="str">
        <x:v>ファナック</x:v>
      </x:c>
      <x:c r="D13" s="7" t="str">
        <x:v>生成AIによるロボット駆動</x:v>
      </x:c>
      <x:c r="E13" s="7" t="str">
        <x:v>S2001</x:v>
      </x:c>
      <x:c r="F13" s="7" t="str">
        <x:v>メーカー明示</x:v>
      </x:c>
      <x:c r="G13" s="7" t="str">
        <x:v>応用・展示提案（個別の確認範囲はカード参照）</x:v>
      </x:c>
      <x:c t="str" r="H13" s="21">
        <x:f>HYPERLINK("#'展示詳細'!A"&amp;MATCH("FC005",'展示詳細'!$A$1:$A$340,0),"FC005")</x:f>
        <x:v>FC005</x:v>
      </x:c>
      <x:c r="I13" s="7" t="str">
        <x:v>原典がフィジカルAIと呼ぶ展示。具体タスク・権限・参考出品の区別を保持。</x:v>
      </x:c>
      <x:c r="J13" s="7" t="str">
        <x:v>EOV-V002-2026-1</x:v>
      </x:c>
      <x:c r="K13" s="7" t="str">
        <x:v>https://www.jimtof.org/search/jp/ESdetails?e=q0OrZBKM3uQ</x:v>
      </x:c>
    </x:row>
    <x:row r="14" ht="84" customHeight="1">
      <x:c r="A14" s="7" t="str">
        <x:v>フィジカルAI</x:v>
      </x:c>
      <x:c r="B14" s="7" t="str">
        <x:v>物理作業・CNC・セルへの適用</x:v>
      </x:c>
      <x:c r="C14" s="7" t="str">
        <x:v>ファナック</x:v>
      </x:c>
      <x:c r="D14" s="7" t="str">
        <x:v>フィジカルAI CNC</x:v>
      </x:c>
      <x:c r="E14" s="7" t="str">
        <x:v>S2001</x:v>
      </x:c>
      <x:c r="F14" s="7" t="str">
        <x:v>メーカー明示</x:v>
      </x:c>
      <x:c r="G14" s="7" t="str">
        <x:v>応用・展示提案（個別の確認範囲はカード参照）</x:v>
      </x:c>
      <x:c t="str" r="H14" s="21">
        <x:f>HYPERLINK("#'展示詳細'!A"&amp;MATCH("FC006",'展示詳細'!$A$1:$A$340,0),"FC006")</x:f>
        <x:v>FC006</x:v>
      </x:c>
      <x:c r="I14" s="7" t="str">
        <x:v>原典がフィジカルAIと呼ぶ展示。具体タスク・権限・参考出品の区別を保持。</x:v>
      </x:c>
      <x:c r="J14" s="7" t="str">
        <x:v>EOV-V002-2026-1</x:v>
      </x:c>
      <x:c r="K14" s="7" t="str">
        <x:v>https://www.jimtof.org/search/jp/ESdetails?e=q0OrZBKM3uQ</x:v>
      </x:c>
    </x:row>
    <x:row r="15" ht="84" customHeight="1">
      <x:c r="A15" s="7" t="str">
        <x:v>フィジカルAI</x:v>
      </x:c>
      <x:c r="B15" s="7" t="str">
        <x:v>物理作業・CNC・セルへの適用</x:v>
      </x:c>
      <x:c r="C15" s="7" t="str">
        <x:v>三菱商事テクノス</x:v>
      </x:c>
      <x:c r="D15" s="7" t="str">
        <x:v>ロボット＋AMRの工程間連携デモ</x:v>
      </x:c>
      <x:c r="E15" s="7" t="str">
        <x:v>S3100</x:v>
      </x:c>
      <x:c r="F15" s="7" t="str">
        <x:v>メーカー明示</x:v>
      </x:c>
      <x:c r="G15" s="7" t="str">
        <x:v>応用・展示提案（個別の確認範囲はカード参照）</x:v>
      </x:c>
      <x:c t="str" r="H15" s="21">
        <x:f>HYPERLINK("#'展示詳細'!A"&amp;MATCH("FC067",'展示詳細'!$A$1:$A$340,0),"FC067")</x:f>
        <x:v>FC067</x:v>
      </x:c>
      <x:c r="I15" s="7" t="str">
        <x:v>原典がフィジカルAIと呼ぶ展示。具体タスク・権限・参考出品の区別を保持。</x:v>
      </x:c>
      <x:c r="J15" s="7" t="str">
        <x:v>EAT-V044-2026-1</x:v>
      </x:c>
      <x:c r="K15" s="7" t="str">
        <x:v>https://www.jimtof.org/search/jp/ESdetails?e=YIwM2AR4N4M</x:v>
      </x:c>
    </x:row>
    <x:row r="16" ht="84" customHeight="1">
      <x:c r="A16" s="7" t="str">
        <x:v>フィジカルAI</x:v>
      </x:c>
      <x:c r="B16" s="7" t="str">
        <x:v>ELHA社(ドイツ)大型特注工作機械　https://www.elha.de/ja/</x:v>
      </x:c>
      <x:c r="C16" s="7" t="str">
        <x:v>伊藤忠マシンテクノス株式会社</x:v>
      </x:c>
      <x:c r="D16" s="7" t="str">
        <x:v>ELHA社(ドイツ)大型特注工作機械　https://www.elha.de/ja/</x:v>
      </x:c>
      <x:c r="E16" s="7" t="str">
        <x:v>E1002</x:v>
      </x:c>
      <x:c r="F16" s="7" t="str">
        <x:v>メーカー明示（Physical AI／公式製品説明）</x:v>
      </x:c>
      <x:c r="G16" s="7" t="str">
        <x:v>Physical AIの訴求／学習基盤。具体タスク・適用範囲はカード参照</x:v>
      </x:c>
      <x:c t="str" r="H16" s="21">
        <x:f>HYPERLINK("#'展示詳細'!A"&amp;MATCH("AC019",'展示詳細'!$A$1:$A$340,0),"AC019")</x:f>
        <x:v>AC019</x:v>
      </x:c>
      <x:c r="I16" s="7" t="str">
        <x:v>2026の具体記述：本展示では、加工機単体の提案に留まらず、超重量AGV等を用いた「自動搬送システム」や、最先端AIテクノロジーを活用した「Physical AI・Iot,DXへのAI活用」など次世代のスマートファクトリー実現に向けた最新商材を幅広くラインナップしています。 / 加工・自動化・AI・DXの最新トレンドを体感できるブースへ、ぜひお越しください。 / ・ロボットリアルタイムティーチングソフト / ・Physical AI　二次開発&amp;統合システム</x:v>
      </x:c>
      <x:c r="J16" s="7" t="str">
        <x:v>EEX-EXH-2026-41dc1e5513fe9737</x:v>
      </x:c>
      <x:c r="K16" s="7" t="str">
        <x:v>https://www.jimtof.org/search/jp/ESdetails?e=7ypX6WR51KU</x:v>
      </x:c>
    </x:row>
    <x:row r="17" ht="84" customHeight="1">
      <x:c r="A17" s="7" t="str">
        <x:v>フィジカルAI</x:v>
      </x:c>
      <x:c r="B17" s="7" t="str">
        <x:v>GH5：工具の3D画像認識・AI補正ホーニング</x:v>
      </x:c>
      <x:c r="C17" s="7" t="str">
        <x:v>株式会社サイバーRC</x:v>
      </x:c>
      <x:c r="D17" s="7" t="str">
        <x:v>GH5：工具の3D画像認識・AI補正ホーニング</x:v>
      </x:c>
      <x:c r="E17" s="7" t="str">
        <x:v>E7074</x:v>
      </x:c>
      <x:c r="F17" s="7" t="str">
        <x:v>内容から分類（調査者・一次整理）</x:v>
      </x:c>
      <x:c r="G17" s="7" t="str">
        <x:v>フィジカルAI関連の応用／基盤。メーカー呼称と内容分類を分ける。</x:v>
      </x:c>
      <x:c t="str" r="H17" s="21">
        <x:f>HYPERLINK("#'展示詳細'!A"&amp;MATCH("AC085",'展示詳細'!$A$1:$A$340,0),"AC085")</x:f>
        <x:v>AC085</x:v>
      </x:c>
      <x:c r="I17" s="7" t="str">
        <x:v>2026の具体記述：職人技の精度を、AIでデジタル化。 / サイバーRCの「GH5」は、高度な画像認識とAI制御により、熟練者の繊細な調整を数値入力のみで再現します。 / 3次元画像解析×AI自動補正：機内カメラで工具を立体認識し、リアルタイム補正で安定品質を実現。 / 「人に頼る加工」から「再現性のある自動化」へ。 / 加工の自動化と作業の標準化を軸に、研削・ホーニングの課題を即座に解決する注目の3機種です。 / * GM5ATC160：最大160本の工</x:v>
      </x:c>
      <x:c r="J17" s="7" t="str">
        <x:v>EEX-EXH-2026-a0cbad27ea34d7c4
EDP-02</x:v>
      </x:c>
      <x:c r="K17" s="7" t="str">
        <x:v>https://www.jimtof.org/search/jp/ESdetails?e=8ealehgmk8o
https://cyber-rc.com/wp-content/uploads/2025/10/%E7%B7%8F%E5%90%88%E3%82%AB%E3%82%BF%E3%83%AD%E3%82%B0420-x-297-mm%E6%A8%AA%E4%B8%A6%E3%81%B3-.pdf</x:v>
      </x:c>
    </x:row>
    <x:row r="18" ht="84" customHeight="1">
      <x:c r="A18" s="7" t="str">
        <x:v>フィジカルAI</x:v>
      </x:c>
      <x:c r="B18" s="7" t="str">
        <x:v>TM Robot S-Type：ビジョン・AI内蔵協働ロボット</x:v>
      </x:c>
      <x:c r="C18" s="7" t="str">
        <x:v>株式会社ナベル</x:v>
      </x:c>
      <x:c r="D18" s="7" t="str">
        <x:v>TM Robot S-Type：ビジョン・AI内蔵協働ロボット</x:v>
      </x:c>
      <x:c r="E18" s="7" t="str">
        <x:v>W2041</x:v>
      </x:c>
      <x:c r="F18" s="7" t="str">
        <x:v>内容から分類（調査者・一次整理）</x:v>
      </x:c>
      <x:c r="G18" s="7" t="str">
        <x:v>フィジカルAI関連の応用／基盤。メーカー呼称と内容分類を分ける。</x:v>
      </x:c>
      <x:c t="str" r="H18" s="21">
        <x:f>HYPERLINK("#'展示詳細'!A"&amp;MATCH("AC159",'展示詳細'!$A$1:$A$340,0),"AC159")</x:f>
        <x:v>AC159</x:v>
      </x:c>
      <x:c r="I18" s="7" t="str">
        <x:v>2026の具体記述：SDGs の理念に添い、ムダの削減や再利用、省エネルギー化をサポートする新製品を始め、協働・産業用ロボットやロボットを保護するカバーも出展しております。 / ⚫TM Robot (S-Type) Techman製 AI搭載「協働ロボット」 / ビジョンカメラ標準内蔵・AIソフト搭載 / ⚫Robot-Flex 各種ロボット用カバー / ⚫ LS8(EPSONスカラロボット) / 可搬重量10㎏の省電力かつ静音性に優れたスカラロボット</x:v>
      </x:c>
      <x:c r="J18" s="7" t="str">
        <x:v>EEX-EXH-2026-87b7a21b4cef9d01</x:v>
      </x:c>
      <x:c r="K18" s="7" t="str">
        <x:v>https://www.jimtof.org/search/jp/ESdetails?e=6wciaKIuYB8</x:v>
      </x:c>
    </x:row>
    <x:row r="19" ht="84" customHeight="1">
      <x:c r="A19" s="7" t="str">
        <x:v>AIエージェント・対話支援</x:v>
      </x:c>
      <x:c r="B19" s="7" t="str">
        <x:v>工作機械エージェント</x:v>
      </x:c>
      <x:c r="C19" s="7" t="str">
        <x:v>DMG森精機</x:v>
      </x:c>
      <x:c r="D19" s="7" t="str">
        <x:v>工作機械へのAIエージェント実装（名称・担当不明）</x:v>
      </x:c>
      <x:c r="E19" s="7" t="str">
        <x:v>E8005</x:v>
      </x:c>
      <x:c r="F19" s="7" t="str">
        <x:v>メーカー明示</x:v>
      </x:c>
      <x:c r="G19" s="7" t="str">
        <x:v>担当タスク・実装位置・権限は未特定</x:v>
      </x:c>
      <x:c t="str" r="H19" s="21">
        <x:f>HYPERLINK("#'展示詳細'!A"&amp;MATCH("FC003",'展示詳細'!$A$1:$A$340,0),"FC003")</x:f>
        <x:v>FC003</x:v>
      </x:c>
      <x:c r="I19" s="7" t="str">
        <x:v>工作機械へのAIエージェント実装との記載。Condition Agentと同一とは確認できない。</x:v>
      </x:c>
      <x:c r="J19" s="7" t="str">
        <x:v>EOV-V001-2026-1</x:v>
      </x:c>
      <x:c r="K19" s="7" t="str">
        <x:v>https://www.jimtof.org/search/jp/ESdetails?e=zcqDj1lSkGs</x:v>
      </x:c>
    </x:row>
    <x:row r="20" ht="84" customHeight="1">
      <x:c r="A20" s="7" t="str">
        <x:v>AIエージェント・対話支援</x:v>
      </x:c>
      <x:c r="B20" s="7" t="str">
        <x:v>対話・知識・操作支援</x:v>
      </x:c>
      <x:c r="C20" s="7" t="str">
        <x:v>EPLAN</x:v>
      </x:c>
      <x:c r="D20" s="7" t="str">
        <x:v>Eplan Copilot</x:v>
      </x:c>
      <x:c r="E20" s="7" t="str">
        <x:v>S1067</x:v>
      </x:c>
      <x:c r="F20" s="7" t="str">
        <x:v>内容から分類（調査者）</x:v>
      </x:c>
      <x:c r="G20" s="7" t="str">
        <x:v>周辺の対話支援。自律実行の確認なし</x:v>
      </x:c>
      <x:c t="str" r="H20" s="21">
        <x:f>HYPERLINK("#'展示詳細'!A"&amp;MATCH("FC017",'展示詳細'!$A$1:$A$340,0),"FC017")</x:f>
        <x:v>FC017</x:v>
      </x:c>
      <x:c r="I20" s="7" t="str">
        <x:v>知識回答・操作手順・保全ナビの支援。エージェントと同じ検索入口に置くが、機能を同一視しない。</x:v>
      </x:c>
      <x:c r="J20" s="7" t="str">
        <x:v>EOV-V006-2026-1
EAT-N06</x:v>
      </x:c>
      <x:c r="K20" s="7" t="str">
        <x:v>https://www.jimtof.org/search/jp/ESdetails?e=FHsQAvmFusY
https://www.eplan.com/us-en/about-us/innovations/eplan-copilot/</x:v>
      </x:c>
    </x:row>
    <x:row r="21" ht="84" customHeight="1">
      <x:c r="A21" s="7" t="str">
        <x:v>AIエージェント・対話支援</x:v>
      </x:c>
      <x:c r="B21" s="7" t="str">
        <x:v>エージェントへのデータ連携</x:v>
      </x:c>
      <x:c r="C21" s="7" t="str">
        <x:v>たけびし</x:v>
      </x:c>
      <x:c r="D21" s="7" t="str">
        <x:v>OPC UA情報モデルとエージェント連携</x:v>
      </x:c>
      <x:c r="E21" s="7" t="str">
        <x:v>S3015</x:v>
      </x:c>
      <x:c r="F21" s="7" t="str">
        <x:v>メーカー明示</x:v>
      </x:c>
      <x:c r="G21" s="7" t="str">
        <x:v>連携基盤・シナリオ</x:v>
      </x:c>
      <x:c t="str" r="H21" s="21">
        <x:f>HYPERLINK("#'展示詳細'!A"&amp;MATCH("FC024",'展示詳細'!$A$1:$A$340,0),"FC024")</x:f>
        <x:v>FC024</x:v>
      </x:c>
      <x:c r="I21" s="7" t="str">
        <x:v>AIエージェントとの連携シナリオを記載。エージェント本体の製品ではない。</x:v>
      </x:c>
      <x:c r="J21" s="7" t="str">
        <x:v>EOV-V011-2026-1
EDP-06</x:v>
      </x:c>
      <x:c r="K21" s="7" t="str">
        <x:v>https://www.jimtof.org/search/jp/ESdetails?e=Qh27DAtEkbw
https://opcconnect.opcfoundation.org/2026/06/toward-realizing-ai-utilization-in-manufacturing-exploring-the-potential-of-integrating-the-opc-ua-information-model-with-ai-agents/</x:v>
      </x:c>
    </x:row>
    <x:row r="22" ht="84" customHeight="1">
      <x:c r="A22" s="7" t="str">
        <x:v>AIエージェント・対話支援</x:v>
      </x:c>
      <x:c r="B22" s="7" t="str">
        <x:v>制御開発支援</x:v>
      </x:c>
      <x:c r="C22" s="7" t="str">
        <x:v>ベッコフオートメーション</x:v>
      </x:c>
      <x:c r="D22" s="7" t="str">
        <x:v>TwinCAT CoAgent for Engineering：PLC</x:v>
      </x:c>
      <x:c r="E22" s="7" t="str">
        <x:v>E2028</x:v>
      </x:c>
      <x:c r="F22" s="7" t="str">
        <x:v>メーカー明示</x:v>
      </x:c>
      <x:c r="G22" s="7" t="str">
        <x:v>コード・I/O・HMIの提案。製品発表段階</x:v>
      </x:c>
      <x:c t="str" r="H22" s="21">
        <x:f>HYPERLINK("#'展示詳細'!A"&amp;MATCH("FC011",'展示詳細'!$A$1:$A$340,0),"FC011")</x:f>
        <x:v>FC011</x:v>
      </x:c>
      <x:c r="I22" s="7" t="str">
        <x:v>CoAgent製品資料でエージェントによる開発支援を説明。採用・実機適用の承認範囲は未確認。</x:v>
      </x:c>
      <x:c r="J22" s="7" t="str">
        <x:v>EOV-V005-2026-1
EAT-N03
EAT-N05
EDP-03
ERF-01</x:v>
      </x:c>
      <x:c r="K22" s="7" t="str">
        <x:v>https://www.jimtof.org/search/jp/ESdetails?e=K7DqahO2h08
https://www.beckhoff.com/ko-kr/products/automation/twincat/texxxx-twincat-3-engineering/te1700.html
https://www.beckhoff.com/ko-kr/products/automation/twincat-projects-with-ai-supported-engineering/
https://www.beckhoff.com/en-en/company/press/twincat-chat-using-innovative-chatbot-technology-in-twincat-engineering-2023-04.html
https://www.beckhoff.com/en-gb/company/news/from-chatbot-to-intelligent-agent.html</x:v>
      </x:c>
    </x:row>
    <x:row r="23" ht="84" customHeight="1">
      <x:c r="A23" s="7" t="str">
        <x:v>AIエージェント・対話支援</x:v>
      </x:c>
      <x:c r="B23" s="7" t="str">
        <x:v>制御開発支援</x:v>
      </x:c>
      <x:c r="C23" s="7" t="str">
        <x:v>ベッコフオートメーション</x:v>
      </x:c>
      <x:c r="D23" s="7" t="str">
        <x:v>TwinCAT CoAgent for Engineering：I/O・HMI</x:v>
      </x:c>
      <x:c r="E23" s="7" t="str">
        <x:v>E2028</x:v>
      </x:c>
      <x:c r="F23" s="7" t="str">
        <x:v>メーカー明示</x:v>
      </x:c>
      <x:c r="G23" s="7" t="str">
        <x:v>コード・I/O・HMIの提案。製品発表段階</x:v>
      </x:c>
      <x:c t="str" r="H23" s="21">
        <x:f>HYPERLINK("#'展示詳細'!A"&amp;MATCH("FC012",'展示詳細'!$A$1:$A$340,0),"FC012")</x:f>
        <x:v>FC012</x:v>
      </x:c>
      <x:c r="I23" s="7" t="str">
        <x:v>CoAgent製品資料でエージェントによる開発支援を説明。採用・実機適用の承認範囲は未確認。</x:v>
      </x:c>
      <x:c r="J23" s="7" t="str">
        <x:v>EOV-V005-2026-1
EAT-N03
EAT-N05
EDP-03
ERF-01</x:v>
      </x:c>
      <x:c r="K23" s="7" t="str">
        <x:v>https://www.jimtof.org/search/jp/ESdetails?e=K7DqahO2h08
https://www.beckhoff.com/ko-kr/products/automation/twincat/texxxx-twincat-3-engineering/te1700.html
https://www.beckhoff.com/ko-kr/products/automation/twincat-projects-with-ai-supported-engineering/
https://www.beckhoff.com/en-en/company/press/twincat-chat-using-innovative-chatbot-technology-in-twincat-engineering-2023-04.html
https://www.beckhoff.com/en-gb/company/news/from-chatbot-to-intelligent-agent.html</x:v>
      </x:c>
    </x:row>
    <x:row r="24" ht="84" customHeight="1">
      <x:c r="A24" s="7" t="str">
        <x:v>AIエージェント・対話支援</x:v>
      </x:c>
      <x:c r="B24" s="7" t="str">
        <x:v>運用・保全支援</x:v>
      </x:c>
      <x:c r="C24" s="7" t="str">
        <x:v>ベッコフオートメーション</x:v>
      </x:c>
      <x:c r="D24" s="7" t="str">
        <x:v>TwinCAT CoAgent for Operations</x:v>
      </x:c>
      <x:c r="E24" s="7" t="str">
        <x:v>E2028</x:v>
      </x:c>
      <x:c r="F24" s="7" t="str">
        <x:v>メーカー明示</x:v>
      </x:c>
      <x:c r="G24" s="7" t="str">
        <x:v>診断・対処案・コマンド。権限範囲未確認</x:v>
      </x:c>
      <x:c t="str" r="H24" s="21">
        <x:f>HYPERLINK("#'展示詳細'!A"&amp;MATCH("FC013",'展示詳細'!$A$1:$A$340,0),"FC013")</x:f>
        <x:v>FC013</x:v>
      </x:c>
      <x:c r="I24" s="7" t="str">
        <x:v>CoAgentをHMIと運転データに接続する説明。自律保全の達成とはしない。</x:v>
      </x:c>
      <x:c r="J24" s="7" t="str">
        <x:v>EOV-V005-2026-1
EAT-N04
EAT-N05
EDP-03
ERF-02</x:v>
      </x:c>
      <x:c r="K24" s="7" t="str">
        <x:v>https://www.jimtof.org/search/jp/ESdetails?e=K7DqahO2h08
https://www.beckhoff.com/ko-kr/products/automation/twincat/tfxxxx-twincat-3-functions/tf1xxx-system/tf1700.html
https://www.beckhoff.com/ko-kr/products/automation/twincat-projects-with-ai-supported-engineering/
https://www.beckhoff.com/en-en/company/press/twincat-chat-using-innovative-chatbot-technology-in-twincat-engineering-2023-04.html
https://www.beckhoff.com/en-en/products/automation/twincat/tfxxxx-twincat-3-functions/tf1xxx-system/tf1700.html</x:v>
      </x:c>
    </x:row>
    <x:row r="25" ht="84" customHeight="1">
      <x:c r="A25" s="7" t="str">
        <x:v>AIエージェント・対話支援</x:v>
      </x:c>
      <x:c r="B25" s="7" t="str">
        <x:v>対話・知識・操作支援</x:v>
      </x:c>
      <x:c r="C25" s="7" t="str">
        <x:v>ミロクリエ</x:v>
      </x:c>
      <x:c r="D25" s="7" t="str">
        <x:v>ミロクルAI保全ナビ／分析レポート</x:v>
      </x:c>
      <x:c r="E25" s="7" t="str">
        <x:v>E2016</x:v>
      </x:c>
      <x:c r="F25" s="7" t="str">
        <x:v>内容から分類（調査者）</x:v>
      </x:c>
      <x:c r="G25" s="7" t="str">
        <x:v>周辺の対話支援。自律実行の確認なし</x:v>
      </x:c>
      <x:c t="str" r="H25" s="21">
        <x:f>HYPERLINK("#'展示詳細'!A"&amp;MATCH("FC058",'展示詳細'!$A$1:$A$340,0),"FC058")</x:f>
        <x:v>FC058</x:v>
      </x:c>
      <x:c r="I25" s="7" t="str">
        <x:v>知識回答・操作手順・保全ナビの支援。エージェントと同じ検索入口に置くが、機能を同一視しない。</x:v>
      </x:c>
      <x:c r="J25" s="7" t="str">
        <x:v>EOV-V038-2026-1</x:v>
      </x:c>
      <x:c r="K25" s="7" t="str">
        <x:v>https://www.jimtof.org/search/jp/ESdetails?e=IQhLnLagU5I</x:v>
      </x:c>
    </x:row>
    <x:row r="26" ht="84" customHeight="1">
      <x:c r="A26" s="7" t="str">
        <x:v>AIエージェント・対話支援</x:v>
      </x:c>
      <x:c r="B26" s="7" t="str">
        <x:v>見積・設計・調達・原価業務</x:v>
      </x:c>
      <x:c r="C26" s="7" t="str">
        <x:v>匠技研工業</x:v>
      </x:c>
      <x:c r="D26" s="7" t="str">
        <x:v>匠フォース：業務AIエージェント</x:v>
      </x:c>
      <x:c r="E26" s="7" t="str">
        <x:v>S3011</x:v>
      </x:c>
      <x:c r="F26" s="7" t="str">
        <x:v>メーカー明示</x:v>
      </x:c>
      <x:c r="G26" s="7" t="str">
        <x:v>メーカーは自律作業と人の承認を説明</x:v>
      </x:c>
      <x:c t="str" r="H26" s="21">
        <x:f>HYPERLINK("#'展示詳細'!A"&amp;MATCH("FC062",'展示詳細'!$A$1:$A$340,0),"FC062")</x:f>
        <x:v>FC062</x:v>
      </x:c>
      <x:c r="I26" s="7" t="str">
        <x:v>AIエージェントとして業務範囲を記載。実行操作列・承認点は未確認。</x:v>
      </x:c>
      <x:c r="J26" s="7" t="str">
        <x:v>EOV-V041-2026-1
EDP-05</x:v>
      </x:c>
      <x:c r="K26" s="7" t="str">
        <x:v>https://www.jimtof.org/search/jp/ESdetails?e=i_4zCxJP258
https://prtimes.jp/main/html/rd/p/000000031.000057137.html</x:v>
      </x:c>
    </x:row>
    <x:row r="27" ht="84" customHeight="1">
      <x:c r="A27" s="7" t="str">
        <x:v>加工準備・業務AI</x:v>
      </x:c>
      <x:c r="B27" s="7" t="str">
        <x:v>加工条件・NC最適化</x:v>
      </x:c>
      <x:c r="C27" s="7" t="str">
        <x:v>CGTech</x:v>
      </x:c>
      <x:c r="D27" s="7" t="str">
        <x:v>Vericut Force／Optimizer</x:v>
      </x:c>
      <x:c r="E27" s="7" t="str">
        <x:v>S3014</x:v>
      </x:c>
      <x:c r="F27" s="7" t="str">
        <x:v>内容から分類（調査者）</x:v>
      </x:c>
      <x:c r="G27" s="7" t="str">
        <x:v>AIで準備・業務を支援。方式未特定のものを含む</x:v>
      </x:c>
      <x:c t="str" r="H27" s="21">
        <x:f>HYPERLINK("#'展示詳細'!A"&amp;MATCH("FC022",'展示詳細'!$A$1:$A$340,0),"FC022")</x:f>
        <x:v>FC022</x:v>
      </x:c>
      <x:c r="I27" s="7" t="str">
        <x:v>原典のAIによる工程提案、CAM・加工最適化、図面検索・見積・業務支援を用途で分類。</x:v>
      </x:c>
      <x:c r="J27" s="7" t="str">
        <x:v>EOV-V009-2026-1</x:v>
      </x:c>
      <x:c r="K27" s="7" t="str">
        <x:v>https://www.jimtof.org/search/jp/ESdetails?e=41U8xW4UkcM</x:v>
      </x:c>
    </x:row>
    <x:row r="28" ht="84" customHeight="1">
      <x:c r="A28" s="7" t="str">
        <x:v>加工準備・業務AI</x:v>
      </x:c>
      <x:c r="B28" s="7" t="str">
        <x:v>工程設計</x:v>
      </x:c>
      <x:c r="C28" s="7" t="str">
        <x:v>Hexagon Manufacturing Intelligence</x:v>
      </x:c>
      <x:c r="D28" s="7" t="str">
        <x:v>ESPRIT EDGE ProPlanAI</x:v>
      </x:c>
      <x:c r="E28" s="7" t="str">
        <x:v>E2013</x:v>
      </x:c>
      <x:c r="F28" s="7" t="str">
        <x:v>内容から分類（調査者）</x:v>
      </x:c>
      <x:c r="G28" s="7" t="str">
        <x:v>AIで準備・業務を支援。方式未特定のものを含む</x:v>
      </x:c>
      <x:c t="str" r="H28" s="21">
        <x:f>HYPERLINK("#'展示詳細'!A"&amp;MATCH("FC018",'展示詳細'!$A$1:$A$340,0),"FC018")</x:f>
        <x:v>FC018</x:v>
      </x:c>
      <x:c r="I28" s="7" t="str">
        <x:v>原典のAIによる工程提案、CAM・加工最適化、図面検索・見積・業務支援を用途で分類。</x:v>
      </x:c>
      <x:c r="J28" s="7" t="str">
        <x:v>EOV-V007-2026-2
EOV-W02</x:v>
      </x:c>
      <x:c r="K28" s="7" t="str">
        <x:v>https://www.jimtof.org/search/jp/ESdetails?e=6l20Qo0pjl4
https://hexagon.com/products/esprit-edge/release-highlights</x:v>
      </x:c>
    </x:row>
    <x:row r="29" ht="84" customHeight="1">
      <x:c r="A29" s="7" t="str">
        <x:v>加工準備・業務AI</x:v>
      </x:c>
      <x:c r="B29" s="7" t="str">
        <x:v>TRINIX：CADから物理シミュレーション用データ生成</x:v>
      </x:c>
      <x:c r="C29" s="7" t="str">
        <x:v>NdotLight Co., Ltd.</x:v>
      </x:c>
      <x:c r="D29" s="7" t="str">
        <x:v>TRINIX：CADから物理シミュレーション用データ生成</x:v>
      </x:c>
      <x:c r="E29" s="7" t="str">
        <x:v>S4004</x:v>
      </x:c>
      <x:c r="F29" s="7" t="str">
        <x:v>内容から分類（調査者・一次整理）</x:v>
      </x:c>
      <x:c r="G29" s="7" t="str">
        <x:v>出展説明に基づく一次分類。方式・実装権限・提供段階は個別確認</x:v>
      </x:c>
      <x:c t="str" r="H29" s="21">
        <x:f>HYPERLINK("#'展示詳細'!A"&amp;MATCH("AC273",'展示詳細'!$A$1:$A$340,0),"AC273")</x:f>
        <x:v>AC273</x:v>
      </x:c>
      <x:c r="I29" s="7" t="str">
        <x:v>2026の具体記述：TRINIX is an AI-native platform that turns text, images and existing CAD or mesh data into simulation-ready 3D assets automatically. Describe what you need, or upload STEP, IGES or USD files. Then, TRINIX will generate f</x:v>
      </x:c>
      <x:c r="J29" s="7" t="str">
        <x:v>EEX-EXH-2026-016097f87d1914b2
EEX-WNDOT
ERF-06
ERF-07
ERF-08
ERF-09</x:v>
      </x:c>
      <x:c r="K29" s="7" t="str">
        <x:v>https://www.jimtof.org/search/jp/ESdetails?e=6Ds1v9hxvrY
https://ndotlight.com/newsroom/ndotlight-proposes-a-new-3d-data-standard-for-the-physical-ai-era-with-trinix
https://ndotlight.com/
https://docs.omniverse.nvidia.com/simready/latest/simready-faq.html
https://docs.omniverse.nvidia.com/simready/latest/simready-asset-creation/physics-best-practices.html
https://ndotlight.com/newsroom/ndotlight-to-co-develop-dexbench-a-global-standard-for-humanoid-evaluation-with-nvidia-and-rlwrld</x:v>
      </x:c>
    </x:row>
    <x:row r="30" ht="84" customHeight="1">
      <x:c r="A30" s="7" t="str">
        <x:v>加工準備・業務AI</x:v>
      </x:c>
      <x:c r="B30" s="7" t="str">
        <x:v>図面検索・見積・調達</x:v>
      </x:c>
      <x:c r="C30" s="7" t="str">
        <x:v>ものレボ</x:v>
      </x:c>
      <x:c r="D30" s="7" t="str">
        <x:v>MonoRevo：類似図面検索・自動見積</x:v>
      </x:c>
      <x:c r="E30" s="7" t="str">
        <x:v>W3042</x:v>
      </x:c>
      <x:c r="F30" s="7" t="str">
        <x:v>内容から分類（調査者）</x:v>
      </x:c>
      <x:c r="G30" s="7" t="str">
        <x:v>AIで準備・業務を支援。方式未特定のものを含む</x:v>
      </x:c>
      <x:c t="str" r="H30" s="21">
        <x:f>HYPERLINK("#'展示詳細'!A"&amp;MATCH("FC028",'展示詳細'!$A$1:$A$340,0),"FC028")</x:f>
        <x:v>FC028</x:v>
      </x:c>
      <x:c r="I30" s="7" t="str">
        <x:v>原典のAIによる工程提案、CAM・加工最適化、図面検索・見積・業務支援を用途で分類。</x:v>
      </x:c>
      <x:c r="J30" s="7" t="str">
        <x:v>EOV-V014-2026-1</x:v>
      </x:c>
      <x:c r="K30" s="7" t="str">
        <x:v>https://www.jimtof.org/search/jp/ESdetails?e=sccKfxE4bYo</x:v>
      </x:c>
    </x:row>
    <x:row r="31" ht="84" customHeight="1">
      <x:c r="A31" s="7" t="str">
        <x:v>加工準備・業務AI</x:v>
      </x:c>
      <x:c r="B31" s="7" t="str">
        <x:v>設計製造データ連携</x:v>
      </x:c>
      <x:c r="C31" s="7" t="str">
        <x:v>オートデスク</x:v>
      </x:c>
      <x:c r="D31" s="7" t="str">
        <x:v>Fusion／FeatureCAM／PLM連携</x:v>
      </x:c>
      <x:c r="E31" s="7" t="str">
        <x:v>S3019</x:v>
      </x:c>
      <x:c r="F31" s="7" t="str">
        <x:v>内容から分類（調査者）</x:v>
      </x:c>
      <x:c r="G31" s="7" t="str">
        <x:v>AIで準備・業務を支援。方式未特定のものを含む</x:v>
      </x:c>
      <x:c t="str" r="H31" s="21">
        <x:f>HYPERLINK("#'展示詳細'!A"&amp;MATCH("FC023",'展示詳細'!$A$1:$A$340,0),"FC023")</x:f>
        <x:v>FC023</x:v>
      </x:c>
      <x:c r="I31" s="7" t="str">
        <x:v>原典のAIによる工程提案、CAM・加工最適化、図面検索・見積・業務支援を用途で分類。</x:v>
      </x:c>
      <x:c r="J31" s="7" t="str">
        <x:v>EOV-V010-2026-1</x:v>
      </x:c>
      <x:c r="K31" s="7" t="str">
        <x:v>https://www.jimtof.org/search/jp/ESdetails?e=Y_kC6hMTghk</x:v>
      </x:c>
    </x:row>
    <x:row r="32" ht="84" customHeight="1">
      <x:c r="A32" s="7" t="str">
        <x:v>加工準備・業務AI</x:v>
      </x:c>
      <x:c r="B32" s="7" t="str">
        <x:v>CAM・NC作成</x:v>
      </x:c>
      <x:c r="C32" s="7" t="str">
        <x:v>ジェービーエムエンジニアリング</x:v>
      </x:c>
      <x:c r="D32" s="7" t="str">
        <x:v>Mastercam＋CAMAssist</x:v>
      </x:c>
      <x:c r="E32" s="7" t="str">
        <x:v>E2002</x:v>
      </x:c>
      <x:c r="F32" s="7" t="str">
        <x:v>内容から分類（調査者）</x:v>
      </x:c>
      <x:c r="G32" s="7" t="str">
        <x:v>AIで準備・業務を支援。方式未特定のものを含む</x:v>
      </x:c>
      <x:c t="str" r="H32" s="21">
        <x:f>HYPERLINK("#'展示詳細'!A"&amp;MATCH("FC020",'展示詳細'!$A$1:$A$340,0),"FC020")</x:f>
        <x:v>FC020</x:v>
      </x:c>
      <x:c r="I32" s="7" t="str">
        <x:v>原典のAIによる工程提案、CAM・加工最適化、図面検索・見積・業務支援を用途で分類。</x:v>
      </x:c>
      <x:c r="J32" s="7" t="str">
        <x:v>EOV-V008-2026-1
EDP-09
EDP-10
ERF-03</x:v>
      </x:c>
      <x:c r="K32" s="7" t="str">
        <x:v>https://www.jimtof.org/search/jp/ESdetails?e=VrAjMTKmxdw
https://www.cloudnc.com/ja/mastercam
https://www.cloudnc.com/news-room/cam-assist-the-first-ai-plug-in-for-cam-is-now-available-for-mastercam</x:v>
      </x:c>
    </x:row>
    <x:row r="33" ht="84" customHeight="1">
      <x:c r="A33" s="7" t="str">
        <x:v>加工準備・業務AI</x:v>
      </x:c>
      <x:c r="B33" s="7" t="str">
        <x:v>CAM Assist for SolidCAM／SolidShop</x:v>
      </x:c>
      <x:c r="C33" s="7" t="str">
        <x:v>タクテックス株式会社</x:v>
      </x:c>
      <x:c r="D33" s="7" t="str">
        <x:v>CAM Assist for SolidCAM／SolidShop</x:v>
      </x:c>
      <x:c r="E33" s="7" t="str">
        <x:v>S1016</x:v>
      </x:c>
      <x:c r="F33" s="7" t="str">
        <x:v>内容から分類（調査者・一次整理）</x:v>
      </x:c>
      <x:c r="G33" s="7" t="str">
        <x:v>出展説明に基づく一次分類。方式・実装権限・提供段階は個別確認</x:v>
      </x:c>
      <x:c t="str" r="H33" s="21">
        <x:f>HYPERLINK("#'展示詳細'!A"&amp;MATCH("AC131",'展示詳細'!$A$1:$A$340,0),"AC131")</x:f>
        <x:v>AC131</x:v>
      </x:c>
      <x:c r="I33" s="7" t="str">
        <x:v>2026の具体記述：「この課題」CAMで突破！ / 人手不足や技術継承、多品種少量生産など、製造現場の課題をSolidCAMが解決します。 / 工作機械とネットワーク接続し、稼働状況の見える化による製造DX「SolidShop」を展示。 / ３. 次世代のものづくりを支える！最新CAM活用法 / 「複合加工機対応」「生成AIでCAM自動化」「自動旋盤」をテーマに、最新のCAM活用法をセミナーで解説。 / ４．「見る・聞く・相談する」で、CAMをもっと身近に</x:v>
      </x:c>
      <x:c r="J33" s="7" t="str">
        <x:v>EEX-EXH-2026-0436fc7b61f51a8e
EDP-07
EDP-08
ERF-04</x:v>
      </x:c>
      <x:c r="K33" s="7" t="str">
        <x:v>https://www.jimtof.org/search/jp/ESdetails?e=2TVzwvOqLxI
https://www.cloudnc.com/ja/solidcam
https://help.solidcam.com/topics/solutions/cloudnc-cam-assist.htm</x:v>
      </x:c>
    </x:row>
    <x:row r="34" ht="84" customHeight="1">
      <x:c r="A34" s="7" t="str">
        <x:v>加工準備・業務AI</x:v>
      </x:c>
      <x:c r="B34" s="7" t="str">
        <x:v>図面検索・見積・調達</x:v>
      </x:c>
      <x:c r="C34" s="7" t="str">
        <x:v>匠技研工業</x:v>
      </x:c>
      <x:c r="D34" s="7" t="str">
        <x:v>匠フォース：業務AIエージェント</x:v>
      </x:c>
      <x:c r="E34" s="7" t="str">
        <x:v>S3011</x:v>
      </x:c>
      <x:c r="F34" s="7" t="str">
        <x:v>内容から分類（調査者）</x:v>
      </x:c>
      <x:c r="G34" s="7" t="str">
        <x:v>AIで準備・業務を支援。方式未特定のものを含む</x:v>
      </x:c>
      <x:c t="str" r="H34" s="21">
        <x:f>HYPERLINK("#'展示詳細'!A"&amp;MATCH("FC062",'展示詳細'!$A$1:$A$340,0),"FC062")</x:f>
        <x:v>FC062</x:v>
      </x:c>
      <x:c r="I34" s="7" t="str">
        <x:v>原典のAIによる工程提案、CAM・加工最適化、図面検索・見積・業務支援を用途で分類。</x:v>
      </x:c>
      <x:c r="J34" s="7" t="str">
        <x:v>EOV-V041-2026-1
EDP-05</x:v>
      </x:c>
      <x:c r="K34" s="7" t="str">
        <x:v>https://www.jimtof.org/search/jp/ESdetails?e=i_4zCxJP258
https://prtimes.jp/main/html/rd/p/000000031.000057137.html</x:v>
      </x:c>
    </x:row>
    <x:row r="35" ht="84" customHeight="1">
      <x:c r="A35" s="7" t="str">
        <x:v>加工準備・業務AI</x:v>
      </x:c>
      <x:c r="B35" s="7" t="str">
        <x:v>切削加工条件カリキュレーター</x:v>
      </x:c>
      <x:c r="C35" s="7" t="str">
        <x:v>有限会社ツールディスカバリー</x:v>
      </x:c>
      <x:c r="D35" s="7" t="str">
        <x:v>切削加工条件カリキュレーター</x:v>
      </x:c>
      <x:c r="E35" s="7" t="str">
        <x:v>W1069</x:v>
      </x:c>
      <x:c r="F35" s="7" t="str">
        <x:v>内容から分類（調査者・一次整理）</x:v>
      </x:c>
      <x:c r="G35" s="7" t="str">
        <x:v>出展説明に基づく一次分類。方式・実装権限・提供段階は個別確認</x:v>
      </x:c>
      <x:c t="str" r="H35" s="21">
        <x:f>HYPERLINK("#'展示詳細'!A"&amp;MATCH("AC136",'展示詳細'!$A$1:$A$340,0),"AC136")</x:f>
        <x:v>AC136</x:v>
      </x:c>
      <x:c r="I35" s="7" t="str">
        <x:v>2026の具体記述：AIで最適化した切削条件の目安を確認することが可能！</x:v>
      </x:c>
      <x:c r="J35" s="7" t="str">
        <x:v>EEX-EXH-2026-d383a51fea03ae6e
ERF-12</x:v>
      </x:c>
      <x:c r="K35" s="7" t="str">
        <x:v>https://www.jimtof.org/search/jp/ESdetails?e=2N7pXq5Aehs
https://www.jimtof.org/search/jp/ExhibitorDetails?b=W1069</x:v>
      </x:c>
    </x:row>
    <x:row r="36" ht="84" customHeight="1">
      <x:c r="A36" s="7" t="str">
        <x:v>加工準備・業務AI</x:v>
      </x:c>
      <x:c r="B36" s="7" t="str">
        <x:v>《　主な出展内容　》</x:v>
      </x:c>
      <x:c r="C36" s="7" t="str">
        <x:v>株式会社C＆Gシステムズ</x:v>
      </x:c>
      <x:c r="D36" s="7" t="str">
        <x:v>《　主な出展内容　》</x:v>
      </x:c>
      <x:c r="E36" s="7" t="str">
        <x:v>E2008</x:v>
      </x:c>
      <x:c r="F36" s="7" t="str">
        <x:v>内容から分類（調査者・一次整理）</x:v>
      </x:c>
      <x:c r="G36" s="7" t="str">
        <x:v>出展説明に基づく一次分類。方式・実装権限・提供段階は個別確認</x:v>
      </x:c>
      <x:c t="str" r="H36" s="21">
        <x:f>HYPERLINK("#'展示詳細'!A"&amp;MATCH("AC095",'展示詳細'!$A$1:$A$340,0),"AC095")</x:f>
        <x:v>AC095</x:v>
      </x:c>
      <x:c r="I36" s="7" t="str">
        <x:v>2026の具体記述：「自動化・省力化・多様化・周辺機器との親和性」をテーマに、昨今のキーワード（AI・DX）から弊社の最新技術を様々な事例（加工サンプルなど）を通じてご紹介させていたく他、次期バージョン情報をいち早くお届けします。 / ● CAD/CAM システム、生産管理システムの展示 / ● CAD/CAM 関連 / CAM-TOOL／EXCESS-HYBRIDⅡ／PartsCAM／CG Series for SOLIDWORKS（アドオン） / CA</x:v>
      </x:c>
      <x:c r="J36" s="7" t="str">
        <x:v>EEX-EXH-2026-8d7ad5c62f3412a9</x:v>
      </x:c>
      <x:c r="K36" s="7" t="str">
        <x:v>https://www.jimtof.org/search/jp/ESdetails?e=U_kHbhLD6rU</x:v>
      </x:c>
    </x:row>
    <x:row r="37" ht="84" customHeight="1">
      <x:c r="A37" s="7" t="str">
        <x:v>加工準備・業務AI</x:v>
      </x:c>
      <x:c r="B37" s="7" t="str">
        <x:v>ズメーン：図面・関連文書管理とAI</x:v>
      </x:c>
      <x:c r="C37" s="7" t="str">
        <x:v>株式会社Fact Base</x:v>
      </x:c>
      <x:c r="D37" s="7" t="str">
        <x:v>ズメーン：図面・関連文書管理とAI</x:v>
      </x:c>
      <x:c r="E37" s="7" t="str">
        <x:v>S3017</x:v>
      </x:c>
      <x:c r="F37" s="7" t="str">
        <x:v>内容から分類（調査者・一次整理）</x:v>
      </x:c>
      <x:c r="G37" s="7" t="str">
        <x:v>出展説明に基づく一次分類。方式・実装権限・提供段階は個別確認</x:v>
      </x:c>
      <x:c t="str" r="H37" s="21">
        <x:f>HYPERLINK("#'展示詳細'!A"&amp;MATCH("AC195",'展示詳細'!$A$1:$A$340,0),"AC195")</x:f>
        <x:v>AC195</x:v>
      </x:c>
      <x:c r="I37" s="7" t="str">
        <x:v>2026の具体記述：製造現場にちょうどいい図面管理DX「ズメーン」を取り扱っております。 / 最新のAI搭載により、登録から運用まで全てサポート。</x:v>
      </x:c>
      <x:c r="J37" s="7" t="str">
        <x:v>EEX-EXH-2026-3b6a1de81c17dfee
EDP-11</x:v>
      </x:c>
      <x:c r="K37" s="7" t="str">
        <x:v>https://www.jimtof.org/search/jp/ESdetails?e=hZaNogHdQM4
https://lp.zume-n.com/case-1/sagadainichi</x:v>
      </x:c>
    </x:row>
    <x:row r="38" ht="84" customHeight="1">
      <x:c r="A38" s="7" t="str">
        <x:v>加工準備・業務AI</x:v>
      </x:c>
      <x:c r="B38" s="7" t="str">
        <x:v>Autodesk Fusion</x:v>
      </x:c>
      <x:c r="C38" s="7" t="str">
        <x:v>株式会社フアクト</x:v>
      </x:c>
      <x:c r="D38" s="7" t="str">
        <x:v>Autodesk Fusion</x:v>
      </x:c>
      <x:c r="E38" s="7" t="str">
        <x:v>S3013</x:v>
      </x:c>
      <x:c r="F38" s="7" t="str">
        <x:v>内容から分類（調査者・一次整理）</x:v>
      </x:c>
      <x:c r="G38" s="7" t="str">
        <x:v>出展説明に基づく一次分類。方式・実装権限・提供段階は個別確認</x:v>
      </x:c>
      <x:c t="str" r="H38" s="21">
        <x:f>HYPERLINK("#'展示詳細'!A"&amp;MATCH("AC194",'展示詳細'!$A$1:$A$340,0),"AC194")</x:f>
        <x:v>AC194</x:v>
      </x:c>
      <x:c r="I38" s="7" t="str">
        <x:v>2026の具体記述：10万円程度の価格で5軸、複合旋盤も使えるAI搭載 3DCAD/CAM「Fusion」の / その他、加工プログラムの自動化が可能な「FeatureCAM」、NCシミュレーションまで / 可能な、永久ライセンスとサブスクリプションライセンスが選べる、3DCAD/CAM「ENCY]など / CAD/CAM販売35年以上の実績のあるフアクトがオススメするソフトウェアをご案内いたします。 / Fusion with FeatureCAM / </x:v>
      </x:c>
      <x:c r="J38" s="7" t="str">
        <x:v>EEX-EXH-2026-ae1a6fcc911ca14b</x:v>
      </x:c>
      <x:c r="K38" s="7" t="str">
        <x:v>https://www.jimtof.org/search/jp/ESdetails?e=taaGM0brdn8</x:v>
      </x:c>
    </x:row>
    <x:row r="39" ht="84" customHeight="1">
      <x:c r="A39" s="7" t="str">
        <x:v>検査・診断・予測AI</x:v>
      </x:c>
      <x:c r="B39" s="7" t="str">
        <x:v>CNCトランスファーマシン</x:v>
      </x:c>
      <x:c r="C39" s="7" t="str">
        <x:v>BUFFOLI TRANSFER S.p.A.</x:v>
      </x:c>
      <x:c r="D39" s="7" t="str">
        <x:v>CNCトランスファーマシン</x:v>
      </x:c>
      <x:c r="E39" s="7" t="str">
        <x:v>E1034</x:v>
      </x:c>
      <x:c r="F39" s="7" t="str">
        <x:v>内容から分類（調査者・一次整理）</x:v>
      </x:c>
      <x:c r="G39" s="7" t="str">
        <x:v>出展説明に基づく一次分類。方式・実装権限・提供段階は個別確認</x:v>
      </x:c>
      <x:c t="str" r="H39" s="21">
        <x:f>HYPERLINK("#'展示詳細'!A"&amp;MATCH("AC252",'展示詳細'!$A$1:$A$340,0),"AC252")</x:f>
        <x:v>AC252</x:v>
      </x:c>
      <x:c r="I39" s="7" t="str">
        <x:v>2026の具体記述：人材不足が深刻化する製造業界において【搬送・ロボット・検査・ソフトウェア】までを一体化した自動化・ターンキーシステムを提供します。 / さらにAIによる品質検査や予知保全など、Industry 4.0/5.0を見据えた次世代の自動化技術にも注目です。</x:v>
      </x:c>
      <x:c r="J39" s="7" t="str">
        <x:v>EEX-EXH-2026-606bae6e521953bf</x:v>
      </x:c>
      <x:c r="K39" s="7" t="str">
        <x:v>https://www.jimtof.org/search/jp/ESdetails?e=XR5ASqmy4zw</x:v>
      </x:c>
    </x:row>
    <x:row r="40" ht="84" customHeight="1">
      <x:c r="A40" s="7" t="str">
        <x:v>検査・診断・予測AI</x:v>
      </x:c>
      <x:c r="B40" s="7" t="str">
        <x:v>保全診断・知識支援</x:v>
      </x:c>
      <x:c r="C40" s="7" t="str">
        <x:v>DMG森精機</x:v>
      </x:c>
      <x:c r="D40" s="7" t="str">
        <x:v>Condition Agent</x:v>
      </x:c>
      <x:c r="E40" s="7" t="str">
        <x:v>E8005</x:v>
      </x:c>
      <x:c r="F40" s="7" t="str">
        <x:v>内容から分類（調査者）</x:v>
      </x:c>
      <x:c r="G40" s="7" t="str">
        <x:v>AIによる判定・予測・診断。現行展示の確度はカード参照</x:v>
      </x:c>
      <x:c t="str" r="H40" s="21">
        <x:f>HYPERLINK("#'展示詳細'!A"&amp;MATCH("FC004",'展示詳細'!$A$1:$A$340,0),"FC004")</x:f>
        <x:v>FC004</x:v>
      </x:c>
      <x:c r="I40" s="7" t="str">
        <x:v>AIの判断対象を原典で確認した記述に基づく。2024の機能しか具体化できない場合はカードで明示。</x:v>
      </x:c>
      <x:c r="J40" s="7" t="str">
        <x:v>EOV-V001-2026-1
EAT-N07</x:v>
      </x:c>
      <x:c r="K40" s="7" t="str">
        <x:v>https://www.jimtof.org/search/jp/ESdetails?e=zcqDj1lSkGs
https://www.dmgmori.co.jp/corporate/news/2026/20260706_conditionagent.html</x:v>
      </x:c>
    </x:row>
    <x:row r="41" ht="84" customHeight="1">
      <x:c r="A41" s="7" t="str">
        <x:v>検査・診断・予測AI</x:v>
      </x:c>
      <x:c r="B41" s="7" t="str">
        <x:v>外観検査</x:v>
      </x:c>
      <x:c r="C41" s="7" t="str">
        <x:v>HACARUS</x:v>
      </x:c>
      <x:c r="D41" s="7" t="str">
        <x:v>HACARUS Check ZERO</x:v>
      </x:c>
      <x:c r="E41" s="7" t="str">
        <x:v>S1031</x:v>
      </x:c>
      <x:c r="F41" s="7" t="str">
        <x:v>内容から分類（調査者）</x:v>
      </x:c>
      <x:c r="G41" s="7" t="str">
        <x:v>AIによる判定・予測・診断。現行展示の確度はカード参照</x:v>
      </x:c>
      <x:c t="str" r="H41" s="21">
        <x:f>HYPERLINK("#'展示詳細'!A"&amp;MATCH("FC036",'展示詳細'!$A$1:$A$340,0),"FC036")</x:f>
        <x:v>FC036</x:v>
      </x:c>
      <x:c r="I41" s="7" t="str">
        <x:v>AIの判断対象を原典で確認した記述に基づく。2024の機能しか具体化できない場合はカードで明示。</x:v>
      </x:c>
      <x:c r="J41" s="7" t="str">
        <x:v>EOV-V021-2026-1
EDP-14
EDP-15
ERF-05</x:v>
      </x:c>
      <x:c r="K41" s="7" t="str">
        <x:v>https://www.jimtof.org/search/jp/ESdetails?e=oatArsOZ-Wc
https://hacarus.com/ja/press-release/20250707-news/
https://check.hacarus.com/ja/
https://check.hacarus.com/ja/aisoftware/</x:v>
      </x:c>
    </x:row>
    <x:row r="42" ht="84" customHeight="1">
      <x:c r="A42" s="7" t="str">
        <x:v>検査・診断・予測AI</x:v>
      </x:c>
      <x:c r="B42" s="7" t="str">
        <x:v>工作機械センシングの知能化による生産性向上：</x:v>
      </x:c>
      <x:c r="C42" s="7" t="str">
        <x:v>Masterlink</x:v>
      </x:c>
      <x:c r="D42" s="7" t="str">
        <x:v>工作機械センシングの知能化による生産性向上：</x:v>
      </x:c>
      <x:c r="E42" s="7" t="str">
        <x:v>E1050</x:v>
      </x:c>
      <x:c r="F42" s="7" t="str">
        <x:v>内容から分類（調査者・一次整理）</x:v>
      </x:c>
      <x:c r="G42" s="7" t="str">
        <x:v>出展説明に基づく一次分類。方式・実装権限・提供段階は個別確認</x:v>
      </x:c>
      <x:c t="str" r="H42" s="21">
        <x:f>HYPERLINK("#'展示詳細'!A"&amp;MATCH("AC271",'展示詳細'!$A$1:$A$340,0),"AC271")</x:f>
        <x:v>AC271</x:v>
      </x:c>
      <x:c r="I42" s="7" t="str">
        <x:v>2026の具体記述：工具監視システム： / 重荷重パレタイジングロボット： / インテリジェント IoT ゲートウェイ： / 工具監視システム： / 重荷重パレタイジングロボット： / インテリジェント IoT ゲートウェイ：</x:v>
      </x:c>
      <x:c r="J42" s="7" t="str">
        <x:v>EEX-EXH-2026-19ce238d137fe275</x:v>
      </x:c>
      <x:c r="K42" s="7" t="str">
        <x:v>https://www.jimtof.org/search/jp/ESdetails?e=kygm0UxJL-M</x:v>
      </x:c>
    </x:row>
    <x:row r="43" ht="84" customHeight="1">
      <x:c r="A43" s="7" t="str">
        <x:v>検査・診断・予測AI</x:v>
      </x:c>
      <x:c r="B43" s="7" t="str">
        <x:v>アズビルTACO</x:v>
      </x:c>
      <x:c r="C43" s="7" t="str">
        <x:v>アズビルTACO株式会社</x:v>
      </x:c>
      <x:c r="D43" s="7" t="str">
        <x:v>アズビルTACO</x:v>
      </x:c>
      <x:c r="E43" s="7" t="str">
        <x:v>W4070</x:v>
      </x:c>
      <x:c r="F43" s="7" t="str">
        <x:v>内容から分類（調査者・一次整理）</x:v>
      </x:c>
      <x:c r="G43" s="7" t="str">
        <x:v>出展説明に基づく一次分類。方式・実装権限・提供段階は個別確認</x:v>
      </x:c>
      <x:c t="str" r="H43" s="21">
        <x:f>HYPERLINK("#'展示詳細'!A"&amp;MATCH("AC007",'展示詳細'!$A$1:$A$340,0),"AC007")</x:f>
        <x:v>AC007</x:v>
      </x:c>
      <x:c r="I43" s="7" t="str">
        <x:v>2026の具体記述：① 工作機械の自動扉に合わせた形状で、確実に挟まれを検知する、セーフティエッジスイッチ。 / ・工作機械の自動扉の挟まれ検知に最適なエッジスイッチ / ・自動扉の形状に合わせて設置可能。 / ② 状態監視用振動・温度センサ　形:QM30VT3 / ・3軸振動・温度監視と自動しきい値設定機能を搭載したコンパクトな状態監視センサ。</x:v>
      </x:c>
      <x:c r="J43" s="7" t="str">
        <x:v>EEX-EXH-2026-2c48cf1373cedc75</x:v>
      </x:c>
      <x:c r="K43" s="7" t="str">
        <x:v>https://www.jimtof.org/search/jp/ESdetails?e=x6DdroBnfSA</x:v>
      </x:c>
    </x:row>
    <x:row r="44" ht="84" customHeight="1">
      <x:c r="A44" s="7" t="str">
        <x:v>検査・診断・予測AI</x:v>
      </x:c>
      <x:c r="B44" s="7" t="str">
        <x:v>マグネットピンセット：AI・2Dカメラ・協働ロボット</x:v>
      </x:c>
      <x:c r="C44" s="7" t="str">
        <x:v>カネテック株式会社</x:v>
      </x:c>
      <x:c r="D44" s="7" t="str">
        <x:v>マグネットピンセット：AI・2Dカメラ・協働ロボット</x:v>
      </x:c>
      <x:c r="E44" s="7" t="str">
        <x:v>W2013</x:v>
      </x:c>
      <x:c r="F44" s="7" t="str">
        <x:v>内容から分類（調査者・一次整理）</x:v>
      </x:c>
      <x:c r="G44" s="7" t="str">
        <x:v>出展説明に基づく一次分類。方式・実装権限・提供段階は個別確認</x:v>
      </x:c>
      <x:c t="str" r="H44" s="21">
        <x:f>HYPERLINK("#'展示詳細'!A"&amp;MATCH("AC051",'展示詳細'!$A$1:$A$340,0),"AC051")</x:f>
        <x:v>AC051</x:v>
      </x:c>
      <x:c r="I44" s="7" t="str">
        <x:v>2026の具体記述：また、小径ネジや小部品のバラ積みピッキング自動化を実現する、エンドエフェクタ「マグネットピンセット」は 磁気制御技術と2Dカメラ・AI、協働ロボットの連携により、省力化・自動化に向けた具体的な提案を展開する。 / 自動化・ワークの多様化に応えるラインアップで、幅広い業界のモノづくりを支える出展品の数々を、この機会に是非ご覧いただきたい。 / [バラ積みピッキング自動化]</x:v>
      </x:c>
      <x:c r="J44" s="7" t="str">
        <x:v>EEX-EXH-2026-30b70a74241de123
EDP-01</x:v>
      </x:c>
      <x:c r="K44" s="7" t="str">
        <x:v>https://www.jimtof.org/search/jp/ESdetails?e=ekM3exgIAtc
https://kanetec.co.jp/lp/MagnetPinset%40LP.html</x:v>
      </x:c>
    </x:row>
    <x:row r="45" ht="84" customHeight="1">
      <x:c r="A45" s="7" t="str">
        <x:v>検査・診断・予測AI</x:v>
      </x:c>
      <x:c r="B45" s="7" t="str">
        <x:v>工場内搬送</x:v>
      </x:c>
      <x:c r="C45" s="7" t="str">
        <x:v>ソフィックス</x:v>
      </x:c>
      <x:c r="D45" s="7" t="str">
        <x:v>SOFIXCAN Fleeter＋AI Forecast：ミニ工場</x:v>
      </x:c>
      <x:c r="E45" s="7" t="str">
        <x:v>E1067</x:v>
      </x:c>
      <x:c r="F45" s="7" t="str">
        <x:v>内容から分類（調査者）</x:v>
      </x:c>
      <x:c r="G45" s="7" t="str">
        <x:v>AIによる判定・予測・診断。現行展示の確度はカード参照</x:v>
      </x:c>
      <x:c t="str" r="H45" s="21">
        <x:f>HYPERLINK("#'展示詳細'!A"&amp;MATCH("FC030",'展示詳細'!$A$1:$A$340,0),"FC030")</x:f>
        <x:v>FC030</x:v>
      </x:c>
      <x:c r="I45" s="7" t="str">
        <x:v>AIの判断対象を原典で確認した記述に基づく。2024の機能しか具体化できない場合はカードで明示。</x:v>
      </x:c>
      <x:c r="J45" s="7" t="str">
        <x:v>EOV-V015-2026-1
EDP-21
EDP-22
EDP-23</x:v>
      </x:c>
      <x:c r="K45" s="7" t="str">
        <x:v>https://www.jimtof.org/search/jp/ESdetails?e=rYRhOM0muPQ
https://www.sofix.co.jp/products/sofixcan_ai_forecast/
https://www.sofix.co.jp/products/sofixcan_fleeter/
https://www.sofix.co.jp/</x:v>
      </x:c>
    </x:row>
    <x:row r="46" ht="84" customHeight="1">
      <x:c r="A46" s="7" t="str">
        <x:v>検査・診断・予測AI</x:v>
      </x:c>
      <x:c r="B46" s="7" t="str">
        <x:v>刃先・摩耗判定</x:v>
      </x:c>
      <x:c r="C46" s="7" t="str">
        <x:v>ハイデンハイン</x:v>
      </x:c>
      <x:c r="D46" s="7" t="str">
        <x:v>VT122＋VTC 6.0</x:v>
      </x:c>
      <x:c r="E46" s="7" t="str">
        <x:v>E7043</x:v>
      </x:c>
      <x:c r="F46" s="7" t="str">
        <x:v>内容から分類（調査者）</x:v>
      </x:c>
      <x:c r="G46" s="7" t="str">
        <x:v>AIによる判定・予測・診断。現行展示の確度はカード参照</x:v>
      </x:c>
      <x:c t="str" r="H46" s="21">
        <x:f>HYPERLINK("#'展示詳細'!A"&amp;MATCH("FC038",'展示詳細'!$A$1:$A$340,0),"FC038")</x:f>
        <x:v>FC038</x:v>
      </x:c>
      <x:c r="I46" s="7" t="str">
        <x:v>AIの判断対象を原典で確認した記述に基づく。2024の機能しか具体化できない場合はカードで明示。</x:v>
      </x:c>
      <x:c r="J46" s="7" t="str">
        <x:v>EOV-V023-2026-1</x:v>
      </x:c>
      <x:c r="K46" s="7" t="str">
        <x:v>https://www.jimtof.org/search/jp/ESdetails?e=iohDR5yR9VA</x:v>
      </x:c>
    </x:row>
    <x:row r="47" ht="84" customHeight="1">
      <x:c r="A47" s="7" t="str">
        <x:v>検査・診断・予測AI</x:v>
      </x:c>
      <x:c r="B47" s="7" t="str">
        <x:v>保全診断・知識支援</x:v>
      </x:c>
      <x:c r="C47" s="7" t="str">
        <x:v>ミロクリエ</x:v>
      </x:c>
      <x:c r="D47" s="7" t="str">
        <x:v>ミロクルAI保全ナビ／分析レポート</x:v>
      </x:c>
      <x:c r="E47" s="7" t="str">
        <x:v>E2016</x:v>
      </x:c>
      <x:c r="F47" s="7" t="str">
        <x:v>内容から分類（調査者）</x:v>
      </x:c>
      <x:c r="G47" s="7" t="str">
        <x:v>AIによる判定・予測・診断。現行展示の確度はカード参照</x:v>
      </x:c>
      <x:c t="str" r="H47" s="21">
        <x:f>HYPERLINK("#'展示詳細'!A"&amp;MATCH("FC058",'展示詳細'!$A$1:$A$340,0),"FC058")</x:f>
        <x:v>FC058</x:v>
      </x:c>
      <x:c r="I47" s="7" t="str">
        <x:v>AIの判断対象を原典で確認した記述に基づく。2024の機能しか具体化できない場合はカードで明示。</x:v>
      </x:c>
      <x:c r="J47" s="7" t="str">
        <x:v>EOV-V038-2026-1</x:v>
      </x:c>
      <x:c r="K47" s="7" t="str">
        <x:v>https://www.jimtof.org/search/jp/ESdetails?e=IQhLnLagU5I</x:v>
      </x:c>
    </x:row>
    <x:row r="48" ht="84" customHeight="1">
      <x:c r="A48" s="7" t="str">
        <x:v>検査・診断・予測AI</x:v>
      </x:c>
      <x:c r="B48" s="7" t="str">
        <x:v>異機種・旧設備の接続</x:v>
      </x:c>
      <x:c r="C48" s="7" t="str">
        <x:v>ミロクリエ</x:v>
      </x:c>
      <x:c r="D48" s="7" t="str">
        <x:v>ミロクルAIメーター読み取り</x:v>
      </x:c>
      <x:c r="E48" s="7" t="str">
        <x:v>E2016</x:v>
      </x:c>
      <x:c r="F48" s="7" t="str">
        <x:v>内容から分類（調査者）</x:v>
      </x:c>
      <x:c r="G48" s="7" t="str">
        <x:v>AIによる判定・予測・診断。現行展示の確度はカード参照</x:v>
      </x:c>
      <x:c t="str" r="H48" s="21">
        <x:f>HYPERLINK("#'展示詳細'!A"&amp;MATCH("FC059",'展示詳細'!$A$1:$A$340,0),"FC059")</x:f>
        <x:v>FC059</x:v>
      </x:c>
      <x:c r="I48" s="7" t="str">
        <x:v>AIの判断対象を原典で確認した記述に基づく。2024の機能しか具体化できない場合はカードで明示。</x:v>
      </x:c>
      <x:c r="J48" s="7" t="str">
        <x:v>EOV-V038-2026-1</x:v>
      </x:c>
      <x:c r="K48" s="7" t="str">
        <x:v>https://www.jimtof.org/search/jp/ESdetails?e=IQhLnLagU5I</x:v>
      </x:c>
    </x:row>
    <x:row r="49" ht="84" customHeight="1">
      <x:c r="A49" s="7" t="str">
        <x:v>検査・診断・予測AI</x:v>
      </x:c>
      <x:c r="B49" s="7" t="str">
        <x:v>プライマリドクタサービス：稼働中データのAI診断</x:v>
      </x:c>
      <x:c r="C49" s="7" t="str">
        <x:v>ムラテックＣＣＳ株式会社</x:v>
      </x:c>
      <x:c r="D49" s="7" t="str">
        <x:v>プライマリドクタサービス：稼働中データのAI診断</x:v>
      </x:c>
      <x:c r="E49" s="7" t="str">
        <x:v>E3031</x:v>
      </x:c>
      <x:c r="F49" s="7" t="str">
        <x:v>内容から分類（調査者・一次整理）</x:v>
      </x:c>
      <x:c r="G49" s="7" t="str">
        <x:v>出展説明に基づく一次分類。方式・実装権限・提供段階は個別確認</x:v>
      </x:c>
      <x:c t="str" r="H49" s="21">
        <x:f>HYPERLINK("#'展示詳細'!A"&amp;MATCH("AC225",'展示詳細'!$A$1:$A$340,0),"AC225")</x:f>
        <x:v>AC225</x:v>
      </x:c>
      <x:c r="I49" s="7" t="str">
        <x:v>2026の具体記述：■AIを利用したリモート診断システム</x:v>
      </x:c>
      <x:c r="J49" s="7" t="str">
        <x:v>EEX-EXH-2026-308c5194f12fe009
EDP-13</x:v>
      </x:c>
      <x:c r="K49" s="7" t="str">
        <x:v>https://www.jimtof.org/search/jp/ESdetails?e=Z_SbvK_hxBY
https://www.muratec.jp/company/ti/rd/detail.php?id=7540</x:v>
      </x:c>
    </x:row>
    <x:row r="50" ht="84" customHeight="1">
      <x:c r="A50" s="7" t="str">
        <x:v>検査・診断・予測AI</x:v>
      </x:c>
      <x:c r="B50" s="7" t="str">
        <x:v>刃先・摩耗判定</x:v>
      </x:c>
      <x:c r="C50" s="7" t="str">
        <x:v>モリマシナリー</x:v>
      </x:c>
      <x:c r="D50" s="7" t="str">
        <x:v>ツールコラージュ</x:v>
      </x:c>
      <x:c r="E50" s="7" t="str">
        <x:v>S3048</x:v>
      </x:c>
      <x:c r="F50" s="7" t="str">
        <x:v>内容から分類（調査者）</x:v>
      </x:c>
      <x:c r="G50" s="7" t="str">
        <x:v>AIによる判定・予測・診断。現行展示の確度はカード参照</x:v>
      </x:c>
      <x:c t="str" r="H50" s="21">
        <x:f>HYPERLINK("#'展示詳細'!A"&amp;MATCH("FC039",'展示詳細'!$A$1:$A$340,0),"FC039")</x:f>
        <x:v>FC039</x:v>
      </x:c>
      <x:c r="I50" s="7" t="str">
        <x:v>AIの判断対象を原典で確認した記述に基づく。2024の機能しか具体化できない場合はカードで明示。</x:v>
      </x:c>
      <x:c r="J50" s="7" t="str">
        <x:v>EOV-V024-2026-1
EDP-12</x:v>
      </x:c>
      <x:c r="K50" s="7" t="str">
        <x:v>https://www.jimtof.org/search/jp/ESdetails?e=ZvT3Lci-hnM
https://mori-machinery.com/en/product/tool-sommelier?post_id=1066</x:v>
      </x:c>
    </x:row>
    <x:row r="51" ht="84" customHeight="1">
      <x:c r="A51" s="7" t="str">
        <x:v>検査・診断・予測AI</x:v>
      </x:c>
      <x:c r="B51" s="7" t="str">
        <x:v>工具寿命・交換提案</x:v>
      </x:c>
      <x:c r="C51" s="7" t="str">
        <x:v>モリマシナリー</x:v>
      </x:c>
      <x:c r="D51" s="7" t="str">
        <x:v>ツールコラージュアナライザー</x:v>
      </x:c>
      <x:c r="E51" s="7" t="str">
        <x:v>S3048</x:v>
      </x:c>
      <x:c r="F51" s="7" t="str">
        <x:v>内容から分類（調査者）</x:v>
      </x:c>
      <x:c r="G51" s="7" t="str">
        <x:v>AIによる判定・予測・診断。現行展示の確度はカード参照</x:v>
      </x:c>
      <x:c t="str" r="H51" s="21">
        <x:f>HYPERLINK("#'展示詳細'!A"&amp;MATCH("FC040",'展示詳細'!$A$1:$A$340,0),"FC040")</x:f>
        <x:v>FC040</x:v>
      </x:c>
      <x:c r="I51" s="7" t="str">
        <x:v>AIの判断対象を原典で確認した記述に基づく。2024の機能しか具体化できない場合はカードで明示。</x:v>
      </x:c>
      <x:c r="J51" s="7" t="str">
        <x:v>EOV-V024-2026-1
EOV-W08</x:v>
      </x:c>
      <x:c r="K51" s="7" t="str">
        <x:v>https://www.jimtof.org/search/jp/ESdetails?e=ZvT3Lci-hnM
https://mori-machinery.com/wp-content/uploads/2023/06/%E7%86%9F%E7%B7%B4%E8%80%85%E3%81%AE%E7%B5%8C%E9%A8%93%E7%9F%A5%E3%82%92%E3%82%82%E3%81%A8%E3%81%AB%E5%88%87%E5%89%8A%E5%B7%A5%E5%85%B7%E3%81%AE%E6%AC%A0%E3%81%91%E3%83%BB%E6%91%A9%E8%80%97%E3%83%BB%E5%AF%BF%E5%91%BD%E3%82%92%E6%8E%A8%E5%AE%9A%E3%81%99%E3%82%8BAI%E3%82%92%E9%96%8B%E7%99%BA.pdf</x:v>
      </x:c>
    </x:row>
    <x:row r="52" ht="84" customHeight="1">
      <x:c r="A52" s="7" t="str">
        <x:v>検査・診断・予測AI</x:v>
      </x:c>
      <x:c r="B52" s="7" t="str">
        <x:v>加工信号解析</x:v>
      </x:c>
      <x:c r="C52" s="7" t="str">
        <x:v>三菱電機</x:v>
      </x:c>
      <x:c r="D52" s="7" t="str">
        <x:v>NC MachiningAID（2024）／2026 CNC省人化</x:v>
      </x:c>
      <x:c r="E52" s="7" t="str">
        <x:v>S2003</x:v>
      </x:c>
      <x:c r="F52" s="7" t="str">
        <x:v>内容から分類（調査者）</x:v>
      </x:c>
      <x:c r="G52" s="7" t="str">
        <x:v>2024でAIの具体機能を確認。2026の同機能・個別差分は未確認</x:v>
      </x:c>
      <x:c t="str" r="H52" s="21">
        <x:f>HYPERLINK("#'展示詳細'!A"&amp;MATCH("FC064",'展示詳細'!$A$1:$A$340,0),"FC064")</x:f>
        <x:v>FC064</x:v>
      </x:c>
      <x:c r="I52" s="7" t="str">
        <x:v>AIの判断対象を原典で確認した記述に基づく。2024の機能しか具体化できない場合はカードで明示。</x:v>
      </x:c>
      <x:c r="J52" s="7" t="str">
        <x:v>EAT-V043-2026-1</x:v>
      </x:c>
      <x:c r="K52" s="7" t="str">
        <x:v>https://www.jimtof.org/search/jp/ESdetails?e=AjLnzm01WWU</x:v>
      </x:c>
    </x:row>
    <x:row r="53" ht="84" customHeight="1">
      <x:c r="A53" s="7" t="str">
        <x:v>検査・診断・予測AI</x:v>
      </x:c>
      <x:c r="B53" s="7" t="str">
        <x:v>NEW※圧倒的な高速・安定造形を同時に実現 Raise3D T Series 3Dプリンター</x:v>
      </x:c>
      <x:c r="C53" s="7" t="str">
        <x:v>日本3Dプリンター株式会社</x:v>
      </x:c>
      <x:c r="D53" s="7" t="str">
        <x:v>NEW※圧倒的な高速・安定造形を同時に実現 Raise3D T Series 3Dプリンター</x:v>
      </x:c>
      <x:c r="E53" s="7" t="str">
        <x:v>S2014</x:v>
      </x:c>
      <x:c r="F53" s="7" t="str">
        <x:v>内容から分類（調査者・一次整理）</x:v>
      </x:c>
      <x:c r="G53" s="7" t="str">
        <x:v>出展説明に基づく一次分類。方式・実装権限・提供段階は個別確認</x:v>
      </x:c>
      <x:c t="str" r="H53" s="21">
        <x:f>HYPERLINK("#'展示詳細'!A"&amp;MATCH("AC178",'展示詳細'!$A$1:$A$340,0),"AC178")</x:f>
        <x:v>AC178</x:v>
      </x:c>
      <x:c r="I53" s="7" t="str">
        <x:v>2026の具体記述：創業以来13年間、5000社以上の法人様・500以上の教育機関/研究機関に導入いただき、自動車、電気機器、医療、宇宙、航空、製品設計など幅広い業界の実績がございます。 / NEW※圧倒的な高速・安定造形を同時に実現 Raise3D T Series 3Dプリンター / 新世代の主力モデル「Raise3D T450」 / 【完全な無人運転へ】 20以上のセンサーとAIカメラが「ノズルの詰まり」や「造形ミス」を自動検知。 / 大型一体成形を</x:v>
      </x:c>
      <x:c r="J53" s="7" t="str">
        <x:v>EEX-EXH-2026-3e32007d339c5ff7</x:v>
      </x:c>
      <x:c r="K53" s="7" t="str">
        <x:v>https://www.jimtof.org/search/jp/ESdetails?e=ohBDcqo2rI8</x:v>
      </x:c>
    </x:row>
    <x:row r="54" ht="84" customHeight="1">
      <x:c r="A54" s="7" t="str">
        <x:v>検査・診断・予測AI</x:v>
      </x:c>
      <x:c r="B54" s="7" t="str">
        <x:v>保全診断・知識支援</x:v>
      </x:c>
      <x:c r="C54" s="7" t="str">
        <x:v>日本精工</x:v>
      </x:c>
      <x:c r="D54" s="7" t="str">
        <x:v>振動診断AI・遠隔監視</x:v>
      </x:c>
      <x:c r="E54" s="7" t="str">
        <x:v>W2048</x:v>
      </x:c>
      <x:c r="F54" s="7" t="str">
        <x:v>内容から分類（調査者）</x:v>
      </x:c>
      <x:c r="G54" s="7" t="str">
        <x:v>2024でAIの具体機能を確認。2026の同機能・個別差分は未確認</x:v>
      </x:c>
      <x:c t="str" r="H54" s="21">
        <x:f>HYPERLINK("#'展示詳細'!A"&amp;MATCH("FC052",'展示詳細'!$A$1:$A$340,0),"FC052")</x:f>
        <x:v>FC052</x:v>
      </x:c>
      <x:c r="I54" s="7" t="str">
        <x:v>AIの判断対象を原典で確認した記述に基づく。2024の機能しか具体化できない場合はカードで明示。</x:v>
      </x:c>
      <x:c r="J54" s="7" t="str">
        <x:v>EOV-V032-2026-1</x:v>
      </x:c>
      <x:c r="K54" s="7" t="str">
        <x:v>https://www.jimtof.org/search/jp/ESdetails?e=hzAGGAi5wL4</x:v>
      </x:c>
    </x:row>
    <x:row r="55" ht="84" customHeight="1">
      <x:c r="A55" s="7" t="str">
        <x:v>検査・診断・予測AI</x:v>
      </x:c>
      <x:c r="B55" s="7" t="str">
        <x:v>外観検査</x:v>
      </x:c>
      <x:c r="C55" s="7" t="str">
        <x:v>日東商事</x:v>
      </x:c>
      <x:c r="D55" s="7" t="str">
        <x:v>HACARUS Check：協働ロボット多面検査</x:v>
      </x:c>
      <x:c r="E55" s="7" t="str">
        <x:v>S1031</x:v>
      </x:c>
      <x:c r="F55" s="7" t="str">
        <x:v>内容から分類（調査者）</x:v>
      </x:c>
      <x:c r="G55" s="7" t="str">
        <x:v>AIによる判定・予測・診断。現行展示の確度はカード参照</x:v>
      </x:c>
      <x:c t="str" r="H55" s="21">
        <x:f>HYPERLINK("#'展示詳細'!A"&amp;MATCH("FC037",'展示詳細'!$A$1:$A$340,0),"FC037")</x:f>
        <x:v>FC037</x:v>
      </x:c>
      <x:c r="I55" s="7" t="str">
        <x:v>AIの判断対象を原典で確認した記述に基づく。2024の機能しか具体化できない場合はカードで明示。</x:v>
      </x:c>
      <x:c r="J55" s="7" t="str">
        <x:v>EOV-V022-2026-1</x:v>
      </x:c>
      <x:c r="K55" s="7" t="str">
        <x:v>https://www.jimtof.org/search/jp/ESdetails?e=GozGZRxlviw</x:v>
      </x:c>
    </x:row>
    <x:row r="56" ht="84" customHeight="1">
      <x:c r="A56" s="7" t="str">
        <x:v>検査・診断・予測AI</x:v>
      </x:c>
      <x:c r="B56" s="7" t="str">
        <x:v>GH5：工具の3D画像認識・AI補正ホーニング</x:v>
      </x:c>
      <x:c r="C56" s="7" t="str">
        <x:v>株式会社サイバーRC</x:v>
      </x:c>
      <x:c r="D56" s="7" t="str">
        <x:v>GH5：工具の3D画像認識・AI補正ホーニング</x:v>
      </x:c>
      <x:c r="E56" s="7" t="str">
        <x:v>E7074</x:v>
      </x:c>
      <x:c r="F56" s="7" t="str">
        <x:v>内容から分類（調査者・一次整理）</x:v>
      </x:c>
      <x:c r="G56" s="7" t="str">
        <x:v>出展説明に基づく一次分類。方式・実装権限・提供段階は個別確認</x:v>
      </x:c>
      <x:c t="str" r="H56" s="21">
        <x:f>HYPERLINK("#'展示詳細'!A"&amp;MATCH("AC085",'展示詳細'!$A$1:$A$340,0),"AC085")</x:f>
        <x:v>AC085</x:v>
      </x:c>
      <x:c r="I56" s="7" t="str">
        <x:v>2026の具体記述：職人技の精度を、AIでデジタル化。 / サイバーRCの「GH5」は、高度な画像認識とAI制御により、熟練者の繊細な調整を数値入力のみで再現します。 / 3次元画像解析×AI自動補正：機内カメラで工具を立体認識し、リアルタイム補正で安定品質を実現。 / 「人に頼る加工」から「再現性のある自動化」へ。 / 加工の自動化と作業の標準化を軸に、研削・ホーニングの課題を即座に解決する注目の3機種です。 / * GM5ATC160：最大160本の工</x:v>
      </x:c>
      <x:c r="J56" s="7" t="str">
        <x:v>EEX-EXH-2026-a0cbad27ea34d7c4
EDP-02</x:v>
      </x:c>
      <x:c r="K56" s="7" t="str">
        <x:v>https://www.jimtof.org/search/jp/ESdetails?e=8ealehgmk8o
https://cyber-rc.com/wp-content/uploads/2025/10/%E7%B7%8F%E5%90%88%E3%82%AB%E3%82%BF%E3%83%AD%E3%82%B0420-x-297-mm%E6%A8%AA%E4%B8%A6%E3%81%B3-.pdf</x:v>
      </x:c>
    </x:row>
    <x:row r="57" ht="84" customHeight="1">
      <x:c r="A57" s="7" t="str">
        <x:v>検査・診断・予測AI</x:v>
      </x:c>
      <x:c r="B57" s="7" t="str">
        <x:v>OTRS+AI：作業動画の自動分節</x:v>
      </x:c>
      <x:c r="C57" s="7" t="str">
        <x:v>株式会社ブロードリーフ</x:v>
      </x:c>
      <x:c r="D57" s="7" t="str">
        <x:v>OTRS+AI：作業動画の自動分節</x:v>
      </x:c>
      <x:c r="E57" s="7" t="str">
        <x:v>S3068</x:v>
      </x:c>
      <x:c r="F57" s="7" t="str">
        <x:v>内容から分類（調査者・一次整理）</x:v>
      </x:c>
      <x:c r="G57" s="7" t="str">
        <x:v>出展説明に基づく一次分類。方式・実装権限・提供段階は個別確認</x:v>
      </x:c>
      <x:c t="str" r="H57" s="21">
        <x:f>HYPERLINK("#'展示詳細'!A"&amp;MATCH("AC204",'展示詳細'!$A$1:$A$340,0),"AC204")</x:f>
        <x:v>AC204</x:v>
      </x:c>
      <x:c r="I57" s="7" t="str">
        <x:v>2026の具体記述：製造業向け作業分析ツール「OTRS」は、動画の精微な分析が可能である改善ソフトウェア「OTRS10」に加え、自動分節AIサービス「OTRS+AI」を展示します。</x:v>
      </x:c>
      <x:c r="J57" s="7" t="str">
        <x:v>EEX-EXH-2026-8014e235f82da6ea</x:v>
      </x:c>
      <x:c r="K57" s="7" t="str">
        <x:v>https://www.jimtof.org/search/jp/ESdetails?e=Dt_yEexTCZo</x:v>
      </x:c>
    </x:row>
    <x:row r="58" ht="84" customHeight="1">
      <x:c r="A58" s="7" t="str">
        <x:v>検査・診断・予測AI</x:v>
      </x:c>
      <x:c r="B58" s="7" t="str">
        <x:v>【AIカメラ】</x:v>
      </x:c>
      <x:c r="C58" s="7" t="str">
        <x:v>株式会社マザーツール</x:v>
      </x:c>
      <x:c r="D58" s="7" t="str">
        <x:v>【AIカメラ】</x:v>
      </x:c>
      <x:c r="E58" s="7" t="str">
        <x:v>S4038</x:v>
      </x:c>
      <x:c r="F58" s="7" t="str">
        <x:v>内容から分類（調査者・一次整理）</x:v>
      </x:c>
      <x:c r="G58" s="7" t="str">
        <x:v>出展説明に基づく一次分類。方式・実装権限・提供段階は個別確認</x:v>
      </x:c>
      <x:c t="str" r="H58" s="21">
        <x:f>HYPERLINK("#'展示詳細'!A"&amp;MATCH("AC210",'展示詳細'!$A$1:$A$340,0),"AC210")</x:f>
        <x:v>AC210</x:v>
      </x:c>
      <x:c r="I58" s="7" t="str">
        <x:v>2026の具体記述：サーモグラフィカメラによる設備の温度監視・異常発熱の検知、高解像度カメラによる作業状況の記録など、カメラを活用した「見える化」を実現します。 / AIカメラでは、作業者の危険箇所への侵入を検知して設備停止につなげたり、一人作業の現場や薬品庫など、人が常駐しないエリアでの転倒を検知してアラームでお知らせしたりするなど、工場内の安全対策もサポートします。 / その他にも、簡単に導入できるワイヤレスカメラモニターセット、熱を持つ設備の保守点検</x:v>
      </x:c>
      <x:c r="J58" s="7" t="str">
        <x:v>EEX-EXH-2026-57f4a98dc1098522</x:v>
      </x:c>
      <x:c r="K58" s="7" t="str">
        <x:v>https://www.jimtof.org/search/jp/ESdetails?e=BoITLU2Wxfk</x:v>
      </x:c>
    </x:row>
    <x:row r="59" ht="84" customHeight="1">
      <x:c r="A59" s="7" t="str">
        <x:v>検査・診断・予測AI</x:v>
      </x:c>
      <x:c r="B59" s="7" t="str">
        <x:v>停止性能測定装置　KBM-5</x:v>
      </x:c>
      <x:c r="C59" s="7" t="str">
        <x:v>株式会社小森安全機研究所</x:v>
      </x:c>
      <x:c r="D59" s="7" t="str">
        <x:v>停止性能測定装置　KBM-5</x:v>
      </x:c>
      <x:c r="E59" s="7" t="str">
        <x:v>E1039</x:v>
      </x:c>
      <x:c r="F59" s="7" t="str">
        <x:v>内容から分類（調査者・一次整理）</x:v>
      </x:c>
      <x:c r="G59" s="7" t="str">
        <x:v>出展説明に基づく一次分類。方式・実装権限・提供段階は個別確認</x:v>
      </x:c>
      <x:c t="str" r="H59" s="21">
        <x:f>HYPERLINK("#'展示詳細'!A"&amp;MATCH("AC079",'展示詳細'!$A$1:$A$340,0),"AC079")</x:f>
        <x:v>AC079</x:v>
      </x:c>
      <x:c r="I59" s="7" t="str">
        <x:v>2026の具体記述：人体検知AIカメラ：居残り災害防止用AIカメラ見守りシステム　KAG （Komori Area Guardman） / AIの属性分析が命です。 / KAGのAI知能は数万件の人の姿形・動作・骨格を認識させアルゴリズムを構築していますので、的確に作業場で人の認識を行います。 / 停止性能（距離、時間）のグラフ表示でブレーキ性能を可視化 測定結果を自動集計・グラフ化</x:v>
      </x:c>
      <x:c r="J59" s="7" t="str">
        <x:v>EEX-EXH-2026-7dc74545d7cf35a3</x:v>
      </x:c>
      <x:c r="K59" s="7" t="str">
        <x:v>https://www.jimtof.org/search/jp/ESdetails?e=utVc5A88Bgw</x:v>
      </x:c>
    </x:row>
    <x:row r="60" ht="84" customHeight="1">
      <x:c r="A60" s="7" t="str">
        <x:v>検査・診断・予測AI</x:v>
      </x:c>
      <x:c r="B60" s="7" t="str">
        <x:v>同じ2機種でも、見る角度で強みが変わります。</x:v>
      </x:c>
      <x:c r="C60" s="7" t="str">
        <x:v>株式会社松楽産業</x:v>
      </x:c>
      <x:c r="D60" s="7" t="str">
        <x:v>同じ2機種でも、見る角度で強みが変わります。</x:v>
      </x:c>
      <x:c r="E60" s="7" t="str">
        <x:v>S3105</x:v>
      </x:c>
      <x:c r="F60" s="7" t="str">
        <x:v>内容から分類（調査者・一次整理）</x:v>
      </x:c>
      <x:c r="G60" s="7" t="str">
        <x:v>出展説明に基づく一次分類。方式・実装権限・提供段階は個別確認</x:v>
      </x:c>
      <x:c t="str" r="H60" s="21">
        <x:f>HYPERLINK("#'展示詳細'!A"&amp;MATCH("AC107",'展示詳細'!$A$1:$A$340,0),"AC107")</x:f>
        <x:v>AC107</x:v>
      </x:c>
      <x:c r="I60" s="7" t="str">
        <x:v>2026の具体記述：JIMTOF2026では、カメラ画像処理とAI制御による最新の計数技術を2機種でご紹介します。 / AI学習機能により、両機種とも使うほどに精度が向上します。 / ②2方向ミラー分光画像処理型ビジョンカウンター®：世界初の粒度分布計でゴミ・ホコリを自動除外し、空中落差誤差補正装置と分散バーで排出時の数量誤差を防止。</x:v>
      </x:c>
      <x:c r="J60" s="7" t="str">
        <x:v>EEX-EXH-2026-652d399463a4c9e2</x:v>
      </x:c>
      <x:c r="K60" s="7" t="str">
        <x:v>https://www.jimtof.org/search/jp/ESdetails?e=L-V39ptNjvw</x:v>
      </x:c>
    </x:row>
    <x:row r="61" ht="84" customHeight="1">
      <x:c r="A61" s="7" t="str">
        <x:v>検査・診断・予測AI</x:v>
      </x:c>
      <x:c r="B61" s="7" t="str">
        <x:v>過酷環境の撮像</x:v>
      </x:c>
      <x:c r="C61" s="7" t="str">
        <x:v>興和オプトロニクス</x:v>
      </x:c>
      <x:c r="D61" s="7" t="str">
        <x:v>RW耐環境ビジョンユニット</x:v>
      </x:c>
      <x:c r="E61" s="7" t="str">
        <x:v>S3104</x:v>
      </x:c>
      <x:c r="F61" s="7" t="str">
        <x:v>内容から分類（調査者）</x:v>
      </x:c>
      <x:c r="G61" s="7" t="str">
        <x:v>AIによる判定・予測・診断。現行展示の確度はカード参照</x:v>
      </x:c>
      <x:c t="str" r="H61" s="21">
        <x:f>HYPERLINK("#'展示詳細'!A"&amp;MATCH("FC063",'展示詳細'!$A$1:$A$340,0),"FC063")</x:f>
        <x:v>FC063</x:v>
      </x:c>
      <x:c r="I61" s="7" t="str">
        <x:v>AIの判断対象を原典で確認した記述に基づく。2024の機能しか具体化できない場合はカードで明示。</x:v>
      </x:c>
      <x:c r="J61" s="7" t="str">
        <x:v>EOV-V042-2026-1
EDP-33</x:v>
      </x:c>
      <x:c r="K61" s="7" t="str">
        <x:v>https://www.jimtof.org/search/jp/ESdetails?e=v6nw4APC-vQ
https://optical.kowa-opt.co.jp/camera-rw/</x:v>
      </x:c>
    </x:row>
    <x:row r="62" ht="84" customHeight="1">
      <x:c r="A62" s="7" t="str">
        <x:v>設計・製造DX</x:v>
      </x:c>
      <x:c r="B62" s="7" t="str">
        <x:v>NC・干渉検証</x:v>
      </x:c>
      <x:c r="C62" s="7" t="str">
        <x:v>CGTech</x:v>
      </x:c>
      <x:c r="D62" s="7" t="str">
        <x:v>Vericut：Gコード検証</x:v>
      </x:c>
      <x:c r="E62" s="7" t="str">
        <x:v>S3014</x:v>
      </x:c>
      <x:c r="F62" s="7" t="str">
        <x:v>内容から分類（調査者）</x:v>
      </x:c>
      <x:c r="G62" s="7" t="str">
        <x:v>設計・加工準備・計測のデジタル化／連携</x:v>
      </x:c>
      <x:c t="str" r="H62" s="21">
        <x:f>HYPERLINK("#'展示詳細'!A"&amp;MATCH("FC021",'展示詳細'!$A$1:$A$340,0),"FC021")</x:f>
        <x:v>FC021</x:v>
      </x:c>
      <x:c r="I62" s="7" t="str">
        <x:v>設計・製造データの再利用、モデル・シミュレーション、デジタル測定計画の用途に分類。AI利用は別タグ。</x:v>
      </x:c>
      <x:c r="J62" s="7" t="str">
        <x:v>EOV-V009-2026-1
EDP-20</x:v>
      </x:c>
      <x:c r="K62" s="7" t="str">
        <x:v>https://www.jimtof.org/search/jp/ESdetails?e=41U8xW4UkcM
https://vericut.com/ja-jp/products/cnc-machine-simulation</x:v>
      </x:c>
    </x:row>
    <x:row r="63" ht="84" customHeight="1">
      <x:c r="A63" s="7" t="str">
        <x:v>設計・製造DX</x:v>
      </x:c>
      <x:c r="B63" s="7" t="str">
        <x:v>加工条件・NC最適化</x:v>
      </x:c>
      <x:c r="C63" s="7" t="str">
        <x:v>CGTech</x:v>
      </x:c>
      <x:c r="D63" s="7" t="str">
        <x:v>Vericut Force／Optimizer</x:v>
      </x:c>
      <x:c r="E63" s="7" t="str">
        <x:v>S3014</x:v>
      </x:c>
      <x:c r="F63" s="7" t="str">
        <x:v>内容から分類（調査者）</x:v>
      </x:c>
      <x:c r="G63" s="7" t="str">
        <x:v>設計・加工準備・計測のデジタル化／連携</x:v>
      </x:c>
      <x:c t="str" r="H63" s="21">
        <x:f>HYPERLINK("#'展示詳細'!A"&amp;MATCH("FC022",'展示詳細'!$A$1:$A$340,0),"FC022")</x:f>
        <x:v>FC022</x:v>
      </x:c>
      <x:c r="I63" s="7" t="str">
        <x:v>設計・製造データの再利用、モデル・シミュレーション、デジタル測定計画の用途に分類。AI利用は別タグ。</x:v>
      </x:c>
      <x:c r="J63" s="7" t="str">
        <x:v>EOV-V009-2026-1</x:v>
      </x:c>
      <x:c r="K63" s="7" t="str">
        <x:v>https://www.jimtof.org/search/jp/ESdetails?e=41U8xW4UkcM</x:v>
      </x:c>
    </x:row>
    <x:row r="64" ht="84" customHeight="1">
      <x:c r="A64" s="7" t="str">
        <x:v>設計・製造DX</x:v>
      </x:c>
      <x:c r="B64" s="7" t="str">
        <x:v>『ToolsUnited』(ツールズユナイテッド)</x:v>
      </x:c>
      <x:c r="C64" s="7" t="str">
        <x:v>CIMSOURCE Japan株式会社</x:v>
      </x:c>
      <x:c r="D64" s="7" t="str">
        <x:v>『ToolsUnited』(ツールズユナイテッド)</x:v>
      </x:c>
      <x:c r="E64" s="7" t="str">
        <x:v>W1085</x:v>
      </x:c>
      <x:c r="F64" s="7" t="str">
        <x:v>内容から分類（調査者・一次整理）</x:v>
      </x:c>
      <x:c r="G64" s="7" t="str">
        <x:v>出展説明に基づく一次分類。方式・実装権限・提供段階は個別確認</x:v>
      </x:c>
      <x:c t="str" r="H64" s="21">
        <x:f>HYPERLINK("#'展示詳細'!A"&amp;MATCH("AC104",'展示詳細'!$A$1:$A$340,0),"AC104")</x:f>
        <x:v>AC104</x:v>
      </x:c>
      <x:c r="I64" s="7" t="str">
        <x:v>2026の具体記述：切削工具のデジタル情報で効率化に貢献する / 工具管理システム(TMS)やCAMへの工具登録を支援、国際規格ISO13399やドイツDIN4000に準拠した工具データおよび図面データ3D STEP,2D DXFファイルを提供する。 / 『ToolsUnited』に掲載されていない、工具においても必要な状況を依頼が出来る『ToolLink』(ツールリンク)、クラウドベースの工具管理システム『ToolPal』(ツールパル)など、貴社の工具の</x:v>
      </x:c>
      <x:c r="J64" s="7" t="str">
        <x:v>EEX-EXH-2026-01e20e87bdb59892</x:v>
      </x:c>
      <x:c r="K64" s="7" t="str">
        <x:v>https://www.jimtof.org/search/jp/ESdetails?e=qRD_BxF9DJo</x:v>
      </x:c>
    </x:row>
    <x:row r="65" ht="84" customHeight="1">
      <x:c r="A65" s="7" t="str">
        <x:v>設計・製造DX</x:v>
      </x:c>
      <x:c r="B65" s="7" t="str">
        <x:v>Gear Production Suite, DOMMS</x:v>
      </x:c>
      <x:c r="C65" s="7" t="str">
        <x:v>Dontyne Systems Limited</x:v>
      </x:c>
      <x:c r="D65" s="7" t="str">
        <x:v>Gear Production Suite, DOMMS</x:v>
      </x:c>
      <x:c r="E65" s="7" t="str">
        <x:v>E8008</x:v>
      </x:c>
      <x:c r="F65" s="7" t="str">
        <x:v>内容から分類（調査者・一次整理）</x:v>
      </x:c>
      <x:c r="G65" s="7" t="str">
        <x:v>出展説明に基づく一次分類。方式・実装権限・提供段階は個別確認</x:v>
      </x:c>
      <x:c t="str" r="H65" s="21">
        <x:f>HYPERLINK("#'展示詳細'!A"&amp;MATCH("AC258",'展示詳細'!$A$1:$A$340,0),"AC258")</x:f>
        <x:v>AC258</x:v>
      </x:c>
      <x:c r="I65" s="7" t="str">
        <x:v>2026の具体記述：ドンタインはトランスミッション業界向けの製品開発やサービスを行っております。 / JIMTOF2026では、新エネルギー車のドライブトレインの開発・製造に関するソフトウェアをクローズアップし紹介します。 / 新たに開発したステップドピニオンを用いた遊星歯車設計ソフトや、その歯車の製造に使用するスカイビングやホーニングのシミュレーションソフトを展示いたします。 / Gear Production Suite, DOMMS</x:v>
      </x:c>
      <x:c r="J65" s="7" t="str">
        <x:v>EEX-EXH-2026-bcc3a29be85a835b</x:v>
      </x:c>
      <x:c r="K65" s="7" t="str">
        <x:v>https://www.jimtof.org/search/jp/ESdetails?e=Qdl6sEtQDEY</x:v>
      </x:c>
    </x:row>
    <x:row r="66" ht="84" customHeight="1">
      <x:c r="A66" s="7" t="str">
        <x:v>設計・製造DX</x:v>
      </x:c>
      <x:c r="B66" s="7" t="str">
        <x:v>設計製造データ連携</x:v>
      </x:c>
      <x:c r="C66" s="7" t="str">
        <x:v>EPLAN</x:v>
      </x:c>
      <x:c r="D66" s="7" t="str">
        <x:v>Eplan P8／Pro Panel</x:v>
      </x:c>
      <x:c r="E66" s="7" t="str">
        <x:v>S1067</x:v>
      </x:c>
      <x:c r="F66" s="7" t="str">
        <x:v>内容から分類（調査者）</x:v>
      </x:c>
      <x:c r="G66" s="7" t="str">
        <x:v>設計・加工準備・計測のデジタル化／連携</x:v>
      </x:c>
      <x:c t="str" r="H66" s="21">
        <x:f>HYPERLINK("#'展示詳細'!A"&amp;MATCH("FC016",'展示詳細'!$A$1:$A$340,0),"FC016")</x:f>
        <x:v>FC016</x:v>
      </x:c>
      <x:c r="I66" s="7" t="str">
        <x:v>設計・製造データの再利用、モデル・シミュレーション、デジタル測定計画の用途に分類。AI利用は別タグ。</x:v>
      </x:c>
      <x:c r="J66" s="7" t="str">
        <x:v>EOV-V006-2026-1</x:v>
      </x:c>
      <x:c r="K66" s="7" t="str">
        <x:v>https://www.jimtof.org/search/jp/ESdetails?e=FHsQAvmFusY</x:v>
      </x:c>
    </x:row>
    <x:row r="67" ht="84" customHeight="1">
      <x:c r="A67" s="7" t="str">
        <x:v>設計・製造DX</x:v>
      </x:c>
      <x:c r="B67" s="7" t="str">
        <x:v>I/O・HMI設計</x:v>
      </x:c>
      <x:c r="C67" s="7" t="str">
        <x:v>EPLAN</x:v>
      </x:c>
      <x:c r="D67" s="7" t="str">
        <x:v>Eplan Copilot</x:v>
      </x:c>
      <x:c r="E67" s="7" t="str">
        <x:v>S1067</x:v>
      </x:c>
      <x:c r="F67" s="7" t="str">
        <x:v>内容から分類（調査者）</x:v>
      </x:c>
      <x:c r="G67" s="7" t="str">
        <x:v>設計・加工準備・計測のデジタル化／連携</x:v>
      </x:c>
      <x:c t="str" r="H67" s="21">
        <x:f>HYPERLINK("#'展示詳細'!A"&amp;MATCH("FC017",'展示詳細'!$A$1:$A$340,0),"FC017")</x:f>
        <x:v>FC017</x:v>
      </x:c>
      <x:c r="I67" s="7" t="str">
        <x:v>設計・製造データの再利用、モデル・シミュレーション、デジタル測定計画の用途に分類。AI利用は別タグ。</x:v>
      </x:c>
      <x:c r="J67" s="7" t="str">
        <x:v>EOV-V006-2026-1
EAT-N06</x:v>
      </x:c>
      <x:c r="K67" s="7" t="str">
        <x:v>https://www.jimtof.org/search/jp/ESdetails?e=FHsQAvmFusY
https://www.eplan.com/us-en/about-us/innovations/eplan-copilot/</x:v>
      </x:c>
    </x:row>
    <x:row r="68" ht="84" customHeight="1">
      <x:c r="A68" s="7" t="str">
        <x:v>設計・製造DX</x:v>
      </x:c>
      <x:c r="B68" s="7" t="str">
        <x:v>工程設計</x:v>
      </x:c>
      <x:c r="C68" s="7" t="str">
        <x:v>Hexagon Manufacturing Intelligence</x:v>
      </x:c>
      <x:c r="D68" s="7" t="str">
        <x:v>ESPRIT EDGE ProPlanAI</x:v>
      </x:c>
      <x:c r="E68" s="7" t="str">
        <x:v>E2013</x:v>
      </x:c>
      <x:c r="F68" s="7" t="str">
        <x:v>内容から分類（調査者）</x:v>
      </x:c>
      <x:c r="G68" s="7" t="str">
        <x:v>設計・加工準備・計測のデジタル化／連携</x:v>
      </x:c>
      <x:c t="str" r="H68" s="21">
        <x:f>HYPERLINK("#'展示詳細'!A"&amp;MATCH("FC018",'展示詳細'!$A$1:$A$340,0),"FC018")</x:f>
        <x:v>FC018</x:v>
      </x:c>
      <x:c r="I68" s="7" t="str">
        <x:v>設計・製造データの再利用、モデル・シミュレーション、デジタル測定計画の用途に分類。AI利用は別タグ。</x:v>
      </x:c>
      <x:c r="J68" s="7" t="str">
        <x:v>EOV-V007-2026-2
EOV-W02</x:v>
      </x:c>
      <x:c r="K68" s="7" t="str">
        <x:v>https://www.jimtof.org/search/jp/ESdetails?e=6l20Qo0pjl4
https://hexagon.com/products/esprit-edge/release-highlights</x:v>
      </x:c>
    </x:row>
    <x:row r="69" ht="84" customHeight="1">
      <x:c r="A69" s="7" t="str">
        <x:v>設計・製造DX</x:v>
      </x:c>
      <x:c r="B69" s="7" t="str">
        <x:v>寸法・形状計測</x:v>
      </x:c>
      <x:c r="C69" s="7" t="str">
        <x:v>Hexagon Manufacturing Intelligence</x:v>
      </x:c>
      <x:c r="D69" s="7" t="str">
        <x:v>MAESTRO／PRESTO／品質ソフト群</x:v>
      </x:c>
      <x:c r="E69" s="7" t="str">
        <x:v>E7035</x:v>
      </x:c>
      <x:c r="F69" s="7" t="str">
        <x:v>内容から分類（調査者）</x:v>
      </x:c>
      <x:c r="G69" s="7" t="str">
        <x:v>設計・加工準備・計測のデジタル化／連携</x:v>
      </x:c>
      <x:c t="str" r="H69" s="21">
        <x:f>HYPERLINK("#'展示詳細'!A"&amp;MATCH("FC019",'展示詳細'!$A$1:$A$340,0),"FC019")</x:f>
        <x:v>FC019</x:v>
      </x:c>
      <x:c r="I69" s="7" t="str">
        <x:v>設計・製造データの再利用、モデル・シミュレーション、デジタル測定計画の用途に分類。AI利用は別タグ。</x:v>
      </x:c>
      <x:c r="J69" s="7" t="str">
        <x:v>EOV-V007-2026-1</x:v>
      </x:c>
      <x:c r="K69" s="7" t="str">
        <x:v>https://www.jimtof.org/search/jp/ESdetails?e=oUyVPjxvy-U</x:v>
      </x:c>
    </x:row>
    <x:row r="70" ht="84" customHeight="1">
      <x:c r="A70" s="7" t="str">
        <x:v>設計・製造DX</x:v>
      </x:c>
      <x:c r="B70" s="7" t="str">
        <x:v>寸法・形状計測</x:v>
      </x:c>
      <x:c r="C70" s="7" t="str">
        <x:v>Innovalia Metrology</x:v>
      </x:c>
      <x:c r="D70" s="7" t="str">
        <x:v>M3MH：既設機での機上計測</x:v>
      </x:c>
      <x:c r="E70" s="7" t="str">
        <x:v>S4001</x:v>
      </x:c>
      <x:c r="F70" s="7" t="str">
        <x:v>内容から分類（調査者）</x:v>
      </x:c>
      <x:c r="G70" s="7" t="str">
        <x:v>設計・加工準備・計測のデジタル化／連携</x:v>
      </x:c>
      <x:c t="str" r="H70" s="21">
        <x:f>HYPERLINK("#'展示詳細'!A"&amp;MATCH("FC056",'展示詳細'!$A$1:$A$340,0),"FC056")</x:f>
        <x:v>FC056</x:v>
      </x:c>
      <x:c r="I70" s="7" t="str">
        <x:v>設計・製造データの再利用、モデル・シミュレーション、デジタル測定計画の用途に分類。AI利用は別タグ。</x:v>
      </x:c>
      <x:c r="J70" s="7" t="str">
        <x:v>EOV-V036-2026-1</x:v>
      </x:c>
      <x:c r="K70" s="7" t="str">
        <x:v>https://www.jimtof.org/search/jp/ESdetails?e=gvfw4D5z-qc</x:v>
      </x:c>
    </x:row>
    <x:row r="71" ht="84" customHeight="1">
      <x:c r="A71" s="7" t="str">
        <x:v>設計・製造DX</x:v>
      </x:c>
      <x:c r="B71" s="7" t="str">
        <x:v>金属積層造形を用いて製作・補修した各種部品</x:v>
      </x:c>
      <x:c r="C71" s="7" t="str">
        <x:v>JFEエンジニアリング株式会社</x:v>
      </x:c>
      <x:c r="D71" s="7" t="str">
        <x:v>金属積層造形を用いて製作・補修した各種部品</x:v>
      </x:c>
      <x:c r="E71" s="7" t="str">
        <x:v>W4102</x:v>
      </x:c>
      <x:c r="F71" s="7" t="str">
        <x:v>内容から分類（調査者・一次整理）</x:v>
      </x:c>
      <x:c r="G71" s="7" t="str">
        <x:v>出展説明に基づく一次分類。方式・実装権限・提供段階は個別確認</x:v>
      </x:c>
      <x:c t="str" r="H71" s="21">
        <x:f>HYPERLINK("#'展示詳細'!A"&amp;MATCH("AC099",'展示詳細'!$A$1:$A$340,0),"AC099")</x:f>
        <x:v>AC099</x:v>
      </x:c>
      <x:c r="I71" s="7" t="str">
        <x:v>2026の具体記述：金属3Dプリンターを用いた受託造形サービスを展開するJFEエンジニアリングブースでは、長年培った製缶・機械加工・組立技術と最先端の金属積層造形技術を融合した新しいものづくりをご紹介します。 / 国内最大クラスの造形サイズ（最大φ1,320×H1,150mm）を誇る大型金属3Dプリンターをはじめとする設備群により、大型構造物から高精度部品まで幅広く対応。 / 従来の切削加工では難しかった複雑形状や軽量化構造の実現を可能にします。 / 当社</x:v>
      </x:c>
      <x:c r="J71" s="7" t="str">
        <x:v>EEX-EXH-2026-64caad79f2ec2e09</x:v>
      </x:c>
      <x:c r="K71" s="7" t="str">
        <x:v>https://www.jimtof.org/search/jp/ESdetails?e=3fQN8AhQ2X0</x:v>
      </x:c>
    </x:row>
    <x:row r="72" ht="84" customHeight="1">
      <x:c r="A72" s="7" t="str">
        <x:v>設計・製造DX</x:v>
      </x:c>
      <x:c r="B72" s="7" t="str">
        <x:v>TRINIX：CADから物理シミュレーション用データ生成</x:v>
      </x:c>
      <x:c r="C72" s="7" t="str">
        <x:v>NdotLight Co., Ltd.</x:v>
      </x:c>
      <x:c r="D72" s="7" t="str">
        <x:v>TRINIX：CADから物理シミュレーション用データ生成</x:v>
      </x:c>
      <x:c r="E72" s="7" t="str">
        <x:v>S4004</x:v>
      </x:c>
      <x:c r="F72" s="7" t="str">
        <x:v>内容から分類（調査者・一次整理）</x:v>
      </x:c>
      <x:c r="G72" s="7" t="str">
        <x:v>出展説明に基づく一次分類。方式・実装権限・提供段階は個別確認</x:v>
      </x:c>
      <x:c t="str" r="H72" s="21">
        <x:f>HYPERLINK("#'展示詳細'!A"&amp;MATCH("AC273",'展示詳細'!$A$1:$A$340,0),"AC273")</x:f>
        <x:v>AC273</x:v>
      </x:c>
      <x:c r="I72" s="7" t="str">
        <x:v>2026の具体記述：TRINIX is an AI-native platform that turns text, images and existing CAD or mesh data into simulation-ready 3D assets automatically. Describe what you need, or upload STEP, IGES or USD files. Then, TRINIX will generate f</x:v>
      </x:c>
      <x:c r="J72" s="7" t="str">
        <x:v>EEX-EXH-2026-016097f87d1914b2
EEX-WNDOT
ERF-06
ERF-07
ERF-08
ERF-09</x:v>
      </x:c>
      <x:c r="K72" s="7" t="str">
        <x:v>https://www.jimtof.org/search/jp/ESdetails?e=6Ds1v9hxvrY
https://ndotlight.com/newsroom/ndotlight-proposes-a-new-3d-data-standard-for-the-physical-ai-era-with-trinix
https://ndotlight.com/
https://docs.omniverse.nvidia.com/simready/latest/simready-faq.html
https://docs.omniverse.nvidia.com/simready/latest/simready-asset-creation/physics-best-practices.html
https://ndotlight.com/newsroom/ndotlight-to-co-develop-dexbench-a-global-standard-for-humanoid-evaluation-with-nvidia-and-rlwrld</x:v>
      </x:c>
    </x:row>
    <x:row r="73" ht="84" customHeight="1">
      <x:c r="A73" s="7" t="str">
        <x:v>設計・製造DX</x:v>
      </x:c>
      <x:c r="B73" s="7" t="str">
        <x:v>マルチセンサ三次元測定機 OGP SmartScope SP463/M20/M7/Vantage250/E7</x:v>
      </x:c>
      <x:c r="C73" s="7" t="str">
        <x:v>Quality Vision International Inc</x:v>
      </x:c>
      <x:c r="D73" s="7" t="str">
        <x:v>マルチセンサ三次元測定機 OGP SmartScope SP463/M20/M7/Vantage250/E7</x:v>
      </x:c>
      <x:c r="E73" s="7" t="str">
        <x:v>E2026</x:v>
      </x:c>
      <x:c r="F73" s="7" t="str">
        <x:v>内容から分類（調査者・一次整理）</x:v>
      </x:c>
      <x:c r="G73" s="7" t="str">
        <x:v>出展説明に基づく一次分類。方式・実装権限・提供段階は個別確認</x:v>
      </x:c>
      <x:c t="str" r="H73" s="21">
        <x:f>HYPERLINK("#'展示詳細'!A"&amp;MATCH("AC279",'展示詳細'!$A$1:$A$340,0),"AC279")</x:f>
        <x:v>AC279</x:v>
      </x:c>
      <x:c r="I73" s="7" t="str">
        <x:v>2026の具体記述：～製造業に変革をもたらす製造工程管理ソリューション～ / 3D CAD・PMI情報を活用し、測定計画から測定結果の解析・可視化、工程管理までをデジタルでつなぐソフトウェアスイートです。 / 測定結果を製造工程へフィードバックすることで、品質向上や工程改善を支援し、MBD/MBEによるデジタルスレッドの構築に貢献します。 / 本展示会では、最新の協働ロボットとの連携デモも実演展示いたします。 / 自動化セル Multi-X / 統合製造工</x:v>
      </x:c>
      <x:c r="J73" s="7" t="str">
        <x:v>EEX-EXH-2026-ce095464035fb5f1</x:v>
      </x:c>
      <x:c r="K73" s="7" t="str">
        <x:v>https://www.jimtof.org/search/jp/ESdetails?e=i-C4iNMNRtM</x:v>
      </x:c>
    </x:row>
    <x:row r="74" ht="84" customHeight="1">
      <x:c r="A74" s="7" t="str">
        <x:v>設計・製造DX</x:v>
      </x:c>
      <x:c r="B74" s="7" t="str">
        <x:v>出展物：　U軸システムKOMtronic</x:v>
      </x:c>
      <x:c r="C74" s="7" t="str">
        <x:v>Schwäbische Werkzeugmaschinen GmbH</x:v>
      </x:c>
      <x:c r="D74" s="7" t="str">
        <x:v>出展物：　U軸システムKOMtronic</x:v>
      </x:c>
      <x:c r="E74" s="7" t="str">
        <x:v>E3027</x:v>
      </x:c>
      <x:c r="F74" s="7" t="str">
        <x:v>内容から分類（調査者・一次整理）</x:v>
      </x:c>
      <x:c r="G74" s="7" t="str">
        <x:v>出展説明に基づく一次分類。方式・実装権限・提供段階は個別確認</x:v>
      </x:c>
      <x:c t="str" r="H74" s="21">
        <x:f>HYPERLINK("#'展示詳細'!A"&amp;MATCH("AC282",'展示詳細'!$A$1:$A$340,0),"AC282")</x:f>
        <x:v>AC282</x:v>
      </x:c>
      <x:c r="I74" s="7" t="str">
        <x:v>2026の具体記述：マルチスピンドル・マシニングセンタ市場で世界をリードし、自動車、EV、航空宇宙、ヒューマノイド、医療機器など幅広い産業向けに生産ソリューションを提供しています。 / SWは、同時５軸付きマルチスピンドル・マシニングセンタ、自動化システム、オンライン上でのデジタル化を組み合わせた「Smart manufacturing solution」を展開しています。</x:v>
      </x:c>
      <x:c r="J74" s="7" t="str">
        <x:v>EEX-EXH-2026-2ddab123ec038212</x:v>
      </x:c>
      <x:c r="K74" s="7" t="str">
        <x:v>https://www.jimtof.org/search/jp/ESdetails?e=kw9LLCnBLZI</x:v>
      </x:c>
    </x:row>
    <x:row r="75" ht="84" customHeight="1">
      <x:c r="A75" s="7" t="str">
        <x:v>設計・製造DX</x:v>
      </x:c>
      <x:c r="B75" s="7" t="str">
        <x:v>超高速フェムト秒レーザー3D加工機（LFS-Uシリーズ）</x:v>
      </x:c>
      <x:c r="C75" s="7" t="str">
        <x:v>Shenzhen JPT Opto-Electronics Co Ltd</x:v>
      </x:c>
      <x:c r="D75" s="7" t="str">
        <x:v>超高速フェムト秒レーザー3D加工機（LFS-Uシリーズ）</x:v>
      </x:c>
      <x:c r="E75" s="7" t="str">
        <x:v>S1046</x:v>
      </x:c>
      <x:c r="F75" s="7" t="str">
        <x:v>内容から分類（調査者・一次整理）</x:v>
      </x:c>
      <x:c r="G75" s="7" t="str">
        <x:v>出展説明に基づく一次分類。方式・実装権限・提供段階は個別確認</x:v>
      </x:c>
      <x:c t="str" r="H75" s="21">
        <x:f>HYPERLINK("#'展示詳細'!A"&amp;MATCH("AC284",'展示詳細'!$A$1:$A$340,0),"AC284")</x:f>
        <x:v>AC284</x:v>
      </x:c>
      <x:c r="I75" s="7" t="str">
        <x:v>2026の具体記述：5軸同時制御方式とレーザー3軸加工プロセスに、自社開発の3Dモデル解析対応CAMソフトウェアを融合することで、さまざまな材料に対する高精度・高品質な微細加工を実現します。</x:v>
      </x:c>
      <x:c r="J75" s="7" t="str">
        <x:v>EEX-EXH-2026-ef080b66b221230c</x:v>
      </x:c>
      <x:c r="K75" s="7" t="str">
        <x:v>https://www.jimtof.org/search/jp/ESdetails?e=KJTFo439UQQ</x:v>
      </x:c>
    </x:row>
    <x:row r="76" ht="84" customHeight="1">
      <x:c r="A76" s="7" t="str">
        <x:v>設計・製造DX</x:v>
      </x:c>
      <x:c r="B76" s="7" t="str">
        <x:v>CAD/CAMソフトウェアの開発を加速する、強力な3Dツールキット。 / 工作機械のデジタルツインや高精度な加工シミュレーション、CADデータ連携の開</x:v>
      </x:c>
      <x:c r="C76" s="7" t="str">
        <x:v>Spatial Corp.</x:v>
      </x:c>
      <x:c r="D76" s="7" t="str">
        <x:v>CAD/CAMソフトウェアの開発を加速する、強力な3Dツールキット。 / 工作機械のデジタルツインや高精度な加工シミュレーション、CADデータ連携の開</x:v>
      </x:c>
      <x:c r="E76" s="7" t="str">
        <x:v>E1063</x:v>
      </x:c>
      <x:c r="F76" s="7" t="str">
        <x:v>内容から分類（調査者・一次整理）</x:v>
      </x:c>
      <x:c r="G76" s="7" t="str">
        <x:v>出展説明に基づく一次分類。方式・実装権限・提供段階は個別確認</x:v>
      </x:c>
      <x:c t="str" r="H76" s="21">
        <x:f>HYPERLINK("#'展示詳細'!A"&amp;MATCH("AC286",'展示詳細'!$A$1:$A$340,0),"AC286")</x:f>
        <x:v>AC286</x:v>
      </x:c>
      <x:c r="I76" s="7" t="str">
        <x:v>2026の具体記述：CAD/CAMソフトウェアの開発を加速する、強力な3Dツールキット。 / 工作機械のデジタルツインや高精度な加工シミュレーション、CADデータ連携の開発にお悩みではありませんか？ / ダッソー・システムズ傘下のスペイシャルは、世界中の製造業で採用される3Dモデリング・CAD変換・メッシュ生成・可視化SDKを提供しています。</x:v>
      </x:c>
      <x:c r="J76" s="7" t="str">
        <x:v>EEX-EXH-2026-b723f9bd97c08837</x:v>
      </x:c>
      <x:c r="K76" s="7" t="str">
        <x:v>https://www.jimtof.org/search/jp/ESdetails?e=bsgsYcvbud4</x:v>
      </x:c>
    </x:row>
    <x:row r="77" ht="84" customHeight="1">
      <x:c r="A77" s="7" t="str">
        <x:v>設計・製造DX</x:v>
      </x:c>
      <x:c r="B77" s="7" t="str">
        <x:v>材料特性に基づく切削加工CAE・最適化ソリューション</x:v>
      </x:c>
      <x:c r="C77" s="7" t="str">
        <x:v>Third Wave Systems Japan合同会社</x:v>
      </x:c>
      <x:c r="D77" s="7" t="str">
        <x:v>材料特性に基づく切削加工CAE・最適化ソリューション</x:v>
      </x:c>
      <x:c r="E77" s="7" t="str">
        <x:v>E1064</x:v>
      </x:c>
      <x:c r="F77" s="7" t="str">
        <x:v>内容から分類（調査者・一次整理）</x:v>
      </x:c>
      <x:c r="G77" s="7" t="str">
        <x:v>出展説明に基づく一次分類。方式・実装権限・提供段階は個別確認</x:v>
      </x:c>
      <x:c t="str" r="H77" s="21">
        <x:f>HYPERLINK("#'展示詳細'!A"&amp;MATCH("AC082",'展示詳細'!$A$1:$A$340,0),"AC082")</x:f>
        <x:v>AC082</x:v>
      </x:c>
      <x:c r="I77" s="7" t="str">
        <x:v>2026の具体記述：『Production Module』は、NX・Mastercam・CATIAなどのCAD/CAM環境と連携し、パーツ形状全体にわたるマクロな切削現象を解析。 / これらのソリューションは、航空宇宙・自動車・医療機器・工具・工作機械・重工業分野の世界トップメーカーで広く採用され、「加工のデジタルツイン」によって日本のものづくり競争力強化を支援いたします。</x:v>
      </x:c>
      <x:c r="J77" s="7" t="str">
        <x:v>EEX-EXH-2026-3f24aaee60d77db1</x:v>
      </x:c>
      <x:c r="K77" s="7" t="str">
        <x:v>https://www.jimtof.org/search/jp/ESdetails?e=L43LSAjxuyc</x:v>
      </x:c>
    </x:row>
    <x:row r="78" ht="84" customHeight="1">
      <x:c r="A78" s="7" t="str">
        <x:v>設計・製造DX</x:v>
      </x:c>
      <x:c r="B78" s="7" t="str">
        <x:v>治具設計</x:v>
      </x:c>
      <x:c r="C78" s="7" t="str">
        <x:v>UEL</x:v>
      </x:c>
      <x:c r="D78" s="7" t="str">
        <x:v>BreylSimulator</x:v>
      </x:c>
      <x:c r="E78" s="7" t="str">
        <x:v>S1024</x:v>
      </x:c>
      <x:c r="F78" s="7" t="str">
        <x:v>内容から分類（調査者）</x:v>
      </x:c>
      <x:c r="G78" s="7" t="str">
        <x:v>設計・加工準備・計測のデジタル化／連携</x:v>
      </x:c>
      <x:c t="str" r="H78" s="21">
        <x:f>HYPERLINK("#'展示詳細'!A"&amp;MATCH("FC060",'展示詳細'!$A$1:$A$340,0),"FC060")</x:f>
        <x:v>FC060</x:v>
      </x:c>
      <x:c r="I78" s="7" t="str">
        <x:v>設計・製造データの再利用、モデル・シミュレーション、デジタル測定計画の用途に分類。AI利用は別タグ。</x:v>
      </x:c>
      <x:c r="J78" s="7" t="str">
        <x:v>EOV-V039-2026-1</x:v>
      </x:c>
      <x:c r="K78" s="7" t="str">
        <x:v>https://www.jimtof.org/search/jp/ESdetails?e=dBv-8tktfaE</x:v>
      </x:c>
    </x:row>
    <x:row r="79" ht="84" customHeight="1">
      <x:c r="A79" s="7" t="str">
        <x:v>設計・製造DX</x:v>
      </x:c>
      <x:c r="B79" s="7" t="str">
        <x:v>精密デジタル水準器 BlueLEVEL・BlueLEVEL 2D</x:v>
      </x:c>
      <x:c r="C79" s="7" t="str">
        <x:v>WYLER AG</x:v>
      </x:c>
      <x:c r="D79" s="7" t="str">
        <x:v>精密デジタル水準器 BlueLEVEL・BlueLEVEL 2D</x:v>
      </x:c>
      <x:c r="E79" s="7" t="str">
        <x:v>E2026</x:v>
      </x:c>
      <x:c r="F79" s="7" t="str">
        <x:v>内容から分類（調査者・一次整理）</x:v>
      </x:c>
      <x:c r="G79" s="7" t="str">
        <x:v>出展説明に基づく一次分類。方式・実装権限・提供段階は個別確認</x:v>
      </x:c>
      <x:c t="str" r="H79" s="21">
        <x:f>HYPERLINK("#'展示詳細'!A"&amp;MATCH("AC297",'展示詳細'!$A$1:$A$340,0),"AC297")</x:f>
        <x:v>AC297</x:v>
      </x:c>
      <x:c r="I79" s="7" t="str">
        <x:v>2026の具体記述：【ワイラー デジタル水準器】 / ～耐衝撃性に優れた精密デジタル水準器とワイヤレスデータ通信で精密測定をサポート～ / 耐衝撃性に優れた独自のセンサと、温度自動補正機能による信頼性の高い測定結果が、市場で高く評価されています。 / 精密デジタル水準器 BlueLEVEL・BlueLEVEL 2D / デジタル角度センサ ZEROTRONIC / データ転送機能付き角形デジタル水準器 WylerCLINO Frame 60・Clinotr</x:v>
      </x:c>
      <x:c r="J79" s="7" t="str">
        <x:v>EEX-EXH-2026-8b48ce9818506160</x:v>
      </x:c>
      <x:c r="K79" s="7" t="str">
        <x:v>https://www.jimtof.org/search/jp/ESdetails?e=skJOsZ3QJkQ</x:v>
      </x:c>
    </x:row>
    <x:row r="80" ht="84" customHeight="1">
      <x:c r="A80" s="7" t="str">
        <x:v>設計・製造DX</x:v>
      </x:c>
      <x:c r="B80" s="7" t="str">
        <x:v>WinTool：工具情報と現物・工程資源の連携</x:v>
      </x:c>
      <x:c r="C80" s="7" t="str">
        <x:v>WinTool AG</x:v>
      </x:c>
      <x:c r="D80" s="7" t="str">
        <x:v>WinTool：工具情報と現物・工程資源の連携</x:v>
      </x:c>
      <x:c r="E80" s="7" t="str">
        <x:v>E1049</x:v>
      </x:c>
      <x:c r="F80" s="7" t="str">
        <x:v>内容から分類（調査者・一次整理）</x:v>
      </x:c>
      <x:c r="G80" s="7" t="str">
        <x:v>出展説明に基づく一次分類。方式・実装権限・提供段階は個別確認</x:v>
      </x:c>
      <x:c t="str" r="H80" s="21">
        <x:f>HYPERLINK("#'展示詳細'!A"&amp;MATCH("AC295",'展示詳細'!$A$1:$A$340,0),"AC295")</x:f>
        <x:v>AC295</x:v>
      </x:c>
      <x:c r="I80" s="7" t="str">
        <x:v>2026の具体記述：CAMやNCシミュレーションシステムに工具データを展開することも可能。 / また、加工現場の工具収納システム・ツールプリセッタ・自動加工システムとも連携。 / WinToolは、生産管理システムやERP、MES、PLMで管理しきれない業務領域をカバー。 / BOP(工程管理表)の生産資源を「より現実」に落とし込み、生産技術と加工現場の架け橋の役割を担います。 / ・WinTool CAMシステム連携</x:v>
      </x:c>
      <x:c r="J80" s="7" t="str">
        <x:v>EEX-EXH-2026-4fb92ba6b82546d7
EDP-18
EDP-19</x:v>
      </x:c>
      <x:c r="K80" s="7" t="str">
        <x:v>https://www.jimtof.org/search/jp/ESdetails?e=sSFZV23clJo
https://www.wintool.com/en/tool-management-software/cnc-inventory-manager/erp-integration
https://www.wintool.com/software/cnc-prozessverwaltung</x:v>
      </x:c>
    </x:row>
    <x:row r="81" ht="84" customHeight="1">
      <x:c r="A81" s="7" t="str">
        <x:v>設計・製造DX</x:v>
      </x:c>
      <x:c r="B81" s="7" t="str">
        <x:v>設計製造データ連携</x:v>
      </x:c>
      <x:c r="C81" s="7" t="str">
        <x:v>オートデスク</x:v>
      </x:c>
      <x:c r="D81" s="7" t="str">
        <x:v>Fusion／FeatureCAM／PLM連携</x:v>
      </x:c>
      <x:c r="E81" s="7" t="str">
        <x:v>S3019</x:v>
      </x:c>
      <x:c r="F81" s="7" t="str">
        <x:v>内容から分類（調査者）</x:v>
      </x:c>
      <x:c r="G81" s="7" t="str">
        <x:v>設計・加工準備・計測のデジタル化／連携</x:v>
      </x:c>
      <x:c t="str" r="H81" s="21">
        <x:f>HYPERLINK("#'展示詳細'!A"&amp;MATCH("FC023",'展示詳細'!$A$1:$A$340,0),"FC023")</x:f>
        <x:v>FC023</x:v>
      </x:c>
      <x:c r="I81" s="7" t="str">
        <x:v>設計・製造データの再利用、モデル・シミュレーション、デジタル測定計画の用途に分類。AI利用は別タグ。</x:v>
      </x:c>
      <x:c r="J81" s="7" t="str">
        <x:v>EOV-V010-2026-1</x:v>
      </x:c>
      <x:c r="K81" s="7" t="str">
        <x:v>https://www.jimtof.org/search/jp/ESdetails?e=Y_kC6hMTghk</x:v>
      </x:c>
    </x:row>
    <x:row r="82" ht="84" customHeight="1">
      <x:c r="A82" s="7" t="str">
        <x:v>設計・製造DX</x:v>
      </x:c>
      <x:c r="B82" s="7" t="str">
        <x:v>hyperMILL CAD/CAM</x:v>
      </x:c>
      <x:c r="C82" s="7" t="str">
        <x:v>オープン・マインド・テクノロジーズ・ジャパン株式会社</x:v>
      </x:c>
      <x:c r="D82" s="7" t="str">
        <x:v>hyperMILL CAD/CAM</x:v>
      </x:c>
      <x:c r="E82" s="7" t="str">
        <x:v>S4007</x:v>
      </x:c>
      <x:c r="F82" s="7" t="str">
        <x:v>内容から分類（調査者・一次整理）</x:v>
      </x:c>
      <x:c r="G82" s="7" t="str">
        <x:v>出展説明に基づく一次分類。方式・実装権限・提供段階は個別確認</x:v>
      </x:c>
      <x:c t="str" r="H82" s="21">
        <x:f>HYPERLINK("#'展示詳細'!A"&amp;MATCH("AC047",'展示詳細'!$A$1:$A$340,0),"AC047")</x:f>
        <x:v>AC047</x:v>
      </x:c>
      <x:c r="I82" s="7" t="str">
        <x:v>2026の具体記述：プログラミングの自動化にも力を入れており、他社とは一線を画すOPEN MINDが考える自動化のコンセプトも紹介します。 / hyperMILL CAD/CAM</x:v>
      </x:c>
      <x:c r="J82" s="7" t="str">
        <x:v>EEX-EXH-2026-f3eec5560e813e09</x:v>
      </x:c>
      <x:c r="K82" s="7" t="str">
        <x:v>https://www.jimtof.org/search/jp/ESdetails?e=A5CG9Q83cis</x:v>
      </x:c>
    </x:row>
    <x:row r="83" ht="84" customHeight="1">
      <x:c r="A83" s="7" t="str">
        <x:v>設計・製造DX</x:v>
      </x:c>
      <x:c r="B83" s="7" t="str">
        <x:v>Opt-1</x:v>
      </x:c>
      <x:c r="C83" s="7" t="str">
        <x:v>キステム株式会社</x:v>
      </x:c>
      <x:c r="D83" s="7" t="str">
        <x:v>Opt-1</x:v>
      </x:c>
      <x:c r="E83" s="7" t="str">
        <x:v>S4014</x:v>
      </x:c>
      <x:c r="F83" s="7" t="str">
        <x:v>内容から分類（調査者・一次整理）</x:v>
      </x:c>
      <x:c r="G83" s="7" t="str">
        <x:v>出展説明に基づく一次分類。方式・実装権限・提供段階は個別確認</x:v>
      </x:c>
      <x:c t="str" r="H83" s="21">
        <x:f>HYPERLINK("#'展示詳細'!A"&amp;MATCH("AC055",'展示詳細'!$A$1:$A$340,0),"AC055")</x:f>
        <x:v>AC055</x:v>
      </x:c>
      <x:c r="I83" s="7" t="str">
        <x:v>2026の具体記述：補正加工や６軸加工にも対応しています。</x:v>
      </x:c>
      <x:c r="J83" s="7" t="str">
        <x:v>EEX-EXH-2026-2c1bff525e1eb40c</x:v>
      </x:c>
      <x:c r="K83" s="7" t="str">
        <x:v>https://www.jimtof.org/search/jp/ESdetails?e=QjS8eNKRLhw</x:v>
      </x:c>
    </x:row>
    <x:row r="84" ht="84" customHeight="1">
      <x:c r="A84" s="7" t="str">
        <x:v>設計・製造DX</x:v>
      </x:c>
      <x:c r="B84" s="7" t="str">
        <x:v>【Speedy mill Next】２D-3Dを統合したCAD環境。同時5軸/３軸加工、2軸加工、複合加工、ワイヤ/レーザー加工など豊富な加工機能。プ</x:v>
      </x:c>
      <x:c r="C84" s="7" t="str">
        <x:v>キャムタス株式会社</x:v>
      </x:c>
      <x:c r="D84" s="7" t="str">
        <x:v>【Speedy mill Next】２D-3Dを統合したCAD環境。同時5軸/３軸加工、2軸加工、複合加工、ワイヤ/レーザー加工など豊富な加工機能。プ</x:v>
      </x:c>
      <x:c r="E84" s="7" t="str">
        <x:v>S3067</x:v>
      </x:c>
      <x:c r="F84" s="7" t="str">
        <x:v>内容から分類（調査者・一次整理）</x:v>
      </x:c>
      <x:c r="G84" s="7" t="str">
        <x:v>出展説明に基づく一次分類。方式・実装権限・提供段階は個別確認</x:v>
      </x:c>
      <x:c t="str" r="H84" s="21">
        <x:f>HYPERLINK("#'展示詳細'!A"&amp;MATCH("AC061",'展示詳細'!$A$1:$A$340,0),"AC061")</x:f>
        <x:v>AC061</x:v>
      </x:c>
      <x:c r="I84" s="7" t="str">
        <x:v>2026の具体記述：今、製造現場でのDXに求められるものがここにあります。 / 【Speedy mill Next】２D-3Dを統合したCAD環境。 / 【Cimatron】世界的に定評のあるCAD/CAM。 / 【Speedy mill/Win】2次元CAD/CAM。 / 部品加工に特化した2次元CAD/CAM。</x:v>
      </x:c>
      <x:c r="J84" s="7" t="str">
        <x:v>EEX-EXH-2026-27ca2522afe8413a</x:v>
      </x:c>
      <x:c r="K84" s="7" t="str">
        <x:v>https://www.jimtof.org/search/jp/ESdetails?e=7W94U2NDZqc</x:v>
      </x:c>
    </x:row>
    <x:row r="85" ht="84" customHeight="1">
      <x:c r="A85" s="7" t="str">
        <x:v>設計・製造DX</x:v>
      </x:c>
      <x:c r="B85" s="7" t="str">
        <x:v>3次元ソリッドCAD/CAMシステム TopSolid'Cam</x:v>
      </x:c>
      <x:c r="C85" s="7" t="str">
        <x:v>コダマコーポレーション株式会社</x:v>
      </x:c>
      <x:c r="D85" s="7" t="str">
        <x:v>3次元ソリッドCAD/CAMシステム TopSolid'Cam</x:v>
      </x:c>
      <x:c r="E85" s="7" t="str">
        <x:v>S3066</x:v>
      </x:c>
      <x:c r="F85" s="7" t="str">
        <x:v>内容から分類（調査者・一次整理）</x:v>
      </x:c>
      <x:c r="G85" s="7" t="str">
        <x:v>出展説明に基づく一次分類。方式・実装権限・提供段階は個別確認</x:v>
      </x:c>
      <x:c t="str" r="H85" s="21">
        <x:f>HYPERLINK("#'展示詳細'!A"&amp;MATCH("AC076",'展示詳細'!$A$1:$A$340,0),"AC076")</x:f>
        <x:v>AC076</x:v>
      </x:c>
      <x:c r="I85" s="7" t="str">
        <x:v>2026の具体記述：コダマコーポレーションは、設計から加工までの一気通貫のデジタル製造環境を実現する「TopSolid」シリーズを展示する。 / 主力製品である「TopSolid'Cam 7」は、穴あけ、2軸、3軸から同時4・5軸加工、旋盤加工、複合加工までを1システムで対応し、CAD/CAM統合による効率的なNCプログラム作成を支援する。 / さらに、スイス式自動旋盤向け専用モジュール「Swiss Turn」、牧野フライス製作所のリアルタイム干渉防止機能</x:v>
      </x:c>
      <x:c r="J85" s="7" t="str">
        <x:v>EEX-EXH-2026-d7ec640627a22b17</x:v>
      </x:c>
      <x:c r="K85" s="7" t="str">
        <x:v>https://www.jimtof.org/search/jp/ESdetails?e=w3OCd-Yb-pM</x:v>
      </x:c>
    </x:row>
    <x:row r="86" ht="84" customHeight="1">
      <x:c r="A86" s="7" t="str">
        <x:v>設計・製造DX</x:v>
      </x:c>
      <x:c r="B86" s="7" t="str">
        <x:v>NCVIEW Neo</x:v>
      </x:c>
      <x:c r="C86" s="7" t="str">
        <x:v>シンプルテック株式会社</x:v>
      </x:c>
      <x:c r="D86" s="7" t="str">
        <x:v>NCVIEW Neo</x:v>
      </x:c>
      <x:c r="E86" s="7" t="str">
        <x:v>E2022</x:v>
      </x:c>
      <x:c r="F86" s="7" t="str">
        <x:v>内容から分類（調査者・一次整理）</x:v>
      </x:c>
      <x:c r="G86" s="7" t="str">
        <x:v>出展説明に基づく一次分類。方式・実装権限・提供段階は個別確認</x:v>
      </x:c>
      <x:c t="str" r="H86" s="21">
        <x:f>HYPERLINK("#'展示詳細'!A"&amp;MATCH("AC111",'展示詳細'!$A$1:$A$340,0),"AC111")</x:f>
        <x:v>AC111</x:v>
      </x:c>
      <x:c r="I86" s="7" t="str">
        <x:v>2026の具体記述：仮想刃先でノーズR補正対応 2軸旋削シミュレーションソフト</x:v>
      </x:c>
      <x:c r="J86" s="7" t="str">
        <x:v>EEX-EXH-2026-7bf0d464b165a8be</x:v>
      </x:c>
      <x:c r="K86" s="7" t="str">
        <x:v>https://www.jimtof.org/search/jp/ESdetails?e=ERhED8Spe2Q</x:v>
      </x:c>
    </x:row>
    <x:row r="87" ht="84" customHeight="1">
      <x:c r="A87" s="7" t="str">
        <x:v>設計・製造DX</x:v>
      </x:c>
      <x:c r="B87" s="7" t="str">
        <x:v>Digital Thread：工作機械ツイン・工程内品質保証</x:v>
      </x:c>
      <x:c r="C87" s="7" t="str">
        <x:v>シーメンス株式会社</x:v>
      </x:c>
      <x:c r="D87" s="7" t="str">
        <x:v>Digital Thread：工作機械ツイン・工程内品質保証</x:v>
      </x:c>
      <x:c r="E87" s="7" t="str">
        <x:v>E3006</x:v>
      </x:c>
      <x:c r="F87" s="7" t="str">
        <x:v>内容から分類（調査者・一次整理）</x:v>
      </x:c>
      <x:c r="G87" s="7" t="str">
        <x:v>出展説明に基づく一次分類。方式・実装権限・提供段階は個別確認</x:v>
      </x:c>
      <x:c t="str" r="H87" s="21">
        <x:f>HYPERLINK("#'展示詳細'!A"&amp;MATCH("AC098",'展示詳細'!$A$1:$A$340,0),"AC098")</x:f>
        <x:v>AC098</x:v>
      </x:c>
      <x:c r="I87" s="7" t="str">
        <x:v>2026の具体記述：シーメンスは、Siemens Xceleratorプラットフォームを活用し、企業のデジタル・トランスフォーメーションを支援します。 / 今回の展示では「Digital Thread for Machine Engineering」をテーマに、設計から生産準備、積層造形、加工、品質保証までをつなぐデジタル・スレッドをご紹介します。 / SINUMERIK ONEを搭載したHeller Toknによる工作機械デジタルツインや、Renisha</x:v>
      </x:c>
      <x:c r="J87" s="7" t="str">
        <x:v>EEX-EXH-2026-9b991dd8132f51dc
EDP-16
EDP-17</x:v>
      </x:c>
      <x:c r="K87" s="7" t="str">
        <x:v>https://www.jimtof.org/search/jp/ESdetails?e=EBIotJu7lrg
https://references.siemens.com/en/reference/heller-tokn-digital-twin?id=41137
https://press.siemens.com/jp/ja/pressrelease/pr-20260416</x:v>
      </x:c>
    </x:row>
    <x:row r="88" ht="84" customHeight="1">
      <x:c r="A88" s="7" t="str">
        <x:v>設計・製造DX</x:v>
      </x:c>
      <x:c r="B88" s="7" t="str">
        <x:v>CAM・NC作成</x:v>
      </x:c>
      <x:c r="C88" s="7" t="str">
        <x:v>ジェービーエムエンジニアリング</x:v>
      </x:c>
      <x:c r="D88" s="7" t="str">
        <x:v>Mastercam＋CAMAssist</x:v>
      </x:c>
      <x:c r="E88" s="7" t="str">
        <x:v>E2002</x:v>
      </x:c>
      <x:c r="F88" s="7" t="str">
        <x:v>内容から分類（調査者）</x:v>
      </x:c>
      <x:c r="G88" s="7" t="str">
        <x:v>設計・加工準備・計測のデジタル化／連携</x:v>
      </x:c>
      <x:c t="str" r="H88" s="21">
        <x:f>HYPERLINK("#'展示詳細'!A"&amp;MATCH("FC020",'展示詳細'!$A$1:$A$340,0),"FC020")</x:f>
        <x:v>FC020</x:v>
      </x:c>
      <x:c r="I88" s="7" t="str">
        <x:v>設計・製造データの再利用、モデル・シミュレーション、デジタル測定計画の用途に分類。AI利用は別タグ。</x:v>
      </x:c>
      <x:c r="J88" s="7" t="str">
        <x:v>EOV-V008-2026-1
EDP-09
EDP-10
ERF-03</x:v>
      </x:c>
      <x:c r="K88" s="7" t="str">
        <x:v>https://www.jimtof.org/search/jp/ESdetails?e=VrAjMTKmxdw
https://www.cloudnc.com/ja/mastercam
https://www.cloudnc.com/news-room/cam-assist-the-first-ai-plug-in-for-cam-is-now-available-for-mastercam</x:v>
      </x:c>
    </x:row>
    <x:row r="89" ht="84" customHeight="1">
      <x:c r="A89" s="7" t="str">
        <x:v>設計・製造DX</x:v>
      </x:c>
      <x:c r="B89" s="7" t="str">
        <x:v>CAM Assist for SolidCAM／SolidShop</x:v>
      </x:c>
      <x:c r="C89" s="7" t="str">
        <x:v>タクテックス株式会社</x:v>
      </x:c>
      <x:c r="D89" s="7" t="str">
        <x:v>CAM Assist for SolidCAM／SolidShop</x:v>
      </x:c>
      <x:c r="E89" s="7" t="str">
        <x:v>S1016</x:v>
      </x:c>
      <x:c r="F89" s="7" t="str">
        <x:v>内容から分類（調査者・一次整理）</x:v>
      </x:c>
      <x:c r="G89" s="7" t="str">
        <x:v>出展説明に基づく一次分類。方式・実装権限・提供段階は個別確認</x:v>
      </x:c>
      <x:c t="str" r="H89" s="21">
        <x:f>HYPERLINK("#'展示詳細'!A"&amp;MATCH("AC131",'展示詳細'!$A$1:$A$340,0),"AC131")</x:f>
        <x:v>AC131</x:v>
      </x:c>
      <x:c r="I89" s="7" t="str">
        <x:v>2026の具体記述：「この課題」CAMで突破！ / 人手不足や技術継承、多品種少量生産など、製造現場の課題をSolidCAMが解決します。 / 工作機械とネットワーク接続し、稼働状況の見える化による製造DX「SolidShop」を展示。 / ３. 次世代のものづくりを支える！最新CAM活用法 / 「複合加工機対応」「生成AIでCAM自動化」「自動旋盤」をテーマに、最新のCAM活用法をセミナーで解説。 / ４．「見る・聞く・相談する」で、CAMをもっと身近に</x:v>
      </x:c>
      <x:c r="J89" s="7" t="str">
        <x:v>EEX-EXH-2026-0436fc7b61f51a8e
EDP-07
EDP-08
ERF-04</x:v>
      </x:c>
      <x:c r="K89" s="7" t="str">
        <x:v>https://www.jimtof.org/search/jp/ESdetails?e=2TVzwvOqLxI
https://www.cloudnc.com/ja/solidcam
https://help.solidcam.com/topics/solutions/cloudnc-cam-assist.htm</x:v>
      </x:c>
    </x:row>
    <x:row r="90" ht="84" customHeight="1">
      <x:c r="A90" s="7" t="str">
        <x:v>設計・製造DX</x:v>
      </x:c>
      <x:c r="B90" s="7" t="str">
        <x:v>寸法・形状計測</x:v>
      </x:c>
      <x:c r="C90" s="7" t="str">
        <x:v>ニコン</x:v>
      </x:c>
      <x:c r="D90" s="7" t="str">
        <x:v>NEXIV・CT・ロボットビジョン等</x:v>
      </x:c>
      <x:c r="E90" s="7" t="str">
        <x:v>E7001</x:v>
      </x:c>
      <x:c r="F90" s="7" t="str">
        <x:v>内容から分類（調査者）</x:v>
      </x:c>
      <x:c r="G90" s="7" t="str">
        <x:v>設計・加工準備・計測のデジタル化／連携</x:v>
      </x:c>
      <x:c t="str" r="H90" s="21">
        <x:f>HYPERLINK("#'展示詳細'!A"&amp;MATCH("FC057",'展示詳細'!$A$1:$A$340,0),"FC057")</x:f>
        <x:v>FC057</x:v>
      </x:c>
      <x:c r="I90" s="7" t="str">
        <x:v>設計・製造データの再利用、モデル・シミュレーション、デジタル測定計画の用途に分類。AI利用は別タグ。</x:v>
      </x:c>
      <x:c r="J90" s="7" t="str">
        <x:v>EOV-V037-2026-1</x:v>
      </x:c>
      <x:c r="K90" s="7" t="str">
        <x:v>https://www.jimtof.org/search/jp/ESdetails?e=lmqsWTyiVAY</x:v>
      </x:c>
    </x:row>
    <x:row r="91" ht="84" customHeight="1">
      <x:c r="A91" s="7" t="str">
        <x:v>設計・製造DX</x:v>
      </x:c>
      <x:c r="B91" s="7" t="str">
        <x:v>①門形五面加工機　MVR-Hx</x:v>
      </x:c>
      <x:c r="C91" s="7" t="str">
        <x:v>ニデックマシンツール株式会社</x:v>
      </x:c>
      <x:c r="D91" s="7" t="str">
        <x:v>①門形五面加工機　MVR-Hx</x:v>
      </x:c>
      <x:c r="E91" s="7" t="str">
        <x:v>E3011</x:v>
      </x:c>
      <x:c r="F91" s="7" t="str">
        <x:v>内容から分類（調査者・一次整理）</x:v>
      </x:c>
      <x:c r="G91" s="7" t="str">
        <x:v>出展説明に基づく一次分類。方式・実装権限・提供段階は個別確認</x:v>
      </x:c>
      <x:c t="str" r="H91" s="21">
        <x:f>HYPERLINK("#'展示詳細'!A"&amp;MATCH("AC172",'展示詳細'!$A$1:$A$340,0),"AC172")</x:f>
        <x:v>AC172</x:v>
      </x:c>
      <x:c r="I91" s="7" t="str">
        <x:v>2026の具体記述：「NIDECギヤ加工ソリューション」として、荒加工～仕上げ加工、量産～少量多品種・工程集約まで、ロボットや自動車に対応した最新の歯車加工ソリューションをご提案します。 / デジタルツインの活用により、加工前のシミュレーションから検証までを仮想空間で行い、効率化・省人化を実現する『未来の生産のあり方』をご提案します。 / 新開発「NC2軸アタッチメント」によるデモと、デジタルツインプラットフォーム「Nidec NC Twin」も紹介。</x:v>
      </x:c>
      <x:c r="J91" s="7" t="str">
        <x:v>EEX-EXH-2026-d31a435d31c2b6eb</x:v>
      </x:c>
      <x:c r="K91" s="7" t="str">
        <x:v>https://www.jimtof.org/search/jp/ESdetails?e=oS1WYTzqdvg</x:v>
      </x:c>
    </x:row>
    <x:row r="92" ht="84" customHeight="1">
      <x:c r="A92" s="7" t="str">
        <x:v>設計・製造DX</x:v>
      </x:c>
      <x:c r="B92" s="7" t="str">
        <x:v>NC・干渉検証</x:v>
      </x:c>
      <x:c r="C92" s="7" t="str">
        <x:v>ファナック</x:v>
      </x:c>
      <x:c r="D92" s="7" t="str">
        <x:v>FANUC Smart Digital Twin</x:v>
      </x:c>
      <x:c r="E92" s="7" t="str">
        <x:v>S2001</x:v>
      </x:c>
      <x:c r="F92" s="7" t="str">
        <x:v>内容から分類（調査者）</x:v>
      </x:c>
      <x:c r="G92" s="7" t="str">
        <x:v>設計・加工準備・計測のデジタル化／連携</x:v>
      </x:c>
      <x:c t="str" r="H92" s="21">
        <x:f>HYPERLINK("#'展示詳細'!A"&amp;MATCH("FC007",'展示詳細'!$A$1:$A$340,0),"FC007")</x:f>
        <x:v>FC007</x:v>
      </x:c>
      <x:c r="I92" s="7" t="str">
        <x:v>設計・製造データの再利用、モデル・シミュレーション、デジタル測定計画の用途に分類。AI利用は別タグ。</x:v>
      </x:c>
      <x:c r="J92" s="7" t="str">
        <x:v>EOV-V002-2026-1</x:v>
      </x:c>
      <x:c r="K92" s="7" t="str">
        <x:v>https://www.jimtof.org/search/jp/ESdetails?e=q0OrZBKM3uQ</x:v>
      </x:c>
    </x:row>
    <x:row r="93" ht="84" customHeight="1">
      <x:c r="A93" s="7" t="str">
        <x:v>設計・製造DX</x:v>
      </x:c>
      <x:c r="B93" s="7" t="str">
        <x:v>QC PRO シリーズ</x:v>
      </x:c>
      <x:c r="C93" s="7" t="str">
        <x:v>ベクトリックス株式会社</x:v>
      </x:c>
      <x:c r="D93" s="7" t="str">
        <x:v>QC PRO シリーズ</x:v>
      </x:c>
      <x:c r="E93" s="7" t="str">
        <x:v>E7029</x:v>
      </x:c>
      <x:c r="F93" s="7" t="str">
        <x:v>内容から分類（調査者・一次整理）</x:v>
      </x:c>
      <x:c r="G93" s="7" t="str">
        <x:v>出展説明に基づく一次分類。方式・実装権限・提供段階は個別確認</x:v>
      </x:c>
      <x:c t="str" r="H93" s="21">
        <x:f>HYPERLINK("#'展示詳細'!A"&amp;MATCH("AC206",'展示詳細'!$A$1:$A$340,0),"AC206")</x:f>
        <x:v>AC206</x:v>
      </x:c>
      <x:c r="I93" s="7" t="str">
        <x:v>2026の具体記述：SPC（統計的工程管理）に対応した品質管理ソフトウェア / ・検査成績書や管理図の自動作成機能 / エクセル自動入力・検査書作成ソフトウェア / ・ワイヤレス入力したデータを自動で合否判定 / ・指定日時の自動バックアップ機能 / ・回収指示書の自動メール配信 / ・QC PRO EX Plus（エクセル自動入力用ソフトウェア） / ・QC PRO MX（検査成績書自動作成ソフトウェア）</x:v>
      </x:c>
      <x:c r="J93" s="7" t="str">
        <x:v>EEX-EXH-2026-051461fc275e164d</x:v>
      </x:c>
      <x:c r="K93" s="7" t="str">
        <x:v>https://www.jimtof.org/search/jp/ESdetails?e=P5HLZf3n2dk</x:v>
      </x:c>
    </x:row>
    <x:row r="94" ht="84" customHeight="1">
      <x:c r="A94" s="7" t="str">
        <x:v>設計・製造DX</x:v>
      </x:c>
      <x:c r="B94" s="7" t="str">
        <x:v>PLCコード作成</x:v>
      </x:c>
      <x:c r="C94" s="7" t="str">
        <x:v>ベッコフオートメーション</x:v>
      </x:c>
      <x:c r="D94" s="7" t="str">
        <x:v>TwinCAT CoAgent for Engineering：PLC</x:v>
      </x:c>
      <x:c r="E94" s="7" t="str">
        <x:v>E2028</x:v>
      </x:c>
      <x:c r="F94" s="7" t="str">
        <x:v>内容から分類（調査者）</x:v>
      </x:c>
      <x:c r="G94" s="7" t="str">
        <x:v>設計・加工準備・計測のデジタル化／連携</x:v>
      </x:c>
      <x:c t="str" r="H94" s="21">
        <x:f>HYPERLINK("#'展示詳細'!A"&amp;MATCH("FC011",'展示詳細'!$A$1:$A$340,0),"FC011")</x:f>
        <x:v>FC011</x:v>
      </x:c>
      <x:c r="I94" s="7" t="str">
        <x:v>設計・製造データの再利用、モデル・シミュレーション、デジタル測定計画の用途に分類。AI利用は別タグ。</x:v>
      </x:c>
      <x:c r="J94" s="7" t="str">
        <x:v>EOV-V005-2026-1
EAT-N03
EAT-N05
EDP-03
ERF-01</x:v>
      </x:c>
      <x:c r="K94" s="7" t="str">
        <x:v>https://www.jimtof.org/search/jp/ESdetails?e=K7DqahO2h08
https://www.beckhoff.com/ko-kr/products/automation/twincat/texxxx-twincat-3-engineering/te1700.html
https://www.beckhoff.com/ko-kr/products/automation/twincat-projects-with-ai-supported-engineering/
https://www.beckhoff.com/en-en/company/press/twincat-chat-using-innovative-chatbot-technology-in-twincat-engineering-2023-04.html
https://www.beckhoff.com/en-gb/company/news/from-chatbot-to-intelligent-agent.html</x:v>
      </x:c>
    </x:row>
    <x:row r="95" ht="84" customHeight="1">
      <x:c r="A95" s="7" t="str">
        <x:v>設計・製造DX</x:v>
      </x:c>
      <x:c r="B95" s="7" t="str">
        <x:v>I/O・HMI設計</x:v>
      </x:c>
      <x:c r="C95" s="7" t="str">
        <x:v>ベッコフオートメーション</x:v>
      </x:c>
      <x:c r="D95" s="7" t="str">
        <x:v>TwinCAT CoAgent for Engineering：I/O・HMI</x:v>
      </x:c>
      <x:c r="E95" s="7" t="str">
        <x:v>E2028</x:v>
      </x:c>
      <x:c r="F95" s="7" t="str">
        <x:v>内容から分類（調査者）</x:v>
      </x:c>
      <x:c r="G95" s="7" t="str">
        <x:v>設計・加工準備・計測のデジタル化／連携</x:v>
      </x:c>
      <x:c t="str" r="H95" s="21">
        <x:f>HYPERLINK("#'展示詳細'!A"&amp;MATCH("FC012",'展示詳細'!$A$1:$A$340,0),"FC012")</x:f>
        <x:v>FC012</x:v>
      </x:c>
      <x:c r="I95" s="7" t="str">
        <x:v>設計・製造データの再利用、モデル・シミュレーション、デジタル測定計画の用途に分類。AI利用は別タグ。</x:v>
      </x:c>
      <x:c r="J95" s="7" t="str">
        <x:v>EOV-V005-2026-1
EAT-N03
EAT-N05
EDP-03
ERF-01</x:v>
      </x:c>
      <x:c r="K95" s="7" t="str">
        <x:v>https://www.jimtof.org/search/jp/ESdetails?e=K7DqahO2h08
https://www.beckhoff.com/ko-kr/products/automation/twincat/texxxx-twincat-3-engineering/te1700.html
https://www.beckhoff.com/ko-kr/products/automation/twincat-projects-with-ai-supported-engineering/
https://www.beckhoff.com/en-en/company/press/twincat-chat-using-innovative-chatbot-technology-in-twincat-engineering-2023-04.html
https://www.beckhoff.com/en-gb/company/news/from-chatbot-to-intelligent-agent.html</x:v>
      </x:c>
    </x:row>
    <x:row r="96" ht="84" customHeight="1">
      <x:c r="A96" s="7" t="str">
        <x:v>設計・製造DX</x:v>
      </x:c>
      <x:c r="B96" s="7" t="str">
        <x:v>寸法・形状計測</x:v>
      </x:c>
      <x:c r="C96" s="7" t="str">
        <x:v>ミツトヨ</x:v>
      </x:c>
      <x:c r="D96" s="7" t="str">
        <x:v>自動測定／MiCAT Planner・MiBOT系</x:v>
      </x:c>
      <x:c r="E96" s="7" t="str">
        <x:v>E7085</x:v>
      </x:c>
      <x:c r="F96" s="7" t="str">
        <x:v>内容から分類（調査者）</x:v>
      </x:c>
      <x:c r="G96" s="7" t="str">
        <x:v>設計・加工準備・計測のデジタル化／連携</x:v>
      </x:c>
      <x:c t="str" r="H96" s="21">
        <x:f>HYPERLINK("#'展示詳細'!A"&amp;MATCH("FC032",'展示詳細'!$A$1:$A$340,0),"FC032")</x:f>
        <x:v>FC032</x:v>
      </x:c>
      <x:c r="I96" s="7" t="str">
        <x:v>設計・製造データの再利用、モデル・シミュレーション、デジタル測定計画の用途に分類。AI利用は別タグ。</x:v>
      </x:c>
      <x:c r="J96" s="7" t="str">
        <x:v>EOV-V017-2026-1</x:v>
      </x:c>
      <x:c r="K96" s="7" t="str">
        <x:v>https://www.jimtof.org/search/jp/ESdetails?e=a7y3JtW8DXM</x:v>
      </x:c>
    </x:row>
    <x:row r="97" ht="84" customHeight="1">
      <x:c r="A97" s="7" t="str">
        <x:v>設計・製造DX</x:v>
      </x:c>
      <x:c r="B97" s="7" t="str">
        <x:v>制御盤用筐体 VX</x:v>
      </x:c>
      <x:c r="C97" s="7" t="str">
        <x:v>リタール株式会社</x:v>
      </x:c>
      <x:c r="D97" s="7" t="str">
        <x:v>制御盤用筐体 VX</x:v>
      </x:c>
      <x:c r="E97" s="7" t="str">
        <x:v>S1067</x:v>
      </x:c>
      <x:c r="F97" s="7" t="str">
        <x:v>内容から分類（調査者・一次整理）</x:v>
      </x:c>
      <x:c r="G97" s="7" t="str">
        <x:v>出展説明に基づく一次分類。方式・実装権限・提供段階は個別確認</x:v>
      </x:c>
      <x:c t="str" r="H97" s="21">
        <x:f>HYPERLINK("#'展示詳細'!A"&amp;MATCH("AC240",'展示詳細'!$A$1:$A$340,0),"AC240")</x:f>
        <x:v>AC240</x:v>
      </x:c>
      <x:c r="I97" s="7" t="str">
        <x:v>2026の具体記述：国際規格を多数取得、高い保護等級を有するリタールの盤用筐体や小型ボックス各種、工作機械の操作盤に最適の高さ調節式サポートアームシステム、オープンプラットフォームのバスバーシステム、そして、製造業のIoT化を推進するクーラー付ITラック・エッジコンピューティング用ラックも展示します。</x:v>
      </x:c>
      <x:c r="J97" s="7" t="str">
        <x:v>EEX-EXH-2026-ede0d52617ac3762</x:v>
      </x:c>
      <x:c r="K97" s="7" t="str">
        <x:v>https://www.jimtof.org/search/jp/ESdetails?e=20GFOkXi--c</x:v>
      </x:c>
    </x:row>
    <x:row r="98" ht="84" customHeight="1">
      <x:c r="A98" s="7" t="str">
        <x:v>設計・製造DX</x:v>
      </x:c>
      <x:c r="B98" s="7" t="str">
        <x:v>ZEISS社　コンパクトクラス高機能3Dスキャナ / ATOS Q</x:v>
      </x:c>
      <x:c r="C98" s="7" t="str">
        <x:v>丸紅情報システムズ株式会社</x:v>
      </x:c>
      <x:c r="D98" s="7" t="str">
        <x:v>ZEISS社　コンパクトクラス高機能3Dスキャナ / ATOS Q</x:v>
      </x:c>
      <x:c r="E98" s="7" t="str">
        <x:v>S3081</x:v>
      </x:c>
      <x:c r="F98" s="7" t="str">
        <x:v>内容から分類（調査者・一次整理）</x:v>
      </x:c>
      <x:c r="G98" s="7" t="str">
        <x:v>出展説明に基づく一次分類。方式・実装権限・提供段階は個別確認</x:v>
      </x:c>
      <x:c t="str" r="H98" s="21">
        <x:f>HYPERLINK("#'展示詳細'!A"&amp;MATCH("AC215",'展示詳細'!$A$1:$A$340,0),"AC215")</x:f>
        <x:v>AC215</x:v>
      </x:c>
      <x:c r="I98" s="7" t="str">
        <x:v>2026の具体記述：「製造DX x 非接触3Dスキャナで計測工程を刷新」 / ZEISS社の3Dスキャナを軸に、製品の検査・品質管理から始まり、取得した3次元測定データと既存のCAMデータを活用し、金型加工（肉盛り補修など）の最適化を行うなど様々な事例をご紹介いたします。 / 3Dスキャナも据え置き式はもちろん、ロボットを利用した自動化システム、ハンディタイプなど様々ラインナップしております。 / その他生産管理システム（MES)や、現物にCADデータをA</x:v>
      </x:c>
      <x:c r="J98" s="7" t="str">
        <x:v>EEX-EXH-2026-724ec4dafc442c95</x:v>
      </x:c>
      <x:c r="K98" s="7" t="str">
        <x:v>https://www.jimtof.org/search/jp/ESdetails?e=CYlrKSmBqPU</x:v>
      </x:c>
    </x:row>
    <x:row r="99" ht="84" customHeight="1">
      <x:c r="A99" s="7" t="str">
        <x:v>設計・製造DX</x:v>
      </x:c>
      <x:c r="B99" s="7" t="str">
        <x:v>オフライン型産業用X線CTスキャナー「Neptune」</x:v>
      </x:c>
      <x:c r="C99" s="7" t="str">
        <x:v>双日株式会社</x:v>
      </x:c>
      <x:c r="D99" s="7" t="str">
        <x:v>オフライン型産業用X線CTスキャナー「Neptune」</x:v>
      </x:c>
      <x:c r="E99" s="7" t="str">
        <x:v>S4027</x:v>
      </x:c>
      <x:c r="F99" s="7" t="str">
        <x:v>内容から分類（調査者・一次整理）</x:v>
      </x:c>
      <x:c r="G99" s="7" t="str">
        <x:v>出展説明に基づく一次分類。方式・実装権限・提供段階は個別確認</x:v>
      </x:c>
      <x:c t="str" r="H99" s="21">
        <x:f>HYPERLINK("#'展示詳細'!A"&amp;MATCH("AC121",'展示詳細'!$A$1:$A$340,0),"AC121")</x:f>
        <x:v>AC121</x:v>
      </x:c>
      <x:c r="I99" s="7" t="str">
        <x:v>2026の具体記述：製品内部の欠陥確認に加え、寸法計測、肉厚評価、組立状態の確認、CADデータとの比較など、外観観察だけでは把握できない情報を取得できます。 / 3D表示、任意断面の確認、寸法計測、肉厚解析、欠陥解析、CAD比較などを、直感的な操作で行えます。</x:v>
      </x:c>
      <x:c r="J99" s="7" t="str">
        <x:v>EEX-EXH-2026-94536b46ad30e81c</x:v>
      </x:c>
      <x:c r="K99" s="7" t="str">
        <x:v>https://www.jimtof.org/search/jp/ESdetails?e=yEoPl5sH6Sg</x:v>
      </x:c>
    </x:row>
    <x:row r="100" ht="84" customHeight="1">
      <x:c r="A100" s="7" t="str">
        <x:v>設計・製造DX</x:v>
      </x:c>
      <x:c r="B100" s="7" t="str">
        <x:v>ミストリーナー DEシリーズ</x:v>
      </x:c>
      <x:c r="C100" s="7" t="str">
        <x:v>川重テクノロジー株式会社</x:v>
      </x:c>
      <x:c r="D100" s="7" t="str">
        <x:v>ミストリーナー DEシリーズ</x:v>
      </x:c>
      <x:c r="E100" s="7" t="str">
        <x:v>S1042</x:v>
      </x:c>
      <x:c r="F100" s="7" t="str">
        <x:v>内容から分類（調査者・一次整理）</x:v>
      </x:c>
      <x:c r="G100" s="7" t="str">
        <x:v>出展説明に基づく一次分類。方式・実装権限・提供段階は個別確認</x:v>
      </x:c>
      <x:c t="str" r="H100" s="21">
        <x:f>HYPERLINK("#'展示詳細'!A"&amp;MATCH("AC053",'展示詳細'!$A$1:$A$340,0),"AC053")</x:f>
        <x:v>AC053</x:v>
      </x:c>
      <x:c r="I100" s="7" t="str">
        <x:v>2026の具体記述：川重テクノロジーは製造業の皆様の製品開発、製造、品質保証のパートナーです。 / 当社ブースにはミストリーナー（ミストコレクター）とFEM・CFD解析によるソリューション技術を展示しています。 / ミストリーナーは、特殊フィルターによる高い除去性能・維持性能が強みです。 / 多数の油煙対策実績もあり、改善事例紹介やデモ機設置のご提案も可能です。 / また、ソリューション技術コーナーでは、機械加工時や成形時における変形・応力・破壊・振動・粒</x:v>
      </x:c>
      <x:c r="J100" s="7" t="str">
        <x:v>EEX-EXH-2026-8b196d0a504dcc0c</x:v>
      </x:c>
      <x:c r="K100" s="7" t="str">
        <x:v>https://www.jimtof.org/search/jp/ESdetails?e=Wa3P03zlqwQ</x:v>
      </x:c>
    </x:row>
    <x:row r="101" ht="84" customHeight="1">
      <x:c r="A101" s="7" t="str">
        <x:v>設計・製造DX</x:v>
      </x:c>
      <x:c r="B101" s="7" t="str">
        <x:v>Klingelnbergブースでは、歯車設計から加工、測定、品質保証、デジタル化までをシームレスにつなぐトータルソリューションをご紹介します。</x:v>
      </x:c>
      <x:c r="C101" s="7" t="str">
        <x:v>日本クリンゲルンベルグ株式会社</x:v>
      </x:c>
      <x:c r="D101" s="7" t="str">
        <x:v>Klingelnbergブースでは、歯車設計から加工、測定、品質保証、デジタル化までをシームレスにつなぐトータルソリューションをご紹介します。</x:v>
      </x:c>
      <x:c r="E101" s="7" t="str">
        <x:v>E1006</x:v>
      </x:c>
      <x:c r="F101" s="7" t="str">
        <x:v>内容から分類（調査者・一次整理）</x:v>
      </x:c>
      <x:c r="G101" s="7" t="str">
        <x:v>出展説明に基づく一次分類。方式・実装権限・提供段階は個別確認</x:v>
      </x:c>
      <x:c t="str" r="H101" s="21">
        <x:f>HYPERLINK("#'展示詳細'!A"&amp;MATCH("AC176",'展示詳細'!$A$1:$A$340,0),"AC176")</x:f>
        <x:v>AC176</x:v>
      </x:c>
      <x:c r="I101" s="7" t="str">
        <x:v>2026の具体記述：JIMTOF 2026では、電動化が進む自動車産業をはじめ、風力発電、鉄道、航空宇宙、船舶など、幅広い分野を支える最新の歯車加工・測定技術をご紹介します。 / さらに、品質保証や生産性向上につながる最新のデジタルソリューションもご提案します。 / ベベルギヤ加工、円筒歯車加工、精密測定からデジタルソリューションまで、歯車製造の未来を支えるKlingelnbergの最新技術を、ぜひ会場でご覧ください。 / Klingelnbergブースで</x:v>
      </x:c>
      <x:c r="J101" s="7" t="str">
        <x:v>EEX-EXH-2026-fcc72e415a9d406e</x:v>
      </x:c>
      <x:c r="K101" s="7" t="str">
        <x:v>https://www.jimtof.org/search/jp/ESdetails?e=K8FKaawJkn0</x:v>
      </x:c>
    </x:row>
    <x:row r="102" ht="84" customHeight="1">
      <x:c r="A102" s="7" t="str">
        <x:v>設計・製造DX</x:v>
      </x:c>
      <x:c r="B102" s="7" t="str">
        <x:v>【出展物】</x:v>
      </x:c>
      <x:c r="C102" s="7" t="str">
        <x:v>東京貿易テクノシステム株式会社</x:v>
      </x:c>
      <x:c r="D102" s="7" t="str">
        <x:v>【出展物】</x:v>
      </x:c>
      <x:c r="E102" s="7" t="str">
        <x:v>E7038</x:v>
      </x:c>
      <x:c r="F102" s="7" t="str">
        <x:v>内容から分類（調査者・一次整理）</x:v>
      </x:c>
      <x:c r="G102" s="7" t="str">
        <x:v>出展説明に基づく一次分類。方式・実装権限・提供段階は個別確認</x:v>
      </x:c>
      <x:c t="str" r="H102" s="21">
        <x:f>HYPERLINK("#'展示詳細'!A"&amp;MATCH("AC148",'展示詳細'!$A$1:$A$340,0),"AC148")</x:f>
        <x:v>AC148</x:v>
      </x:c>
      <x:c r="I102" s="7" t="str">
        <x:v>2026の具体記述：❷モバイル自動計測 システム名：Absolute Arm+Cobot / ❷品質保証DX システム名：Leica Absolute Tracker、Absolute Arm、門型三次元測定機他</x:v>
      </x:c>
      <x:c r="J102" s="7" t="str">
        <x:v>EEX-EXH-2026-d7b599b5d3045611</x:v>
      </x:c>
      <x:c r="K102" s="7" t="str">
        <x:v>https://www.jimtof.org/search/jp/ESdetails?e=q65eJorv2LU</x:v>
      </x:c>
    </x:row>
    <x:row r="103" ht="84" customHeight="1">
      <x:c r="A103" s="7" t="str">
        <x:v>設計・製造DX</x:v>
      </x:c>
      <x:c r="B103" s="7" t="str">
        <x:v>パレット供給</x:v>
      </x:c>
      <x:c r="C103" s="7" t="str">
        <x:v>松浦機械製作所</x:v>
      </x:c>
      <x:c r="D103" s="7" t="str">
        <x:v>5軸＋マルチパレット／MiOS</x:v>
      </x:c>
      <x:c r="E103" s="7" t="str">
        <x:v>E3030</x:v>
      </x:c>
      <x:c r="F103" s="7" t="str">
        <x:v>内容から分類（調査者）</x:v>
      </x:c>
      <x:c r="G103" s="7" t="str">
        <x:v>設計・加工準備・計測のデジタル化／連携</x:v>
      </x:c>
      <x:c t="str" r="H103" s="21">
        <x:f>HYPERLINK("#'展示詳細'!A"&amp;MATCH("FC047",'展示詳細'!$A$1:$A$340,0),"FC047")</x:f>
        <x:v>FC047</x:v>
      </x:c>
      <x:c r="I103" s="7" t="str">
        <x:v>設計・製造データの再利用、モデル・シミュレーション、デジタル測定計画の用途に分類。AI利用は別タグ。</x:v>
      </x:c>
      <x:c r="J103" s="7" t="str">
        <x:v>EOV-V028-2026-1</x:v>
      </x:c>
      <x:c r="K103" s="7" t="str">
        <x:v>https://www.jimtof.org/search/jp/ESdetails?e=K_X61J2xV_w</x:v>
      </x:c>
    </x:row>
    <x:row r="104" ht="84" customHeight="1">
      <x:c r="A104" s="7" t="str">
        <x:v>設計・製造DX</x:v>
      </x:c>
      <x:c r="B104" s="7" t="str">
        <x:v>CAD/CAMシステム</x:v>
      </x:c>
      <x:c r="C104" s="7" t="str">
        <x:v>株式会社Aiソリューションズ</x:v>
      </x:c>
      <x:c r="D104" s="7" t="str">
        <x:v>CAD/CAMシステム</x:v>
      </x:c>
      <x:c r="E104" s="7" t="str">
        <x:v>S4011</x:v>
      </x:c>
      <x:c r="F104" s="7" t="str">
        <x:v>内容から分類（調査者・一次整理）</x:v>
      </x:c>
      <x:c r="G104" s="7" t="str">
        <x:v>出展説明に基づく一次分類。方式・実装権限・提供段階は個別確認</x:v>
      </x:c>
      <x:c t="str" r="H104" s="21">
        <x:f>HYPERLINK("#'展示詳細'!A"&amp;MATCH("AC031",'展示詳細'!$A$1:$A$340,0),"AC031")</x:f>
        <x:v>AC031</x:v>
      </x:c>
      <x:c r="I104" s="7" t="str">
        <x:v>2026の具体記述：最新のCAD/CAM・NCシミュレーションソリューション「hyperMILL」「Mastercam」「OneCNC」「Vericut」を実演展示いたします。 / 5軸加工の高度化、自動プログラミングによる工数削減、複合加工機への対応、加工前検証による品質向上など、製造現場のさまざまな課題に対応する最新ソリューションをご紹介します。 / 特に高機能5軸CAD/CAMシステム「hyperMILL」では、NCコードベースシミュレーション「VI</x:v>
      </x:c>
      <x:c r="J104" s="7" t="str">
        <x:v>EEX-EXH-2026-9109f51b0514db5c</x:v>
      </x:c>
      <x:c r="K104" s="7" t="str">
        <x:v>https://www.jimtof.org/search/jp/ESdetails?e=DiSAGV9x7AM</x:v>
      </x:c>
    </x:row>
    <x:row r="105" ht="84" customHeight="1">
      <x:c r="A105" s="7" t="str">
        <x:v>設計・製造DX</x:v>
      </x:c>
      <x:c r="B105" s="7" t="str">
        <x:v>New Century(ニューセンチュリー) HSS及び超硬合金製エンドミルシリーズ、NCスポッティングドリル、面取り工具</x:v>
      </x:c>
      <x:c r="C105" s="7" t="str">
        <x:v>株式会社Cominix</x:v>
      </x:c>
      <x:c r="D105" s="7" t="str">
        <x:v>New Century(ニューセンチュリー) HSS及び超硬合金製エンドミルシリーズ、NCスポッティングドリル、面取り工具</x:v>
      </x:c>
      <x:c r="E105" s="7" t="str">
        <x:v>W1094</x:v>
      </x:c>
      <x:c r="F105" s="7" t="str">
        <x:v>内容から分類（調査者・一次整理）</x:v>
      </x:c>
      <x:c r="G105" s="7" t="str">
        <x:v>出展説明に基づく一次分類。方式・実装権限・提供段階は個別確認</x:v>
      </x:c>
      <x:c t="str" r="H105" s="21">
        <x:f>HYPERLINK("#'展示詳細'!A"&amp;MATCH("AC078",'展示詳細'!$A$1:$A$340,0),"AC078")</x:f>
        <x:v>AC078</x:v>
      </x:c>
      <x:c r="I105" s="7" t="str">
        <x:v>2026の具体記述：1945年創業の当社は昨年80周年を迎えた。 / 「生産性向上を通じた社会の発展への寄与」を基本方針に掲げ、日本のものづくり産業を支える切削・耐摩工具の販売に特化し貢献してきた。 / 近年はM&amp;Aや有望な海外メーカーの発掘に加え、光システム製品、鉱物資源、EC、工作機械販売などの新規事業展開により、業界内で独自のポジションを築き順調に事業を拡大している。 / JIMTOF2026のブースコンセプトは『生産性向上で未来を創るCominix</x:v>
      </x:c>
      <x:c r="J105" s="7" t="str">
        <x:v>EEX-EXH-2026-63e31a243d5f56e1</x:v>
      </x:c>
      <x:c r="K105" s="7" t="str">
        <x:v>https://www.jimtof.org/search/jp/ESdetails?e=HppbBVVl0EY</x:v>
      </x:c>
    </x:row>
    <x:row r="106" ht="84" customHeight="1">
      <x:c r="A106" s="7" t="str">
        <x:v>設計・製造DX</x:v>
      </x:c>
      <x:c r="B106" s="7" t="str">
        <x:v>《　主な出展内容　》</x:v>
      </x:c>
      <x:c r="C106" s="7" t="str">
        <x:v>株式会社C＆Gシステムズ</x:v>
      </x:c>
      <x:c r="D106" s="7" t="str">
        <x:v>《　主な出展内容　》</x:v>
      </x:c>
      <x:c r="E106" s="7" t="str">
        <x:v>E2008</x:v>
      </x:c>
      <x:c r="F106" s="7" t="str">
        <x:v>内容から分類（調査者・一次整理）</x:v>
      </x:c>
      <x:c r="G106" s="7" t="str">
        <x:v>出展説明に基づく一次分類。方式・実装権限・提供段階は個別確認</x:v>
      </x:c>
      <x:c t="str" r="H106" s="21">
        <x:f>HYPERLINK("#'展示詳細'!A"&amp;MATCH("AC095",'展示詳細'!$A$1:$A$340,0),"AC095")</x:f>
        <x:v>AC095</x:v>
      </x:c>
      <x:c r="I106" s="7" t="str">
        <x:v>2026の具体記述：「自動化・省力化・多様化・周辺機器との親和性」をテーマに、昨今のキーワード（AI・DX）から弊社の最新技術を様々な事例（加工サンプルなど）を通じてご紹介させていたく他、次期バージョン情報をいち早くお届けします。 / ● CAD/CAM システム、生産管理システムの展示 / ● CAD/CAM 関連 / CAM-TOOL／EXCESS-HYBRIDⅡ／PartsCAM／CG Series for SOLIDWORKS（アドオン） / CA</x:v>
      </x:c>
      <x:c r="J106" s="7" t="str">
        <x:v>EEX-EXH-2026-8d7ad5c62f3412a9</x:v>
      </x:c>
      <x:c r="K106" s="7" t="str">
        <x:v>https://www.jimtof.org/search/jp/ESdetails?e=U_kHbhLD6rU</x:v>
      </x:c>
    </x:row>
    <x:row r="107" ht="84" customHeight="1">
      <x:c r="A107" s="7" t="str">
        <x:v>設計・製造DX</x:v>
      </x:c>
      <x:c r="B107" s="7" t="str">
        <x:v>ズメーン：図面・関連文書管理とAI</x:v>
      </x:c>
      <x:c r="C107" s="7" t="str">
        <x:v>株式会社Fact Base</x:v>
      </x:c>
      <x:c r="D107" s="7" t="str">
        <x:v>ズメーン：図面・関連文書管理とAI</x:v>
      </x:c>
      <x:c r="E107" s="7" t="str">
        <x:v>S3017</x:v>
      </x:c>
      <x:c r="F107" s="7" t="str">
        <x:v>内容から分類（調査者・一次整理）</x:v>
      </x:c>
      <x:c r="G107" s="7" t="str">
        <x:v>出展説明に基づく一次分類。方式・実装権限・提供段階は個別確認</x:v>
      </x:c>
      <x:c t="str" r="H107" s="21">
        <x:f>HYPERLINK("#'展示詳細'!A"&amp;MATCH("AC195",'展示詳細'!$A$1:$A$340,0),"AC195")</x:f>
        <x:v>AC195</x:v>
      </x:c>
      <x:c r="I107" s="7" t="str">
        <x:v>2026の具体記述：製造現場にちょうどいい図面管理DX「ズメーン」を取り扱っております。 / 最新のAI搭載により、登録から運用まで全てサポート。</x:v>
      </x:c>
      <x:c r="J107" s="7" t="str">
        <x:v>EEX-EXH-2026-3b6a1de81c17dfee
EDP-11</x:v>
      </x:c>
      <x:c r="K107" s="7" t="str">
        <x:v>https://www.jimtof.org/search/jp/ESdetails?e=hZaNogHdQM4
https://lp.zume-n.com/case-1/sagadainichi</x:v>
      </x:c>
    </x:row>
    <x:row r="108" ht="84" customHeight="1">
      <x:c r="A108" s="7" t="str">
        <x:v>設計・製造DX</x:v>
      </x:c>
      <x:c r="B108" s="7" t="str">
        <x:v>[CAMWorks]</x:v>
      </x:c>
      <x:c r="C108" s="7" t="str">
        <x:v>株式会社インテグラ技術研究所</x:v>
      </x:c>
      <x:c r="D108" s="7" t="str">
        <x:v>[CAMWorks]</x:v>
      </x:c>
      <x:c r="E108" s="7" t="str">
        <x:v>S3069</x:v>
      </x:c>
      <x:c r="F108" s="7" t="str">
        <x:v>内容から分類（調査者・一次整理）</x:v>
      </x:c>
      <x:c r="G108" s="7" t="str">
        <x:v>出展説明に基づく一次分類。方式・実装権限・提供段階は個別確認</x:v>
      </x:c>
      <x:c t="str" r="H108" s="21">
        <x:f>HYPERLINK("#'展示詳細'!A"&amp;MATCH("AC024",'展示詳細'!$A$1:$A$340,0),"AC024")</x:f>
        <x:v>AC024</x:v>
      </x:c>
      <x:c r="I108" s="7" t="str">
        <x:v>2026の具体記述：「CAD/CAM×3Dプリンター」で実現する３Dモノづくり / 自動プログラミング技術で熟練の加工ノウハウを標準化・デジタル化する「CAMWorks」「SOLIDWORKS CAM」、高精度なGコード検証とシミュレーションで段取り時間を削減する「Eureka」、金型設計の劇的な効率化を実現する「QuickPress」「IMOLD」を一挙にご紹介。 / CAD/CAMによる切削加工技術と3Dプリンターによる積層造形技術を組み合わせ、モノづ</x:v>
      </x:c>
      <x:c r="J108" s="7" t="str">
        <x:v>EEX-EXH-2026-10a39d4f417e3976</x:v>
      </x:c>
      <x:c r="K108" s="7" t="str">
        <x:v>https://www.jimtof.org/search/jp/ESdetails?e=xEdNPWdhbs8</x:v>
      </x:c>
    </x:row>
    <x:row r="109" ht="84" customHeight="1">
      <x:c r="A109" s="7" t="str">
        <x:v>設計・製造DX</x:v>
      </x:c>
      <x:c r="B109" s="7" t="str">
        <x:v>新製品「NAZCA5 GEMBACO」をはじめ、製造現場のデジタル化を支援する製品を展示します。</x:v>
      </x:c>
      <x:c r="C109" s="7" t="str">
        <x:v>株式会社ゴードーソリューション</x:v>
      </x:c>
      <x:c r="D109" s="7" t="str">
        <x:v>新製品「NAZCA5 GEMBACO」をはじめ、製造現場のデジタル化を支援する製品を展示します。</x:v>
      </x:c>
      <x:c r="E109" s="7" t="str">
        <x:v>S4009</x:v>
      </x:c>
      <x:c r="F109" s="7" t="str">
        <x:v>内容から分類（調査者・一次整理）</x:v>
      </x:c>
      <x:c r="G109" s="7" t="str">
        <x:v>出展説明に基づく一次分類。方式・実装権限・提供段階は個別確認</x:v>
      </x:c>
      <x:c t="str" r="H109" s="21">
        <x:f>HYPERLINK("#'展示詳細'!A"&amp;MATCH("AC074",'展示詳細'!$A$1:$A$340,0),"AC074")</x:f>
        <x:v>AC074</x:v>
      </x:c>
      <x:c r="I109" s="7" t="str">
        <x:v>2026の具体記述：ゴードーソリューションは、CAD/CAMや加工シミュレーション、NCプログラム通信など、NC工作機械向けソフトウェアの開発から販売・サポートまでを一貫して自社で行うソフトウェアメーカーです。 / 今回は、加工現場向け図面＆データ管理ソフト「NAZCA5 GEMBACO」をはじめ、CAD/CAM製品や、IoTによる工場の見える化システム「LINKA3」を展示します。 / また、会議棟では「加工現場のデータ活用DX」をテーマにした実践的なセ</x:v>
      </x:c>
      <x:c r="J109" s="7" t="str">
        <x:v>EEX-EXH-2026-a64bab179251039a</x:v>
      </x:c>
      <x:c r="K109" s="7" t="str">
        <x:v>https://www.jimtof.org/search/jp/ESdetails?e=oO-G_YDcimE</x:v>
      </x:c>
    </x:row>
    <x:row r="110" ht="84" customHeight="1">
      <x:c r="A110" s="7" t="str">
        <x:v>設計・製造DX</x:v>
      </x:c>
      <x:c r="B110" s="7" t="str">
        <x:v>複合研削に対応するCNC万能研削盤「GSU-20・30P」は、プレーン・アンギュラ・内研を組み合わせた多彩な構成に加え、新たにポリゴン研削機能（CX制</x:v>
      </x:c>
      <x:c r="C110" s="7" t="str">
        <x:v>株式会社シギヤ精機製作所</x:v>
      </x:c>
      <x:c r="D110" s="7" t="str">
        <x:v>複合研削に対応するCNC万能研削盤「GSU-20・30P」は、プレーン・アンギュラ・内研を組み合わせた多彩な構成に加え、新たにポリゴン研削機能（CX制</x:v>
      </x:c>
      <x:c r="E110" s="7" t="str">
        <x:v>E7094</x:v>
      </x:c>
      <x:c r="F110" s="7" t="str">
        <x:v>内容から分類（調査者・一次整理）</x:v>
      </x:c>
      <x:c r="G110" s="7" t="str">
        <x:v>出展説明に基づく一次分類。方式・実装権限・提供段階は個別確認</x:v>
      </x:c>
      <x:c t="str" r="H110" s="21">
        <x:f>HYPERLINK("#'展示詳細'!A"&amp;MATCH("AC101",'展示詳細'!$A$1:$A$340,0),"AC101")</x:f>
        <x:v>AC101</x:v>
      </x:c>
      <x:c r="I110" s="7" t="str">
        <x:v>2026の具体記述：高精度研削技術と操作性のさらなる進化をテーマに、複雑化・高精度化する加工ニーズへ対応する最新技術をご紹介します。 / 新開発のポリゴン研削機能（C-X制御）を搭載したCNC万能研削盤をはじめ、NC旋回主軸台による複合加工を実現する内面研削盤、さらに直感的な操作性と高度な加工支援を両立した新型対話システム「S3Pro」を展示。 / 高精度・高効率・省段取りを実現するソリューションを通じて、お客様の生産性向上に貢献する最新技術をご提案します</x:v>
      </x:c>
      <x:c r="J110" s="7" t="str">
        <x:v>EEX-EXH-2026-ec6cc41bae704f0d</x:v>
      </x:c>
      <x:c r="K110" s="7" t="str">
        <x:v>https://www.jimtof.org/search/jp/ESdetails?e=7L3V3jg3cYg</x:v>
      </x:c>
    </x:row>
    <x:row r="111" ht="84" customHeight="1">
      <x:c r="A111" s="7" t="str">
        <x:v>設計・製造DX</x:v>
      </x:c>
      <x:c r="B111" s="7" t="str">
        <x:v>部品加工用CAD/CAM「GO2cam」</x:v>
      </x:c>
      <x:c r="C111" s="7" t="str">
        <x:v>株式会社セイロジャパン</x:v>
      </x:c>
      <x:c r="D111" s="7" t="str">
        <x:v>部品加工用CAD/CAM「GO2cam」</x:v>
      </x:c>
      <x:c r="E111" s="7" t="str">
        <x:v>S3010</x:v>
      </x:c>
      <x:c r="F111" s="7" t="str">
        <x:v>内容から分類（調査者・一次整理）</x:v>
      </x:c>
      <x:c r="G111" s="7" t="str">
        <x:v>出展説明に基づく一次分類。方式・実装権限・提供段階は個別確認</x:v>
      </x:c>
      <x:c t="str" r="H111" s="21">
        <x:f>HYPERLINK("#'展示詳細'!A"&amp;MATCH("AC117",'展示詳細'!$A$1:$A$340,0),"AC117")</x:f>
        <x:v>AC117</x:v>
      </x:c>
      <x:c r="I111" s="7" t="str">
        <x:v>2026の具体記述：当社ブースでは、「部品加工」と「金型設計・加工」領域に特化したCAD/CAMで最適な解決策をご提案します。 / 【部品加工の課題に（GO2cam）】 / ■部品加工用CAD/CAM「GO2cam」 / GO2camは、現場の加工のばらつきを減らし、 / ■金型設計・加工統合CAD/CAM「Cimatron」 / 金型設計から電極設計、CAMまで、金型製作をひとつに。</x:v>
      </x:c>
      <x:c r="J111" s="7" t="str">
        <x:v>EEX-EXH-2026-7c65eb7290ab9d16</x:v>
      </x:c>
      <x:c r="K111" s="7" t="str">
        <x:v>https://www.jimtof.org/search/jp/ESdetails?e=nz0oSJ7WlKg</x:v>
      </x:c>
    </x:row>
    <x:row r="112" ht="84" customHeight="1">
      <x:c r="A112" s="7" t="str">
        <x:v>設計・製造DX</x:v>
      </x:c>
      <x:c r="B112" s="7" t="str">
        <x:v>「Mastercam」は、世界No.1の導入実績を誇る3D-CAD/CAMシステムです。部品加工、試作、金型、木工など幅広い分野で活用され、2軸加工か</x:v>
      </x:c>
      <x:c r="C112" s="7" t="str">
        <x:v>株式会社ゼネテック</x:v>
      </x:c>
      <x:c r="D112" s="7" t="str">
        <x:v>「Mastercam」は、世界No.1の導入実績を誇る3D-CAD/CAMシステムです。部品加工、試作、金型、木工など幅広い分野で活用され、2軸加工か</x:v>
      </x:c>
      <x:c r="E112" s="7" t="str">
        <x:v>E2022</x:v>
      </x:c>
      <x:c r="F112" s="7" t="str">
        <x:v>内容から分類（調査者・一次整理）</x:v>
      </x:c>
      <x:c r="G112" s="7" t="str">
        <x:v>出展説明に基づく一次分類。方式・実装権限・提供段階は個別確認</x:v>
      </x:c>
      <x:c t="str" r="H112" s="21">
        <x:f>HYPERLINK("#'展示詳細'!A"&amp;MATCH("AC119",'展示詳細'!$A$1:$A$340,0),"AC119")</x:f>
        <x:v>AC119</x:v>
      </x:c>
      <x:c r="I112" s="7" t="str">
        <x:v>2026の具体記述：ゼネテックは、Mastercamを中心に、加工・シミュレーション・リバースエンジニアリング・システム開発まで、製造現場のデジタル化をワンストップで支援します。 / ブースでは、3Dスキャンした金剛力士立像をCADデータ化し、Mastercamで加工プログラムを作成、ファナック製ロボドリル「D74CS」で64チタン製立像を加工する一連の流れを実演します。 / さらにFlexSimやロボット活用、設備稼働監視などのソリューションも紹介します</x:v>
      </x:c>
      <x:c r="J112" s="7" t="str">
        <x:v>EEX-EXH-2026-3578da576a0d1e12</x:v>
      </x:c>
      <x:c r="K112" s="7" t="str">
        <x:v>https://www.jimtof.org/search/jp/ESdetails?e=BLWqVcnax5s</x:v>
      </x:c>
    </x:row>
    <x:row r="113" ht="84" customHeight="1">
      <x:c r="A113" s="7" t="str">
        <x:v>設計・製造DX</x:v>
      </x:c>
      <x:c r="B113" s="7" t="str">
        <x:v>遠心バレル研磨機「HS8V-10G」(2L×4槽タイプ)</x:v>
      </x:c>
      <x:c r="C113" s="7" t="str">
        <x:v>株式会社チップトン</x:v>
      </x:c>
      <x:c r="D113" s="7" t="str">
        <x:v>遠心バレル研磨機「HS8V-10G」(2L×4槽タイプ)</x:v>
      </x:c>
      <x:c r="E113" s="7" t="str">
        <x:v>W4040</x:v>
      </x:c>
      <x:c r="F113" s="7" t="str">
        <x:v>内容から分類（調査者・一次整理）</x:v>
      </x:c>
      <x:c r="G113" s="7" t="str">
        <x:v>出展説明に基づく一次分類。方式・実装権限・提供段階は個別確認</x:v>
      </x:c>
      <x:c t="str" r="H113" s="21">
        <x:f>HYPERLINK("#'展示詳細'!A"&amp;MATCH("AC133",'展示詳細'!$A$1:$A$340,0),"AC133")</x:f>
        <x:v>AC133</x:v>
      </x:c>
      <x:c r="I113" s="7" t="str">
        <x:v>2026の具体記述：水の飛散がなく、インライン化・自動化にも適したオンリーワンの振動バレルをご覧ください。 / ワーク装入・研磨・選別・洗浄・乾燥までをつなぐ全自動ラインの構築により、バレル研磨工程の無人化にも対応します。</x:v>
      </x:c>
      <x:c r="J113" s="7" t="str">
        <x:v>EEX-EXH-2026-c187ee9769dcb716</x:v>
      </x:c>
      <x:c r="K113" s="7" t="str">
        <x:v>https://www.jimtof.org/search/jp/ESdetails?e=nBcJqlTC_OU</x:v>
      </x:c>
    </x:row>
    <x:row r="114" ht="84" customHeight="1">
      <x:c r="A114" s="7" t="str">
        <x:v>設計・製造DX</x:v>
      </x:c>
      <x:c r="B114" s="7" t="str">
        <x:v>Autodesk Fusion</x:v>
      </x:c>
      <x:c r="C114" s="7" t="str">
        <x:v>株式会社フアクト</x:v>
      </x:c>
      <x:c r="D114" s="7" t="str">
        <x:v>Autodesk Fusion</x:v>
      </x:c>
      <x:c r="E114" s="7" t="str">
        <x:v>S3013</x:v>
      </x:c>
      <x:c r="F114" s="7" t="str">
        <x:v>内容から分類（調査者・一次整理）</x:v>
      </x:c>
      <x:c r="G114" s="7" t="str">
        <x:v>出展説明に基づく一次分類。方式・実装権限・提供段階は個別確認</x:v>
      </x:c>
      <x:c t="str" r="H114" s="21">
        <x:f>HYPERLINK("#'展示詳細'!A"&amp;MATCH("AC194",'展示詳細'!$A$1:$A$340,0),"AC194")</x:f>
        <x:v>AC194</x:v>
      </x:c>
      <x:c r="I114" s="7" t="str">
        <x:v>2026の具体記述：10万円程度の価格で5軸、複合旋盤も使えるAI搭載 3DCAD/CAM「Fusion」の / その他、加工プログラムの自動化が可能な「FeatureCAM」、NCシミュレーションまで / 可能な、永久ライセンスとサブスクリプションライセンスが選べる、3DCAD/CAM「ENCY]など / CAD/CAM販売35年以上の実績のあるフアクトがオススメするソフトウェアをご案内いたします。 / Fusion with FeatureCAM / </x:v>
      </x:c>
      <x:c r="J114" s="7" t="str">
        <x:v>EEX-EXH-2026-ae1a6fcc911ca14b</x:v>
      </x:c>
      <x:c r="K114" s="7" t="str">
        <x:v>https://www.jimtof.org/search/jp/ESdetails?e=taaGM0brdn8</x:v>
      </x:c>
    </x:row>
    <x:row r="115" ht="84" customHeight="1">
      <x:c r="A115" s="7" t="str">
        <x:v>設計・製造DX</x:v>
      </x:c>
      <x:c r="B115" s="7" t="str">
        <x:v>ポータブル3Dスキャナー HandySCAN 3D|EVOシリーズ</x:v>
      </x:c>
      <x:c r="C115" s="7" t="str">
        <x:v>株式会社モアソンジャパン</x:v>
      </x:c>
      <x:c r="D115" s="7" t="str">
        <x:v>ポータブル3Dスキャナー HandySCAN 3D|EVOシリーズ</x:v>
      </x:c>
      <x:c r="E115" s="7" t="str">
        <x:v>E2022</x:v>
      </x:c>
      <x:c r="F115" s="7" t="str">
        <x:v>内容から分類（調査者・一次整理）</x:v>
      </x:c>
      <x:c r="G115" s="7" t="str">
        <x:v>出展説明に基づく一次分類。方式・実装権限・提供段階は個別確認</x:v>
      </x:c>
      <x:c t="str" r="H115" s="21">
        <x:f>HYPERLINK("#'展示詳細'!A"&amp;MATCH("AC228",'展示詳細'!$A$1:$A$340,0),"AC228")</x:f>
        <x:v>AC228</x:v>
      </x:c>
      <x:c r="I115" s="7" t="str">
        <x:v>2026の具体記述：製造現場の3D測定から設計・検査までを効率化する、次世代の3Dデジタルソリューションをご提案します。 / 取得したデータは、リバースエンジニアリングソフトウェア【Geomagic Design X】を用いて、履歴情報を持つ高精度なCADデータへと高速で変換。 / 各種CAD等へ履歴情報ごと直接移行でき、図面のない部品の設計・製品化を強力に支援します。 / レポート作成までを自動化して検査リードタイムを短縮し、人によるブレのない安定した品</x:v>
      </x:c>
      <x:c r="J115" s="7" t="str">
        <x:v>EEX-EXH-2026-d241e6d6ecb5d3ae</x:v>
      </x:c>
      <x:c r="K115" s="7" t="str">
        <x:v>https://www.jimtof.org/search/jp/ESdetails?e=BA-QSlPL32I</x:v>
      </x:c>
    </x:row>
    <x:row r="116" ht="84" customHeight="1">
      <x:c r="A116" s="7" t="str">
        <x:v>設計・製造DX</x:v>
      </x:c>
      <x:c r="B116" s="7" t="str">
        <x:v>精密NC研削盤(自動搬送、機上計測）</x:v>
      </x:c>
      <x:c r="C116" s="7" t="str">
        <x:v>株式会社三井ハイテック</x:v>
      </x:c>
      <x:c r="D116" s="7" t="str">
        <x:v>精密NC研削盤(自動搬送、機上計測）</x:v>
      </x:c>
      <x:c r="E116" s="7" t="str">
        <x:v>E7071</x:v>
      </x:c>
      <x:c r="F116" s="7" t="str">
        <x:v>内容から分類（調査者・一次整理）</x:v>
      </x:c>
      <x:c r="G116" s="7" t="str">
        <x:v>出展説明に基づく一次分類。方式・実装権限・提供段階は個別確認</x:v>
      </x:c>
      <x:c t="str" r="H116" s="21">
        <x:f>HYPERLINK("#'展示詳細'!A"&amp;MATCH("AC220",'展示詳細'!$A$1:$A$340,0),"AC220")</x:f>
        <x:v>AC220</x:v>
      </x:c>
      <x:c r="I116" s="7" t="str">
        <x:v>2026の具体記述：三井ハイテックは、精密加工を実現する小型多機能研削盤と、C&amp;Gシステムズの自動化生産支援システムを連携させたスマート研削加工ソリューションを展示します。 / デジタル技術を活用した作業の標準化、人的ミスの低減、効率的な工程管理により、段取り時間の短縮、品質の安定化、省人化を実現。 / ・精密NC研削盤(自動搬送、機上計測）</x:v>
      </x:c>
      <x:c r="J116" s="7" t="str">
        <x:v>EEX-EXH-2026-8278ec058d2d2947</x:v>
      </x:c>
      <x:c r="K116" s="7" t="str">
        <x:v>https://www.jimtof.org/search/jp/ESdetails?e=qoCbIK0OzT4</x:v>
      </x:c>
    </x:row>
    <x:row r="117" ht="84" customHeight="1">
      <x:c r="A117" s="7" t="str">
        <x:v>設計・製造DX</x:v>
      </x:c>
      <x:c r="B117" s="7" t="str">
        <x:v>油圧・電気回路設計シミュレーションソフトAutomation Studio™をご紹介します。 / ブースでは、油圧・電気回路設計シミュレーションソフト</x:v>
      </x:c>
      <x:c r="C117" s="7" t="str">
        <x:v>株式会社伊東商会</x:v>
      </x:c>
      <x:c r="D117" s="7" t="str">
        <x:v>油圧・電気回路設計シミュレーションソフトAutomation Studio™をご紹介します。 / ブースでは、油圧・電気回路設計シミュレーションソフト</x:v>
      </x:c>
      <x:c r="E117" s="7" t="str">
        <x:v>S4013</x:v>
      </x:c>
      <x:c r="F117" s="7" t="str">
        <x:v>内容から分類（調査者・一次整理）</x:v>
      </x:c>
      <x:c r="G117" s="7" t="str">
        <x:v>出展説明に基づく一次分類。方式・実装権限・提供段階は個別確認</x:v>
      </x:c>
      <x:c t="str" r="H117" s="21">
        <x:f>HYPERLINK("#'展示詳細'!A"&amp;MATCH("AC018",'展示詳細'!$A$1:$A$340,0),"AC018")</x:f>
        <x:v>AC018</x:v>
      </x:c>
      <x:c r="I117" s="7" t="str">
        <x:v>2026の具体記述：油圧・電気回路設計シミュレーションソフトAutomation Studio™をご紹介します。 / ブースでは、油圧・電気回路設計シミュレーションソフトAutomation Studio™を使用した回路設計とシミュレーションのデモンストレーションを実施します。</x:v>
      </x:c>
      <x:c r="J117" s="7" t="str">
        <x:v>EEX-EXH-2026-7f41e63bd0f47a62</x:v>
      </x:c>
      <x:c r="K117" s="7" t="str">
        <x:v>https://www.jimtof.org/search/jp/ESdetails?e=zWtwHxsaw3Q</x:v>
      </x:c>
    </x:row>
    <x:row r="118" ht="84" customHeight="1">
      <x:c r="A118" s="7" t="str">
        <x:v>設計・製造DX</x:v>
      </x:c>
      <x:c r="B118" s="7" t="str">
        <x:v>[Polyrix社 PolyScanV]</x:v>
      </x:c>
      <x:c r="C118" s="7" t="str">
        <x:v>株式会社原製作所</x:v>
      </x:c>
      <x:c r="D118" s="7" t="str">
        <x:v>[Polyrix社 PolyScanV]</x:v>
      </x:c>
      <x:c r="E118" s="7" t="str">
        <x:v>S4037</x:v>
      </x:c>
      <x:c r="F118" s="7" t="str">
        <x:v>内容から分類（調査者・一次整理）</x:v>
      </x:c>
      <x:c r="G118" s="7" t="str">
        <x:v>出展説明に基づく一次分類。方式・実装権限・提供段階は個別確認</x:v>
      </x:c>
      <x:c t="str" r="H118" s="21">
        <x:f>HYPERLINK("#'展示詳細'!A"&amp;MATCH("AC190",'展示詳細'!$A$1:$A$340,0),"AC190")</x:f>
        <x:v>AC190</x:v>
      </x:c>
      <x:c r="I118" s="7" t="str">
        <x:v>2026の具体記述：各支柱に搭載されたプロジェクターと3Dスキャナが、通過するワークを自動で捉え、全周囲の3Dデータを取得します。 / 自動車1台分を最速約30秒。 / ・自動車1台分を最速約30秒—タクトタイムに対応する測定速度 / ・LIVE INSPECTION—CADとの偏差をカラーマップでワーク表面に直接投影し、モニタを見ずにその場でズレを確認 / 航空宇宙/自動車業界を中心に導入が進む次世代3Dスキャンシステムです。 / 高精細3Dスキャナ＆3</x:v>
      </x:c>
      <x:c r="J118" s="7" t="str">
        <x:v>EEX-EXH-2026-8550e99361de2f5b</x:v>
      </x:c>
      <x:c r="K118" s="7" t="str">
        <x:v>https://www.jimtof.org/search/jp/ESdetails?e=LRuS5p7XpwI</x:v>
      </x:c>
    </x:row>
    <x:row r="119" ht="84" customHeight="1">
      <x:c r="A119" s="7" t="str">
        <x:v>工場運用DX</x:v>
      </x:c>
      <x:c r="B119" s="7" t="str">
        <x:v>CNCトランスファーマシン</x:v>
      </x:c>
      <x:c r="C119" s="7" t="str">
        <x:v>BUFFOLI TRANSFER S.p.A.</x:v>
      </x:c>
      <x:c r="D119" s="7" t="str">
        <x:v>CNCトランスファーマシン</x:v>
      </x:c>
      <x:c r="E119" s="7" t="str">
        <x:v>E1034</x:v>
      </x:c>
      <x:c r="F119" s="7" t="str">
        <x:v>内容から分類（調査者・一次整理）</x:v>
      </x:c>
      <x:c r="G119" s="7" t="str">
        <x:v>出展説明に基づく一次分類。方式・実装権限・提供段階は個別確認</x:v>
      </x:c>
      <x:c t="str" r="H119" s="21">
        <x:f>HYPERLINK("#'展示詳細'!A"&amp;MATCH("AC252",'展示詳細'!$A$1:$A$340,0),"AC252")</x:f>
        <x:v>AC252</x:v>
      </x:c>
      <x:c r="I119" s="7" t="str">
        <x:v>2026の具体記述：人材不足が深刻化する製造業界において【搬送・ロボット・検査・ソフトウェア】までを一体化した自動化・ターンキーシステムを提供します。 / さらにAIによる品質検査や予知保全など、Industry 4.0/5.0を見据えた次世代の自動化技術にも注目です。</x:v>
      </x:c>
      <x:c r="J119" s="7" t="str">
        <x:v>EEX-EXH-2026-606bae6e521953bf</x:v>
      </x:c>
      <x:c r="K119" s="7" t="str">
        <x:v>https://www.jimtof.org/search/jp/ESdetails?e=XR5ASqmy4zw</x:v>
      </x:c>
    </x:row>
    <x:row r="120" ht="84" customHeight="1">
      <x:c r="A120" s="7" t="str">
        <x:v>工場運用DX</x:v>
      </x:c>
      <x:c r="B120" s="7" t="str">
        <x:v>周辺部品・機構</x:v>
      </x:c>
      <x:c r="C120" s="7" t="str">
        <x:v>BizLink Special Cables (Changzhou) Co., Ltd.</x:v>
      </x:c>
      <x:c r="D120" s="7" t="str">
        <x:v>* 重要インフラ向けケーブル</x:v>
      </x:c>
      <x:c r="E120" s="7" t="str">
        <x:v>S1052</x:v>
      </x:c>
      <x:c r="F120" s="7" t="str">
        <x:v>内容から分類（調査者・一次整理）</x:v>
      </x:c>
      <x:c r="G120" s="7" t="str">
        <x:v>周辺要素・実装部品。システム全体のAI／自動動作の確認ではない</x:v>
      </x:c>
      <x:c t="str" r="H120" s="21">
        <x:f>HYPERLINK("#'展示詳細'!A"&amp;MATCH("AC250",'展示詳細'!$A$1:$A$340,0),"AC250")</x:f>
        <x:v>AC250</x:v>
      </x:c>
      <x:c r="I120" s="7" t="str">
        <x:v>2026の具体記述：さらにBizLinkは、ロボット用ケーブルおよびアセンブリ、ホース＆チューブ、ドレスパックシステム、すぐに導入可能な統合型ロボット、ロボットプログラミング、ならびに対面（講師指導）またはオンラインでの自動化システムトレーニングを提供しています。 / また、急速に高まるデジタル化の潮流に応え、センサー技術を活用した統合型かつインテリジェントな計測ソリューションも提供しています。 / * ロボット用リトラクトシステム</x:v>
      </x:c>
      <x:c r="J120" s="7" t="str">
        <x:v>EEX-EXH-2026-50111527cf450bde</x:v>
      </x:c>
      <x:c r="K120" s="7" t="str">
        <x:v>https://www.jimtof.org/search/jp/ESdetails?e=mONQNxkEoi8</x:v>
      </x:c>
    </x:row>
    <x:row r="121" ht="84" customHeight="1">
      <x:c r="A121" s="7" t="str">
        <x:v>工場運用DX</x:v>
      </x:c>
      <x:c r="B121" s="7" t="str">
        <x:v>『ToolsUnited』(ツールズユナイテッド)</x:v>
      </x:c>
      <x:c r="C121" s="7" t="str">
        <x:v>CIMSOURCE Japan株式会社</x:v>
      </x:c>
      <x:c r="D121" s="7" t="str">
        <x:v>『ToolsUnited』(ツールズユナイテッド)</x:v>
      </x:c>
      <x:c r="E121" s="7" t="str">
        <x:v>W1085</x:v>
      </x:c>
      <x:c r="F121" s="7" t="str">
        <x:v>内容から分類（調査者・一次整理）</x:v>
      </x:c>
      <x:c r="G121" s="7" t="str">
        <x:v>出展説明に基づく一次分類。方式・実装権限・提供段階は個別確認</x:v>
      </x:c>
      <x:c t="str" r="H121" s="21">
        <x:f>HYPERLINK("#'展示詳細'!A"&amp;MATCH("AC104",'展示詳細'!$A$1:$A$340,0),"AC104")</x:f>
        <x:v>AC104</x:v>
      </x:c>
      <x:c r="I121" s="7" t="str">
        <x:v>2026の具体記述：切削工具のデジタル情報で効率化に貢献する / 工具管理システム(TMS)やCAMへの工具登録を支援、国際規格ISO13399やドイツDIN4000に準拠した工具データおよび図面データ3D STEP,2D DXFファイルを提供する。 / 『ToolsUnited』に掲載されていない、工具においても必要な状況を依頼が出来る『ToolLink』(ツールリンク)、クラウドベースの工具管理システム『ToolPal』(ツールパル)など、貴社の工具の</x:v>
      </x:c>
      <x:c r="J121" s="7" t="str">
        <x:v>EEX-EXH-2026-01e20e87bdb59892</x:v>
      </x:c>
      <x:c r="K121" s="7" t="str">
        <x:v>https://www.jimtof.org/search/jp/ESdetails?e=qRD_BxF9DJo</x:v>
      </x:c>
    </x:row>
    <x:row r="122" ht="84" customHeight="1">
      <x:c r="A122" s="7" t="str">
        <x:v>工場運用DX</x:v>
      </x:c>
      <x:c r="B122" s="7" t="str">
        <x:v>Full Electric Servo CNC Bending Machine</x:v>
      </x:c>
      <x:c r="C122" s="7" t="str">
        <x:v>DGDY SHEET METAL MACHINERY CO.,LTD</x:v>
      </x:c>
      <x:c r="D122" s="7" t="str">
        <x:v>Full Electric Servo CNC Bending Machine</x:v>
      </x:c>
      <x:c r="E122" s="7" t="str">
        <x:v>E1019</x:v>
      </x:c>
      <x:c r="F122" s="7" t="str">
        <x:v>内容から分類（調査者・一次整理）</x:v>
      </x:c>
      <x:c r="G122" s="7" t="str">
        <x:v>出展説明に基づく一次分類。方式・実装権限・提供段階は個別確認</x:v>
      </x:c>
      <x:c t="str" r="H122" s="21">
        <x:f>HYPERLINK("#'展示詳細'!A"&amp;MATCH("AC256",'展示詳細'!$A$1:$A$340,0),"AC256")</x:f>
        <x:v>AC256</x:v>
      </x:c>
      <x:c r="I122" s="7" t="str">
        <x:v>2026の具体記述：Panel Bender / One-time Positioning, Multi-angle Bending / Different Thicknesses Materials, Completed in One Mold / Automatic Tool Changing, Automatic Avoidance / Numerical Control System / Offline Programming, Graphic I</x:v>
      </x:c>
      <x:c r="J122" s="7" t="str">
        <x:v>EEX-EXH-2026-1dba700d81292c04</x:v>
      </x:c>
      <x:c r="K122" s="7" t="str">
        <x:v>https://www.jimtof.org/search/jp/ESdetails?e=Rtj9rox8Zj4</x:v>
      </x:c>
    </x:row>
    <x:row r="123" ht="84" customHeight="1">
      <x:c r="A123" s="7" t="str">
        <x:v>工場運用DX</x:v>
      </x:c>
      <x:c r="B123" s="7" t="str">
        <x:v>保全診断・知識支援</x:v>
      </x:c>
      <x:c r="C123" s="7" t="str">
        <x:v>DMG森精機</x:v>
      </x:c>
      <x:c r="D123" s="7" t="str">
        <x:v>Condition Agent</x:v>
      </x:c>
      <x:c r="E123" s="7" t="str">
        <x:v>E8005</x:v>
      </x:c>
      <x:c r="F123" s="7" t="str">
        <x:v>内容から分類（調査者）</x:v>
      </x:c>
      <x:c r="G123" s="7" t="str">
        <x:v>現場情報・運用・品質・保全のデータ利用</x:v>
      </x:c>
      <x:c t="str" r="H123" s="21">
        <x:f>HYPERLINK("#'展示詳細'!A"&amp;MATCH("FC004",'展示詳細'!$A$1:$A$340,0),"FC004")</x:f>
        <x:v>FC004</x:v>
      </x:c>
      <x:c r="I123" s="7" t="str">
        <x:v>データ取得・集約・計画・品質補正・保全・遠隔支援を工場運用の用途で分類。</x:v>
      </x:c>
      <x:c r="J123" s="7" t="str">
        <x:v>EOV-V001-2026-1
EAT-N07</x:v>
      </x:c>
      <x:c r="K123" s="7" t="str">
        <x:v>https://www.jimtof.org/search/jp/ESdetails?e=zcqDj1lSkGs
https://www.dmgmori.co.jp/corporate/news/2026/20260706_conditionagent.html</x:v>
      </x:c>
    </x:row>
    <x:row r="124" ht="84" customHeight="1">
      <x:c r="A124" s="7" t="str">
        <x:v>工場運用DX</x:v>
      </x:c>
      <x:c r="B124" s="7" t="str">
        <x:v>TM-2800：AMR・ロボット・加工機の統合</x:v>
      </x:c>
      <x:c r="C124" s="7" t="str">
        <x:v>FNS株式会社</x:v>
      </x:c>
      <x:c r="D124" s="7" t="str">
        <x:v>TM-2800：AMR・ロボット・加工機の統合</x:v>
      </x:c>
      <x:c r="E124" s="7" t="str">
        <x:v>E2034</x:v>
      </x:c>
      <x:c r="F124" s="7" t="str">
        <x:v>内容から分類（調査者・一次整理）</x:v>
      </x:c>
      <x:c r="G124" s="7" t="str">
        <x:v>出展説明に基づく一次分類。方式・実装権限・提供段階は個別確認</x:v>
      </x:c>
      <x:c t="str" r="H124" s="21">
        <x:f>HYPERLINK("#'展示詳細'!A"&amp;MATCH("AC039",'展示詳細'!$A$1:$A$340,0),"AC039")</x:f>
        <x:v>AC039</x:v>
      </x:c>
      <x:c r="I124" s="7" t="str">
        <x:v>2026の具体記述：あとは、TM-2800自身がAMRや協働ロボット、加工機を手足のように駆使し、効率のよい生産を行ってくれます。 / AMR、ロボット、加工機を統合・制御することで、極限まで省人化された生産現場が構築されます。 / 移動式ロボットシステム「RM-1000」</x:v>
      </x:c>
      <x:c r="J124" s="7" t="str">
        <x:v>EEX-EXH-2026-9022dcaec2b02dde
EDP-25</x:v>
      </x:c>
      <x:c r="K124" s="7" t="str">
        <x:v>https://www.jimtof.org/search/jp/ESdetails?e=_q_YetP8_og
https://www.fns-inc.jp/%E3%83%AD%E3%83%9C%E3%83%83%E3%83%88%E3%82%B7%E3%82%B9%E3%83%86%E3%83%A0</x:v>
      </x:c>
    </x:row>
    <x:row r="125" ht="84" customHeight="1">
      <x:c r="A125" s="7" t="str">
        <x:v>工場運用DX</x:v>
      </x:c>
      <x:c r="B125" s="7" t="str">
        <x:v>周辺部品・機構</x:v>
      </x:c>
      <x:c r="C125" s="7" t="str">
        <x:v>HAWEジャパン株式会社</x:v>
      </x:c>
      <x:c r="D125" s="7" t="str">
        <x:v>当社は、油圧技術と電子制御技術を融合した省エネルギー・高機能ソリューションを提案します。切削用工作機械向けでは、インバータ技術により従来型油圧システム</x:v>
      </x:c>
      <x:c r="E125" s="7" t="str">
        <x:v>E3005</x:v>
      </x:c>
      <x:c r="F125" s="7" t="str">
        <x:v>内容から分類（調査者・一次整理）</x:v>
      </x:c>
      <x:c r="G125" s="7" t="str">
        <x:v>周辺要素・実装部品。システム全体のAI／自動動作の確認ではない</x:v>
      </x:c>
      <x:c t="str" r="H125" s="21">
        <x:f>HYPERLINK("#'展示詳細'!A"&amp;MATCH("AC185",'展示詳細'!$A$1:$A$340,0),"AC185")</x:f>
        <x:v>AC185</x:v>
      </x:c>
      <x:c r="I125" s="7" t="str">
        <x:v>2026の具体記述：生産に関わる工程を、「切削用工作機械」「治具クランプ」「マテリアルハンドリング」「新製品」の4分野に分け、それぞれの分野において、省エネおよびIoT対応を実現するシステム・製品をご提案いたします。 / 切削用工作機械向けでは、インバータ技術により従来型油圧システム比で約70～80％の消費電力削減を実現する省エネ油圧システムや、IoTを活用した予防保全・メンテナンス効率向上ソリューションを紹介します。 / 治具クランプ向けには、FA化に対</x:v>
      </x:c>
      <x:c r="J125" s="7" t="str">
        <x:v>EEX-EXH-2026-9f03016f633961ce</x:v>
      </x:c>
      <x:c r="K125" s="7" t="str">
        <x:v>https://www.jimtof.org/search/jp/ESdetails?e=uvRSrTznX5g</x:v>
      </x:c>
    </x:row>
    <x:row r="126" ht="84" customHeight="1">
      <x:c r="A126" s="7" t="str">
        <x:v>工場運用DX</x:v>
      </x:c>
      <x:c r="B126" s="7" t="str">
        <x:v>寸法・形状計測</x:v>
      </x:c>
      <x:c r="C126" s="7" t="str">
        <x:v>Hexagon Manufacturing Intelligence</x:v>
      </x:c>
      <x:c r="D126" s="7" t="str">
        <x:v>MAESTRO／PRESTO／品質ソフト群</x:v>
      </x:c>
      <x:c r="E126" s="7" t="str">
        <x:v>E7035</x:v>
      </x:c>
      <x:c r="F126" s="7" t="str">
        <x:v>内容から分類（調査者）</x:v>
      </x:c>
      <x:c r="G126" s="7" t="str">
        <x:v>現場情報・運用・品質・保全のデータ利用</x:v>
      </x:c>
      <x:c t="str" r="H126" s="21">
        <x:f>HYPERLINK("#'展示詳細'!A"&amp;MATCH("FC019",'展示詳細'!$A$1:$A$340,0),"FC019")</x:f>
        <x:v>FC019</x:v>
      </x:c>
      <x:c r="I126" s="7" t="str">
        <x:v>データ取得・集約・計画・品質補正・保全・遠隔支援を工場運用の用途で分類。</x:v>
      </x:c>
      <x:c r="J126" s="7" t="str">
        <x:v>EOV-V007-2026-1</x:v>
      </x:c>
      <x:c r="K126" s="7" t="str">
        <x:v>https://www.jimtof.org/search/jp/ESdetails?e=oUyVPjxvy-U</x:v>
      </x:c>
    </x:row>
    <x:row r="127" ht="84" customHeight="1">
      <x:c r="A127" s="7" t="str">
        <x:v>工場運用DX</x:v>
      </x:c>
      <x:c r="B127" s="7" t="str">
        <x:v>boxcon：工具貸出・返却・在庫管理</x:v>
      </x:c>
      <x:c r="C127" s="7" t="str">
        <x:v>INCOS INC</x:v>
      </x:c>
      <x:c r="D127" s="7" t="str">
        <x:v>boxcon：工具貸出・返却・在庫管理</x:v>
      </x:c>
      <x:c r="E127" s="7" t="str">
        <x:v>S3006</x:v>
      </x:c>
      <x:c r="F127" s="7" t="str">
        <x:v>内容から分類（調査者・一次整理）</x:v>
      </x:c>
      <x:c r="G127" s="7" t="str">
        <x:v>出展説明に基づく一次分類。方式・実装権限・提供段階は個別確認</x:v>
      </x:c>
      <x:c t="str" r="H127" s="21">
        <x:f>HYPERLINK("#'展示詳細'!A"&amp;MATCH("AC265",'展示詳細'!$A$1:$A$340,0),"AC265")</x:f>
        <x:v>AC265</x:v>
      </x:c>
      <x:c r="I127" s="7" t="str">
        <x:v>2026の具体記述：ボックスコーン boxcon 自動販売機 / スマートツールキャビネット「boxcon」– インダストリー4.0時代を切り拓く自律製造対応Tool Management System / ボックスコーンは、インダストリー4.0と自律製造の実現に向けて開発された次世代Tool Management System（工具管理システム）です。 / 現場の工具管理を完全デジタル化し、デジタルファクトリー（デジタル工場）の構築を 支援します。 / </x:v>
      </x:c>
      <x:c r="J127" s="7" t="str">
        <x:v>EEX-EXH-2026-50a336f6fb27482a</x:v>
      </x:c>
      <x:c r="K127" s="7" t="str">
        <x:v>https://www.jimtof.org/search/jp/ESdetails?e=fAg9O7WHKh0</x:v>
      </x:c>
    </x:row>
    <x:row r="128" ht="84" customHeight="1">
      <x:c r="A128" s="7" t="str">
        <x:v>工場運用DX</x:v>
      </x:c>
      <x:c r="B128" s="7" t="str">
        <x:v>工作機械センシングの知能化による生産性向上：</x:v>
      </x:c>
      <x:c r="C128" s="7" t="str">
        <x:v>Masterlink</x:v>
      </x:c>
      <x:c r="D128" s="7" t="str">
        <x:v>工作機械センシングの知能化による生産性向上：</x:v>
      </x:c>
      <x:c r="E128" s="7" t="str">
        <x:v>E1050</x:v>
      </x:c>
      <x:c r="F128" s="7" t="str">
        <x:v>内容から分類（調査者・一次整理）</x:v>
      </x:c>
      <x:c r="G128" s="7" t="str">
        <x:v>出展説明に基づく一次分類。方式・実装権限・提供段階は個別確認</x:v>
      </x:c>
      <x:c t="str" r="H128" s="21">
        <x:f>HYPERLINK("#'展示詳細'!A"&amp;MATCH("AC271",'展示詳細'!$A$1:$A$340,0),"AC271")</x:f>
        <x:v>AC271</x:v>
      </x:c>
      <x:c r="I128" s="7" t="str">
        <x:v>2026の具体記述：工具監視システム： / 重荷重パレタイジングロボット： / インテリジェント IoT ゲートウェイ： / 工具監視システム： / 重荷重パレタイジングロボット： / インテリジェント IoT ゲートウェイ：</x:v>
      </x:c>
      <x:c r="J128" s="7" t="str">
        <x:v>EEX-EXH-2026-19ce238d137fe275</x:v>
      </x:c>
      <x:c r="K128" s="7" t="str">
        <x:v>https://www.jimtof.org/search/jp/ESdetails?e=kygm0UxJL-M</x:v>
      </x:c>
    </x:row>
    <x:row r="129" ht="84" customHeight="1">
      <x:c r="A129" s="7" t="str">
        <x:v>工場運用DX</x:v>
      </x:c>
      <x:c r="B129" s="7" t="str">
        <x:v>周辺部品・機構</x:v>
      </x:c>
      <x:c r="C129" s="7" t="str">
        <x:v>NKワークス株式会社</x:v>
      </x:c>
      <x:c r="D129" s="7" t="str">
        <x:v>「加工提案ゾーン」：空圧式ゼロポイントプレートプレート、ロボット用グリッパー、マニュアルバイス自動開閉装置、MQL装置、製造管理・工程管理システム、ク</x:v>
      </x:c>
      <x:c r="E129" s="7" t="str">
        <x:v>E3015</x:v>
      </x:c>
      <x:c r="F129" s="7" t="str">
        <x:v>内容から分類（調査者・一次整理）</x:v>
      </x:c>
      <x:c r="G129" s="7" t="str">
        <x:v>周辺要素・実装部品。システム全体のAI／自動動作の確認ではない</x:v>
      </x:c>
      <x:c t="str" r="H129" s="21">
        <x:f>HYPERLINK("#'展示詳細'!A"&amp;MATCH("AC037",'展示詳細'!$A$1:$A$340,0),"AC037")</x:f>
        <x:v>AC037</x:v>
      </x:c>
      <x:c r="I129" s="7" t="str">
        <x:v>2026の具体記述：「加工提案ゾーン」：空圧式ゼロポイントプレートプレート、ロボット用グリッパー、マニュアルバイス自動開閉装置、MQL装置、製造管理・工程管理システム、クーラントなど</x:v>
      </x:c>
      <x:c r="J129" s="7" t="str">
        <x:v>EEX-EXH-2026-9ac2eb87d29b1692</x:v>
      </x:c>
      <x:c r="K129" s="7" t="str">
        <x:v>https://www.jimtof.org/search/jp/ESdetails?e=UQBQ5yg2WIk</x:v>
      </x:c>
    </x:row>
    <x:row r="130" ht="84" customHeight="1">
      <x:c r="A130" s="7" t="str">
        <x:v>工場運用DX</x:v>
      </x:c>
      <x:c r="B130" s="7" t="str">
        <x:v>TRINIX：CADから物理シミュレーション用データ生成</x:v>
      </x:c>
      <x:c r="C130" s="7" t="str">
        <x:v>NdotLight Co., Ltd.</x:v>
      </x:c>
      <x:c r="D130" s="7" t="str">
        <x:v>TRINIX：CADから物理シミュレーション用データ生成</x:v>
      </x:c>
      <x:c r="E130" s="7" t="str">
        <x:v>S4004</x:v>
      </x:c>
      <x:c r="F130" s="7" t="str">
        <x:v>内容から分類（調査者・一次整理）</x:v>
      </x:c>
      <x:c r="G130" s="7" t="str">
        <x:v>出展説明に基づく一次分類。方式・実装権限・提供段階は個別確認</x:v>
      </x:c>
      <x:c t="str" r="H130" s="21">
        <x:f>HYPERLINK("#'展示詳細'!A"&amp;MATCH("AC273",'展示詳細'!$A$1:$A$340,0),"AC273")</x:f>
        <x:v>AC273</x:v>
      </x:c>
      <x:c r="I130" s="7" t="str">
        <x:v>2026の具体記述：TRINIX is an AI-native platform that turns text, images and existing CAD or mesh data into simulation-ready 3D assets automatically. Describe what you need, or upload STEP, IGES or USD files. Then, TRINIX will generate f</x:v>
      </x:c>
      <x:c r="J130" s="7" t="str">
        <x:v>EEX-EXH-2026-016097f87d1914b2
EEX-WNDOT
ERF-06
ERF-07
ERF-08
ERF-09</x:v>
      </x:c>
      <x:c r="K130" s="7" t="str">
        <x:v>https://www.jimtof.org/search/jp/ESdetails?e=6Ds1v9hxvrY
https://ndotlight.com/newsroom/ndotlight-proposes-a-new-3d-data-standard-for-the-physical-ai-era-with-trinix
https://ndotlight.com/
https://docs.omniverse.nvidia.com/simready/latest/simready-faq.html
https://docs.omniverse.nvidia.com/simready/latest/simready-asset-creation/physics-best-practices.html
https://ndotlight.com/newsroom/ndotlight-to-co-develop-dexbench-a-global-standard-for-humanoid-evaluation-with-nvidia-and-rlwrld</x:v>
      </x:c>
    </x:row>
    <x:row r="131" ht="84" customHeight="1">
      <x:c r="A131" s="7" t="str">
        <x:v>工場運用DX</x:v>
      </x:c>
      <x:c r="B131" s="7" t="str">
        <x:v>マルチセンサ三次元測定機 OGP SmartScope SP463/M20/M7/Vantage250/E7</x:v>
      </x:c>
      <x:c r="C131" s="7" t="str">
        <x:v>Quality Vision International Inc</x:v>
      </x:c>
      <x:c r="D131" s="7" t="str">
        <x:v>マルチセンサ三次元測定機 OGP SmartScope SP463/M20/M7/Vantage250/E7</x:v>
      </x:c>
      <x:c r="E131" s="7" t="str">
        <x:v>E2026</x:v>
      </x:c>
      <x:c r="F131" s="7" t="str">
        <x:v>内容から分類（調査者・一次整理）</x:v>
      </x:c>
      <x:c r="G131" s="7" t="str">
        <x:v>出展説明に基づく一次分類。方式・実装権限・提供段階は個別確認</x:v>
      </x:c>
      <x:c t="str" r="H131" s="21">
        <x:f>HYPERLINK("#'展示詳細'!A"&amp;MATCH("AC279",'展示詳細'!$A$1:$A$340,0),"AC279")</x:f>
        <x:v>AC279</x:v>
      </x:c>
      <x:c r="I131" s="7" t="str">
        <x:v>2026の具体記述：～製造業に変革をもたらす製造工程管理ソリューション～ / 3D CAD・PMI情報を活用し、測定計画から測定結果の解析・可視化、工程管理までをデジタルでつなぐソフトウェアスイートです。 / 測定結果を製造工程へフィードバックすることで、品質向上や工程改善を支援し、MBD/MBEによるデジタルスレッドの構築に貢献します。 / 本展示会では、最新の協働ロボットとの連携デモも実演展示いたします。 / 自動化セル Multi-X / 統合製造工</x:v>
      </x:c>
      <x:c r="J131" s="7" t="str">
        <x:v>EEX-EXH-2026-ce095464035fb5f1</x:v>
      </x:c>
      <x:c r="K131" s="7" t="str">
        <x:v>https://www.jimtof.org/search/jp/ESdetails?e=i-C4iNMNRtM</x:v>
      </x:c>
    </x:row>
    <x:row r="132" ht="84" customHeight="1">
      <x:c r="A132" s="7" t="str">
        <x:v>工場運用DX</x:v>
      </x:c>
      <x:c r="B132" s="7" t="str">
        <x:v>Road to Automation：工具研削の自律性向上提案</x:v>
      </x:c>
      <x:c r="C132" s="7" t="str">
        <x:v>Rollomatic Japan株式会社</x:v>
      </x:c>
      <x:c r="D132" s="7" t="str">
        <x:v>Road to Automation：工具研削の自律性向上提案</x:v>
      </x:c>
      <x:c r="E132" s="7" t="str">
        <x:v>S2005</x:v>
      </x:c>
      <x:c r="F132" s="7" t="str">
        <x:v>内容から分類（調査者・一次整理）</x:v>
      </x:c>
      <x:c r="G132" s="7" t="str">
        <x:v>出展説明に基づく一次分類。方式・実装権限・提供段階は個別確認</x:v>
      </x:c>
      <x:c t="str" r="H132" s="21">
        <x:f>HYPERLINK("#'展示詳細'!A"&amp;MATCH("AC245",'展示詳細'!$A$1:$A$340,0),"AC245")</x:f>
        <x:v>AC245</x:v>
      </x:c>
      <x:c r="I132" s="7" t="str">
        <x:v>2026の具体記述：Road to Automation — 自動化への最短ルートを、あなたとともに。 / Rollomaticは、長年にわたる自動研削の専門知識と経験を活かし、あらゆる規模・業種のお客様に最適な自動化ソリューションをご提案します。 / 私たちの「Road to Automation」は6つのステップで構成されており、研削プロセスの高度化からトレーニング、導入後のサポートまで、すべての段階でお客様を力強くサポートします。 / ・機械の自律性</x:v>
      </x:c>
      <x:c r="J132" s="7" t="str">
        <x:v>EEX-EXH-2026-d26755a7bc74fe39</x:v>
      </x:c>
      <x:c r="K132" s="7" t="str">
        <x:v>https://www.jimtof.org/search/jp/ESdetails?e=9af8P2FUMY8</x:v>
      </x:c>
    </x:row>
    <x:row r="133" ht="84" customHeight="1">
      <x:c r="A133" s="7" t="str">
        <x:v>工場運用DX</x:v>
      </x:c>
      <x:c r="B133" s="7" t="str">
        <x:v>樹脂加工専用プレミアムNCルータ　PLANET CRYSTAL NCP5000</x:v>
      </x:c>
      <x:c r="C133" s="7" t="str">
        <x:v>SHODA株式会社</x:v>
      </x:c>
      <x:c r="D133" s="7" t="str">
        <x:v>樹脂加工専用プレミアムNCルータ　PLANET CRYSTAL NCP5000</x:v>
      </x:c>
      <x:c r="E133" s="7" t="str">
        <x:v>S1070</x:v>
      </x:c>
      <x:c r="F133" s="7" t="str">
        <x:v>内容から分類（調査者・一次整理）</x:v>
      </x:c>
      <x:c r="G133" s="7" t="str">
        <x:v>出展説明に基づく一次分類。方式・実装権限・提供段階は個別確認</x:v>
      </x:c>
      <x:c t="str" r="H133" s="21">
        <x:f>HYPERLINK("#'展示詳細'!A"&amp;MATCH("AC106",'展示詳細'!$A$1:$A$340,0),"AC106")</x:f>
        <x:v>AC106</x:v>
      </x:c>
      <x:c r="I133" s="7" t="str">
        <x:v>2026の具体記述：さらに、NCルータをインターネットに繋いで日々の加工個数や加工コスト、保守状況などを可視化できるIoTサービスも展示。</x:v>
      </x:c>
      <x:c r="J133" s="7" t="str">
        <x:v>EEX-EXH-2026-96430d6788c41c87</x:v>
      </x:c>
      <x:c r="K133" s="7" t="str">
        <x:v>https://www.jimtof.org/search/jp/ESdetails?e=BeXt5Rn6DGg</x:v>
      </x:c>
    </x:row>
    <x:row r="134" ht="84" customHeight="1">
      <x:c r="A134" s="7" t="str">
        <x:v>工場運用DX</x:v>
      </x:c>
      <x:c r="B134" s="7" t="str">
        <x:v>出展物：　U軸システムKOMtronic</x:v>
      </x:c>
      <x:c r="C134" s="7" t="str">
        <x:v>Schwäbische Werkzeugmaschinen GmbH</x:v>
      </x:c>
      <x:c r="D134" s="7" t="str">
        <x:v>出展物：　U軸システムKOMtronic</x:v>
      </x:c>
      <x:c r="E134" s="7" t="str">
        <x:v>E3027</x:v>
      </x:c>
      <x:c r="F134" s="7" t="str">
        <x:v>内容から分類（調査者・一次整理）</x:v>
      </x:c>
      <x:c r="G134" s="7" t="str">
        <x:v>出展説明に基づく一次分類。方式・実装権限・提供段階は個別確認</x:v>
      </x:c>
      <x:c t="str" r="H134" s="21">
        <x:f>HYPERLINK("#'展示詳細'!A"&amp;MATCH("AC282",'展示詳細'!$A$1:$A$340,0),"AC282")</x:f>
        <x:v>AC282</x:v>
      </x:c>
      <x:c r="I134" s="7" t="str">
        <x:v>2026の具体記述：マルチスピンドル・マシニングセンタ市場で世界をリードし、自動車、EV、航空宇宙、ヒューマノイド、医療機器など幅広い産業向けに生産ソリューションを提供しています。 / SWは、同時５軸付きマルチスピンドル・マシニングセンタ、自動化システム、オンライン上でのデジタル化を組み合わせた「Smart manufacturing solution」を展開しています。</x:v>
      </x:c>
      <x:c r="J134" s="7" t="str">
        <x:v>EEX-EXH-2026-2ddab123ec038212</x:v>
      </x:c>
      <x:c r="K134" s="7" t="str">
        <x:v>https://www.jimtof.org/search/jp/ESdetails?e=kw9LLCnBLZI</x:v>
      </x:c>
    </x:row>
    <x:row r="135" ht="84" customHeight="1">
      <x:c r="A135" s="7" t="str">
        <x:v>工場運用DX</x:v>
      </x:c>
      <x:c r="B135" s="7" t="str">
        <x:v>生産・品質・在庫管理</x:v>
      </x:c>
      <x:c r="C135" s="7" t="str">
        <x:v>Smart Craft</x:v>
      </x:c>
      <x:c r="D135" s="7" t="str">
        <x:v>Smart Craft MES</x:v>
      </x:c>
      <x:c r="E135" s="7" t="str">
        <x:v>S3002</x:v>
      </x:c>
      <x:c r="F135" s="7" t="str">
        <x:v>内容から分類（調査者）</x:v>
      </x:c>
      <x:c r="G135" s="7" t="str">
        <x:v>現場情報・運用・品質・保全のデータ利用</x:v>
      </x:c>
      <x:c t="str" r="H135" s="21">
        <x:f>HYPERLINK("#'展示詳細'!A"&amp;MATCH("FC026",'展示詳細'!$A$1:$A$340,0),"FC026")</x:f>
        <x:v>FC026</x:v>
      </x:c>
      <x:c r="I135" s="7" t="str">
        <x:v>データ取得・集約・計画・品質補正・保全・遠隔支援を工場運用の用途で分類。</x:v>
      </x:c>
      <x:c r="J135" s="7" t="str">
        <x:v>EOV-V013-2026-1</x:v>
      </x:c>
      <x:c r="K135" s="7" t="str">
        <x:v>https://www.jimtof.org/search/jp/ESdetails?e=WqjRB6DEqN0</x:v>
      </x:c>
    </x:row>
    <x:row r="136" ht="84" customHeight="1">
      <x:c r="A136" s="7" t="str">
        <x:v>工場運用DX</x:v>
      </x:c>
      <x:c r="B136" s="7" t="str">
        <x:v>協働ロボット・自律移動ロボットとツーリング</x:v>
      </x:c>
      <x:c r="C136" s="7" t="str">
        <x:v>System 3R International AB</x:v>
      </x:c>
      <x:c r="D136" s="7" t="str">
        <x:v>協働ロボット・自律移動ロボットとツーリング</x:v>
      </x:c>
      <x:c r="E136" s="7" t="str">
        <x:v>W2078</x:v>
      </x:c>
      <x:c r="F136" s="7" t="str">
        <x:v>内容から分類（調査者・一次整理）</x:v>
      </x:c>
      <x:c r="G136" s="7" t="str">
        <x:v>出展説明に基づく一次分類。方式・実装権限・提供段階は個別確認</x:v>
      </x:c>
      <x:c t="str" r="H136" s="21">
        <x:f>HYPERLINK("#'展示詳細'!A"&amp;MATCH("AC287",'展示詳細'!$A$1:$A$340,0),"AC287")</x:f>
        <x:v>AC287</x:v>
      </x:c>
      <x:c r="I136" s="7" t="str">
        <x:v>2026の具体記述：超高精度ゼロポイントツーリング、自動化、ソフトウェアシステム分野のエキスパートであるシステム3Rは、製造業全体に向けて包括的なソリューションを提供し、製造プロセスの合理化と効率向上を実現しています。 / ロータリーマガジン付協働型ロボット、自律移動ロボット、ツーリング</x:v>
      </x:c>
      <x:c r="J136" s="7" t="str">
        <x:v>EEX-EXH-2026-60afae6de145a809</x:v>
      </x:c>
      <x:c r="K136" s="7" t="str">
        <x:v>https://www.jimtof.org/search/jp/ESdetails?e=c7Q6gr0wYyY</x:v>
      </x:c>
    </x:row>
    <x:row r="137" ht="84" customHeight="1">
      <x:c r="A137" s="7" t="str">
        <x:v>工場運用DX</x:v>
      </x:c>
      <x:c r="B137" s="7" t="str">
        <x:v>1.インテリジェント・ビルトインスピンドル（台湾精品賞受賞）</x:v>
      </x:c>
      <x:c r="C137" s="7" t="str">
        <x:v>Theta Precision Co., Ltd.</x:v>
      </x:c>
      <x:c r="D137" s="7" t="str">
        <x:v>1.インテリジェント・ビルトインスピンドル（台湾精品賞受賞）</x:v>
      </x:c>
      <x:c r="E137" s="7" t="str">
        <x:v>W3003</x:v>
      </x:c>
      <x:c r="F137" s="7" t="str">
        <x:v>内容から分類（調査者・一次整理）</x:v>
      </x:c>
      <x:c r="G137" s="7" t="str">
        <x:v>出展説明に基づく一次分類。方式・実装権限・提供段階は個別確認</x:v>
      </x:c>
      <x:c t="str" r="H137" s="21">
        <x:f>HYPERLINK("#'展示詳細'!A"&amp;MATCH("AC288",'展示詳細'!$A$1:$A$340,0),"AC288")</x:f>
        <x:v>AC288</x:v>
      </x:c>
      <x:c r="I137" s="7" t="str">
        <x:v>2026の具体記述：1.スマート製造を加速する監視システム：独自技術で振動・温度・ベアリング安全係数をリアルタイム検知。 / 2.半導体・精密研削市場への高度なカスタム性：AI産業向け高要求スピンドル市場へ本格参入。 / 振動、温度、熱変位をリアルタイム監視。</x:v>
      </x:c>
      <x:c r="J137" s="7" t="str">
        <x:v>EEX-EXH-2026-b8cf89f9a09c5a9c</x:v>
      </x:c>
      <x:c r="K137" s="7" t="str">
        <x:v>https://www.jimtof.org/search/jp/ESdetails?e=-qpqVRprqhs</x:v>
      </x:c>
    </x:row>
    <x:row r="138" ht="84" customHeight="1">
      <x:c r="A138" s="7" t="str">
        <x:v>工場運用DX</x:v>
      </x:c>
      <x:c r="B138" s="7" t="str">
        <x:v>精密デジタル水準器 BlueLEVEL・BlueLEVEL 2D</x:v>
      </x:c>
      <x:c r="C138" s="7" t="str">
        <x:v>WYLER AG</x:v>
      </x:c>
      <x:c r="D138" s="7" t="str">
        <x:v>精密デジタル水準器 BlueLEVEL・BlueLEVEL 2D</x:v>
      </x:c>
      <x:c r="E138" s="7" t="str">
        <x:v>E2026</x:v>
      </x:c>
      <x:c r="F138" s="7" t="str">
        <x:v>内容から分類（調査者・一次整理）</x:v>
      </x:c>
      <x:c r="G138" s="7" t="str">
        <x:v>出展説明に基づく一次分類。方式・実装権限・提供段階は個別確認</x:v>
      </x:c>
      <x:c t="str" r="H138" s="21">
        <x:f>HYPERLINK("#'展示詳細'!A"&amp;MATCH("AC297",'展示詳細'!$A$1:$A$340,0),"AC297")</x:f>
        <x:v>AC297</x:v>
      </x:c>
      <x:c r="I138" s="7" t="str">
        <x:v>2026の具体記述：【ワイラー デジタル水準器】 / ～耐衝撃性に優れた精密デジタル水準器とワイヤレスデータ通信で精密測定をサポート～ / 耐衝撃性に優れた独自のセンサと、温度自動補正機能による信頼性の高い測定結果が、市場で高く評価されています。 / 精密デジタル水準器 BlueLEVEL・BlueLEVEL 2D / デジタル角度センサ ZEROTRONIC / データ転送機能付き角形デジタル水準器 WylerCLINO Frame 60・Clinotr</x:v>
      </x:c>
      <x:c r="J138" s="7" t="str">
        <x:v>EEX-EXH-2026-8b48ce9818506160</x:v>
      </x:c>
      <x:c r="K138" s="7" t="str">
        <x:v>https://www.jimtof.org/search/jp/ESdetails?e=skJOsZ3QJkQ</x:v>
      </x:c>
    </x:row>
    <x:row r="139" ht="84" customHeight="1">
      <x:c r="A139" s="7" t="str">
        <x:v>工場運用DX</x:v>
      </x:c>
      <x:c r="B139" s="7" t="str">
        <x:v>工場内搬送</x:v>
      </x:c>
      <x:c r="C139" s="7" t="str">
        <x:v>Walter Maschinenbau</x:v>
      </x:c>
      <x:c r="D139" s="7" t="str">
        <x:v>ATP：工具製造の工程間搬送</x:v>
      </x:c>
      <x:c r="E139" s="7" t="str">
        <x:v>E8001</x:v>
      </x:c>
      <x:c r="F139" s="7" t="str">
        <x:v>内容から分類（調査者）</x:v>
      </x:c>
      <x:c r="G139" s="7" t="str">
        <x:v>現場情報・運用・品質・保全のデータ利用</x:v>
      </x:c>
      <x:c t="str" r="H139" s="21">
        <x:f>HYPERLINK("#'展示詳細'!A"&amp;MATCH("FC055",'展示詳細'!$A$1:$A$340,0),"FC055")</x:f>
        <x:v>FC055</x:v>
      </x:c>
      <x:c r="I139" s="7" t="str">
        <x:v>データ取得・集約・計画・品質補正・保全・遠隔支援を工場運用の用途で分類。</x:v>
      </x:c>
      <x:c r="J139" s="7" t="str">
        <x:v>EOV-V035-2026-1</x:v>
      </x:c>
      <x:c r="K139" s="7" t="str">
        <x:v>https://www.jimtof.org/search/jp/ESdetails?e=roSu2EMRXwk</x:v>
      </x:c>
    </x:row>
    <x:row r="140" ht="84" customHeight="1">
      <x:c r="A140" s="7" t="str">
        <x:v>工場運用DX</x:v>
      </x:c>
      <x:c r="B140" s="7" t="str">
        <x:v>WinTool：工具情報と現物・工程資源の連携</x:v>
      </x:c>
      <x:c r="C140" s="7" t="str">
        <x:v>WinTool AG</x:v>
      </x:c>
      <x:c r="D140" s="7" t="str">
        <x:v>WinTool：工具情報と現物・工程資源の連携</x:v>
      </x:c>
      <x:c r="E140" s="7" t="str">
        <x:v>E1049</x:v>
      </x:c>
      <x:c r="F140" s="7" t="str">
        <x:v>内容から分類（調査者・一次整理）</x:v>
      </x:c>
      <x:c r="G140" s="7" t="str">
        <x:v>出展説明に基づく一次分類。方式・実装権限・提供段階は個別確認</x:v>
      </x:c>
      <x:c t="str" r="H140" s="21">
        <x:f>HYPERLINK("#'展示詳細'!A"&amp;MATCH("AC295",'展示詳細'!$A$1:$A$340,0),"AC295")</x:f>
        <x:v>AC295</x:v>
      </x:c>
      <x:c r="I140" s="7" t="str">
        <x:v>2026の具体記述：CAMやNCシミュレーションシステムに工具データを展開することも可能。 / また、加工現場の工具収納システム・ツールプリセッタ・自動加工システムとも連携。 / WinToolは、生産管理システムやERP、MES、PLMで管理しきれない業務領域をカバー。 / BOP(工程管理表)の生産資源を「より現実」に落とし込み、生産技術と加工現場の架け橋の役割を担います。 / ・WinTool CAMシステム連携</x:v>
      </x:c>
      <x:c r="J140" s="7" t="str">
        <x:v>EEX-EXH-2026-4fb92ba6b82546d7
EDP-18
EDP-19</x:v>
      </x:c>
      <x:c r="K140" s="7" t="str">
        <x:v>https://www.jimtof.org/search/jp/ESdetails?e=sSFZV23clJo
https://www.wintool.com/en/tool-management-software/cnc-inventory-manager/erp-integration
https://www.wintool.com/software/cnc-prozessverwaltung</x:v>
      </x:c>
    </x:row>
    <x:row r="141" ht="84" customHeight="1">
      <x:c r="A141" s="7" t="str">
        <x:v>工場運用DX</x:v>
      </x:c>
      <x:c r="B141" s="7" t="str">
        <x:v>測定から加工へ補正</x:v>
      </x:c>
      <x:c r="C141" s="7" t="str">
        <x:v>Wintech Automation</x:v>
      </x:c>
      <x:c r="D141" s="7" t="str">
        <x:v>HGM-DX：測定フィードバック研削</x:v>
      </x:c>
      <x:c r="E141" s="7" t="str">
        <x:v>W3051</x:v>
      </x:c>
      <x:c r="F141" s="7" t="str">
        <x:v>内容から分類（調査者）</x:v>
      </x:c>
      <x:c r="G141" s="7" t="str">
        <x:v>現場情報・運用・品質・保全のデータ利用</x:v>
      </x:c>
      <x:c t="str" r="H141" s="21">
        <x:f>HYPERLINK("#'展示詳細'!A"&amp;MATCH("FC054",'展示詳細'!$A$1:$A$340,0),"FC054")</x:f>
        <x:v>FC054</x:v>
      </x:c>
      <x:c r="I141" s="7" t="str">
        <x:v>データ取得・集約・計画・品質補正・保全・遠隔支援を工場運用の用途で分類。</x:v>
      </x:c>
      <x:c r="J141" s="7" t="str">
        <x:v>EOV-V034-2026-1</x:v>
      </x:c>
      <x:c r="K141" s="7" t="str">
        <x:v>https://www.jimtof.org/search/jp/ESdetails?e=lMk3zNvQJbg</x:v>
      </x:c>
    </x:row>
    <x:row r="142" ht="84" customHeight="1">
      <x:c r="A142" s="7" t="str">
        <x:v>工場運用DX</x:v>
      </x:c>
      <x:c r="B142" s="7" t="str">
        <x:v>【実機出展】</x:v>
      </x:c>
      <x:c r="C142" s="7" t="str">
        <x:v>YKT株式会社</x:v>
      </x:c>
      <x:c r="D142" s="7" t="str">
        <x:v>【実機出展】</x:v>
      </x:c>
      <x:c r="E142" s="7" t="str">
        <x:v>E2026</x:v>
      </x:c>
      <x:c r="F142" s="7" t="str">
        <x:v>内容から分類（調査者・一次整理）</x:v>
      </x:c>
      <x:c r="G142" s="7" t="str">
        <x:v>出展説明に基づく一次分類。方式・実装権限・提供段階は個別確認</x:v>
      </x:c>
      <x:c t="str" r="H142" s="21">
        <x:f>HYPERLINK("#'展示詳細'!A"&amp;MATCH("AC246",'展示詳細'!$A$1:$A$340,0),"AC246")</x:f>
        <x:v>AC246</x:v>
      </x:c>
      <x:c r="I142" s="7" t="str">
        <x:v>2026の具体記述：創業102年を迎える当社は、工具研削盤、切削工具表面処理工程の自動化ソリューション、マルチセンサ三次元測定機などを中心に、製造現場の課題解決を支援しています。 / 今回のJIMTOFでは、自動化・測定・データ活用を組み合わせたスマートファクトリを提案し、生産性の向上と持続的な競争力の強化に貢献します。 / ■NAVIEDGE / ナビエッジ 自律搬送ロボット Smart Grasper・Smart 250TRS、自動測定セル Multi</x:v>
      </x:c>
      <x:c r="J142" s="7" t="str">
        <x:v>EEX-EXH-2026-28ad6ce1ddaebaa7</x:v>
      </x:c>
      <x:c r="K142" s="7" t="str">
        <x:v>https://www.jimtof.org/search/jp/ESdetails?e=nYvFR1vpbuE</x:v>
      </x:c>
    </x:row>
    <x:row r="143" ht="84" customHeight="1">
      <x:c r="A143" s="7" t="str">
        <x:v>工場運用DX</x:v>
      </x:c>
      <x:c r="B143" s="7" t="str">
        <x:v>genius</x:v>
      </x:c>
      <x:c r="C143" s="7" t="str">
        <x:v>ZOLLER Japan株式会社</x:v>
      </x:c>
      <x:c r="D143" s="7" t="str">
        <x:v>genius</x:v>
      </x:c>
      <x:c r="E143" s="7" t="str">
        <x:v>S1002</x:v>
      </x:c>
      <x:c r="F143" s="7" t="str">
        <x:v>内容から分類（調査者・一次整理）</x:v>
      </x:c>
      <x:c r="G143" s="7" t="str">
        <x:v>出展説明に基づく一次分類。方式・実装権限・提供段階は個別確認</x:v>
      </x:c>
      <x:c t="str" r="H143" s="21">
        <x:f>HYPERLINK("#'展示詳細'!A"&amp;MATCH("AC138",'展示詳細'!$A$1:$A$340,0),"AC138")</x:f>
        <x:v>AC138</x:v>
      </x:c>
      <x:c r="I143" s="7" t="str">
        <x:v>2026の具体記述：急騰する切削工具を如何に管理し、コストダウンするか、を主なテーマとした製品展示を行う。 / 「管理」する意味は様々だが、工具測定機、ツールプリセッター、ツールバランサーの高精度と高機能、工具管理システムの仕組み等により、最適な「管理」を提案する。 / genius / venturion / smile / toolBalancer / pomBasic / toolOrganizer / zidCode</x:v>
      </x:c>
      <x:c r="J143" s="7" t="str">
        <x:v>EEX-EXH-2026-3828f130cd66f8e7</x:v>
      </x:c>
      <x:c r="K143" s="7" t="str">
        <x:v>https://www.jimtof.org/search/jp/ESdetails?e=jOy4EwAr6xI</x:v>
      </x:c>
    </x:row>
    <x:row r="144" ht="84" customHeight="1">
      <x:c r="A144" s="7" t="str">
        <x:v>工場運用DX</x:v>
      </x:c>
      <x:c r="B144" s="7" t="str">
        <x:v>異機種・旧設備の接続</x:v>
      </x:c>
      <x:c r="C144" s="7" t="str">
        <x:v>たけびし</x:v>
      </x:c>
      <x:c r="D144" s="7" t="str">
        <x:v>OPC UA情報モデルとエージェント連携</x:v>
      </x:c>
      <x:c r="E144" s="7" t="str">
        <x:v>S3015</x:v>
      </x:c>
      <x:c r="F144" s="7" t="str">
        <x:v>内容から分類（調査者）</x:v>
      </x:c>
      <x:c r="G144" s="7" t="str">
        <x:v>現場情報・運用・品質・保全のデータ利用</x:v>
      </x:c>
      <x:c t="str" r="H144" s="21">
        <x:f>HYPERLINK("#'展示詳細'!A"&amp;MATCH("FC024",'展示詳細'!$A$1:$A$340,0),"FC024")</x:f>
        <x:v>FC024</x:v>
      </x:c>
      <x:c r="I144" s="7" t="str">
        <x:v>データ取得・集約・計画・品質補正・保全・遠隔支援を工場運用の用途で分類。</x:v>
      </x:c>
      <x:c r="J144" s="7" t="str">
        <x:v>EOV-V011-2026-1
EDP-06</x:v>
      </x:c>
      <x:c r="K144" s="7" t="str">
        <x:v>https://www.jimtof.org/search/jp/ESdetails?e=Qh27DAtEkbw
https://opcconnect.opcfoundation.org/2026/06/toward-realizing-ai-utilization-in-manufacturing-exploring-the-potential-of-integrating-the-opc-ua-information-model-with-ai-agents/</x:v>
      </x:c>
    </x:row>
    <x:row r="145" ht="84" customHeight="1">
      <x:c r="A145" s="7" t="str">
        <x:v>工場運用DX</x:v>
      </x:c>
      <x:c r="B145" s="7" t="str">
        <x:v>計画変更・負荷調整</x:v>
      </x:c>
      <x:c r="C145" s="7" t="str">
        <x:v>ものレボ</x:v>
      </x:c>
      <x:c r="D145" s="7" t="str">
        <x:v>MonoRevo：工程計画・スケジューリング</x:v>
      </x:c>
      <x:c r="E145" s="7" t="str">
        <x:v>W3042</x:v>
      </x:c>
      <x:c r="F145" s="7" t="str">
        <x:v>内容から分類（調査者）</x:v>
      </x:c>
      <x:c r="G145" s="7" t="str">
        <x:v>現場情報・運用・品質・保全のデータ利用</x:v>
      </x:c>
      <x:c t="str" r="H145" s="21">
        <x:f>HYPERLINK("#'展示詳細'!A"&amp;MATCH("FC027",'展示詳細'!$A$1:$A$340,0),"FC027")</x:f>
        <x:v>FC027</x:v>
      </x:c>
      <x:c r="I145" s="7" t="str">
        <x:v>データ取得・集約・計画・品質補正・保全・遠隔支援を工場運用の用途で分類。</x:v>
      </x:c>
      <x:c r="J145" s="7" t="str">
        <x:v>EOV-V014-2026-1</x:v>
      </x:c>
      <x:c r="K145" s="7" t="str">
        <x:v>https://www.jimtof.org/search/jp/ESdetails?e=sccKfxE4bYo</x:v>
      </x:c>
    </x:row>
    <x:row r="146" ht="84" customHeight="1">
      <x:c r="A146" s="7" t="str">
        <x:v>工場運用DX</x:v>
      </x:c>
      <x:c r="B146" s="7" t="str">
        <x:v>図面検索・見積・調達</x:v>
      </x:c>
      <x:c r="C146" s="7" t="str">
        <x:v>ものレボ</x:v>
      </x:c>
      <x:c r="D146" s="7" t="str">
        <x:v>MonoRevo：類似図面検索・自動見積</x:v>
      </x:c>
      <x:c r="E146" s="7" t="str">
        <x:v>W3042</x:v>
      </x:c>
      <x:c r="F146" s="7" t="str">
        <x:v>内容から分類（調査者）</x:v>
      </x:c>
      <x:c r="G146" s="7" t="str">
        <x:v>現場情報・運用・品質・保全のデータ利用</x:v>
      </x:c>
      <x:c t="str" r="H146" s="21">
        <x:f>HYPERLINK("#'展示詳細'!A"&amp;MATCH("FC028",'展示詳細'!$A$1:$A$340,0),"FC028")</x:f>
        <x:v>FC028</x:v>
      </x:c>
      <x:c r="I146" s="7" t="str">
        <x:v>データ取得・集約・計画・品質補正・保全・遠隔支援を工場運用の用途で分類。</x:v>
      </x:c>
      <x:c r="J146" s="7" t="str">
        <x:v>EOV-V014-2026-1</x:v>
      </x:c>
      <x:c r="K146" s="7" t="str">
        <x:v>https://www.jimtof.org/search/jp/ESdetails?e=sccKfxE4bYo</x:v>
      </x:c>
    </x:row>
    <x:row r="147" ht="84" customHeight="1">
      <x:c r="A147" s="7" t="str">
        <x:v>工場運用DX</x:v>
      </x:c>
      <x:c r="B147" s="7" t="str">
        <x:v>アズビルTACO</x:v>
      </x:c>
      <x:c r="C147" s="7" t="str">
        <x:v>アズビルTACO株式会社</x:v>
      </x:c>
      <x:c r="D147" s="7" t="str">
        <x:v>アズビルTACO</x:v>
      </x:c>
      <x:c r="E147" s="7" t="str">
        <x:v>W4070</x:v>
      </x:c>
      <x:c r="F147" s="7" t="str">
        <x:v>内容から分類（調査者・一次整理）</x:v>
      </x:c>
      <x:c r="G147" s="7" t="str">
        <x:v>出展説明に基づく一次分類。方式・実装権限・提供段階は個別確認</x:v>
      </x:c>
      <x:c t="str" r="H147" s="21">
        <x:f>HYPERLINK("#'展示詳細'!A"&amp;MATCH("AC007",'展示詳細'!$A$1:$A$340,0),"AC007")</x:f>
        <x:v>AC007</x:v>
      </x:c>
      <x:c r="I147" s="7" t="str">
        <x:v>2026の具体記述：① 工作機械の自動扉に合わせた形状で、確実に挟まれを検知する、セーフティエッジスイッチ。 / ・工作機械の自動扉の挟まれ検知に最適なエッジスイッチ / ・自動扉の形状に合わせて設置可能。 / ② 状態監視用振動・温度センサ　形:QM30VT3 / ・3軸振動・温度監視と自動しきい値設定機能を搭載したコンパクトな状態監視センサ。</x:v>
      </x:c>
      <x:c r="J147" s="7" t="str">
        <x:v>EEX-EXH-2026-2c48cf1373cedc75</x:v>
      </x:c>
      <x:c r="K147" s="7" t="str">
        <x:v>https://www.jimtof.org/search/jp/ESdetails?e=x6DdroBnfSA</x:v>
      </x:c>
    </x:row>
    <x:row r="148" ht="84" customHeight="1">
      <x:c r="A148" s="7" t="str">
        <x:v>工場運用DX</x:v>
      </x:c>
      <x:c r="B148" s="7" t="str">
        <x:v>周辺部品・機構</x:v>
      </x:c>
      <x:c r="C148" s="7" t="str">
        <x:v>イグス株式会社</x:v>
      </x:c>
      <x:c r="D148" s="7" t="str">
        <x:v>直動及び旋回用ケーブル保護管 [エナジーチェーン]、3D動作用ケーブル保護管 [トライフレックスR]</x:v>
      </x:c>
      <x:c r="E148" s="7" t="str">
        <x:v>E3004</x:v>
      </x:c>
      <x:c r="F148" s="7" t="str">
        <x:v>内容から分類（調査者・一次整理）</x:v>
      </x:c>
      <x:c r="G148" s="7" t="str">
        <x:v>周辺要素・実装部品。システム全体のAI／自動動作の確認ではない</x:v>
      </x:c>
      <x:c t="str" r="H148" s="21">
        <x:f>HYPERLINK("#'展示詳細'!A"&amp;MATCH("AC014",'展示詳細'!$A$1:$A$340,0),"AC014")</x:f>
        <x:v>AC014</x:v>
      </x:c>
      <x:c r="I148" s="7" t="str">
        <x:v>2026の具体記述：予知保全・状態監視システム [スマートプラスチック]</x:v>
      </x:c>
      <x:c r="J148" s="7" t="str">
        <x:v>EEX-EXH-2026-d7f06610e0cfe3de</x:v>
      </x:c>
      <x:c r="K148" s="7" t="str">
        <x:v>https://www.jimtof.org/search/jp/ESdetails?e=BnXXMpSPRVw</x:v>
      </x:c>
    </x:row>
    <x:row r="149" ht="84" customHeight="1">
      <x:c r="A149" s="7" t="str">
        <x:v>工場運用DX</x:v>
      </x:c>
      <x:c r="B149" s="7" t="str">
        <x:v>タワー型ツールストッカー</x:v>
      </x:c>
      <x:c r="C149" s="7" t="str">
        <x:v>エバ工業株式会社</x:v>
      </x:c>
      <x:c r="D149" s="7" t="str">
        <x:v>タワー型ツールストッカー</x:v>
      </x:c>
      <x:c r="E149" s="7" t="str">
        <x:v>E7065</x:v>
      </x:c>
      <x:c r="F149" s="7" t="str">
        <x:v>内容から分類（調査者・一次整理）</x:v>
      </x:c>
      <x:c r="G149" s="7" t="str">
        <x:v>出展説明に基づく一次分類。方式・実装権限・提供段階は個別確認</x:v>
      </x:c>
      <x:c t="str" r="H149" s="21">
        <x:f>HYPERLINK("#'展示詳細'!A"&amp;MATCH("AC038",'展示詳細'!$A$1:$A$340,0),"AC038")</x:f>
        <x:v>AC038</x:v>
      </x:c>
      <x:c r="I149" s="7" t="str">
        <x:v>2026の具体記述：ツール管理の課題を解決する、タワー型ツールストッカー「VTS（Vertical Tool Stocker System）」をご紹介します。 / わずか約2.3m×2.3mの設置面積に、最大約600本の工具を高密度に収納。 / 工具を探す・取りに行く工数や、分散保管によるムダ、重複発注の削減に貢献します。 / 複列型の収納構造に加え、取出予約などの運用にも対応。 / 走行軸を廃し、NC可動範囲を効率よく活用した機構により、省スペース・大容</x:v>
      </x:c>
      <x:c r="J149" s="7" t="str">
        <x:v>EEX-EXH-2026-82c1d23abea2ae6d</x:v>
      </x:c>
      <x:c r="K149" s="7" t="str">
        <x:v>https://www.jimtof.org/search/jp/ESdetails?e=BQDEsiMInIU</x:v>
      </x:c>
    </x:row>
    <x:row r="150" ht="84" customHeight="1">
      <x:c r="A150" s="7" t="str">
        <x:v>工場運用DX</x:v>
      </x:c>
      <x:c r="B150" s="7" t="str">
        <x:v>「3つの技術の融合」をテーマに、エンシュウは「工作機械メーカー × SIer × 量産部品加工メーカー」の3つの技術と機能を融合し、製造現場が直面する</x:v>
      </x:c>
      <x:c r="C150" s="7" t="str">
        <x:v>エンシュウ株式会社</x:v>
      </x:c>
      <x:c r="D150" s="7" t="str">
        <x:v>「3つの技術の融合」をテーマに、エンシュウは「工作機械メーカー × SIer × 量産部品加工メーカー」の3つの技術と機能を融合し、製造現場が直面する</x:v>
      </x:c>
      <x:c r="E150" s="7" t="str">
        <x:v>E3027</x:v>
      </x:c>
      <x:c r="F150" s="7" t="str">
        <x:v>内容から分類（調査者・一次整理）</x:v>
      </x:c>
      <x:c r="G150" s="7" t="str">
        <x:v>出展説明に基づく一次分類。方式・実装権限・提供段階は個別確認</x:v>
      </x:c>
      <x:c t="str" r="H150" s="21">
        <x:f>HYPERLINK("#'展示詳細'!A"&amp;MATCH("AC041",'展示詳細'!$A$1:$A$340,0),"AC041")</x:f>
        <x:v>AC041</x:v>
      </x:c>
      <x:c r="I150" s="7" t="str">
        <x:v>2026の具体記述：「3つの技術の融合」をテーマに、エンシュウは「工作機械メーカー × SIer × 量産部品加工メーカー」の3つの技術と機能を融合し、製造現場が直面する「自動化」「デジタル化」「省エネ」の課題に新たな価値を提案します。 / 今回の展示では、①横形マシニングセンタJE50Sコンセプトモデルによる「工作機械×デジタル」、②Mobile Robotによるモノと情報をつなぐ物流自動化、③量産部品加工で培った生産性と品質を両立する“実践技術”をご紹</x:v>
      </x:c>
      <x:c r="J150" s="7" t="str">
        <x:v>EEX-EXH-2026-0e942b9436bf5d6c</x:v>
      </x:c>
      <x:c r="K150" s="7" t="str">
        <x:v>https://www.jimtof.org/search/jp/ESdetails?e=fPfTIEegDHY</x:v>
      </x:c>
    </x:row>
    <x:row r="151" ht="84" customHeight="1">
      <x:c r="A151" s="7" t="str">
        <x:v>工場運用DX</x:v>
      </x:c>
      <x:c r="B151" s="7" t="str">
        <x:v>オーエスジーの最新技術を結集し、さまざまな被削材や加工環境に対応する</x:v>
      </x:c>
      <x:c r="C151" s="7" t="str">
        <x:v>オーエスジー株式会社</x:v>
      </x:c>
      <x:c r="D151" s="7" t="str">
        <x:v>オーエスジーの最新技術を結集し、さまざまな被削材や加工環境に対応する</x:v>
      </x:c>
      <x:c r="E151" s="7" t="str">
        <x:v>W1070</x:v>
      </x:c>
      <x:c r="F151" s="7" t="str">
        <x:v>内容から分類（調査者・一次整理）</x:v>
      </x:c>
      <x:c r="G151" s="7" t="str">
        <x:v>出展説明に基づく一次分類。方式・実装権限・提供段階は個別確認</x:v>
      </x:c>
      <x:c t="str" r="H151" s="21">
        <x:f>HYPERLINK("#'展示詳細'!A"&amp;MATCH("AC042",'展示詳細'!$A$1:$A$340,0),"AC042")</x:f>
        <x:v>AC042</x:v>
      </x:c>
      <x:c r="I151" s="7" t="str">
        <x:v>2026の具体記述：オーエスジーは、自動化、省人化を通じ、環境配慮につながる製品を提案します。 / 硬脆材加工用工具「６ＣｘＯＳＧ」、工具管理DX「ＭＯＮＯｌｉｔｈｂｏｘ（モノリスボックス）」、環境配慮型工具、精密・微細工具、ダイヤモンド工具、転造工具</x:v>
      </x:c>
      <x:c r="J151" s="7" t="str">
        <x:v>EEX-EXH-2026-89ee86275a54f434</x:v>
      </x:c>
      <x:c r="K151" s="7" t="str">
        <x:v>https://www.jimtof.org/search/jp/ESdetails?e=AooPnMJlHW4</x:v>
      </x:c>
    </x:row>
    <x:row r="152" ht="84" customHeight="1">
      <x:c r="A152" s="7" t="str">
        <x:v>工場運用DX</x:v>
      </x:c>
      <x:c r="B152" s="7" t="str">
        <x:v>熱変位補正</x:v>
      </x:c>
      <x:c r="C152" s="7" t="str">
        <x:v>オークマ</x:v>
      </x:c>
      <x:c r="D152" s="7" t="str">
        <x:v>熱変位制御・AI知能化</x:v>
      </x:c>
      <x:c r="E152" s="7" t="str">
        <x:v>E3028</x:v>
      </x:c>
      <x:c r="F152" s="7" t="str">
        <x:v>内容から分類（調査者）</x:v>
      </x:c>
      <x:c r="G152" s="7" t="str">
        <x:v>現場情報・運用・品質・保全のデータ利用</x:v>
      </x:c>
      <x:c t="str" r="H152" s="21">
        <x:f>HYPERLINK("#'展示詳細'!A"&amp;MATCH("FC009",'展示詳細'!$A$1:$A$340,0),"FC009")</x:f>
        <x:v>FC009</x:v>
      </x:c>
      <x:c r="I152" s="7" t="str">
        <x:v>データ取得・集約・計画・品質補正・保全・遠隔支援を工場運用の用途で分類。</x:v>
      </x:c>
      <x:c r="J152" s="7" t="str">
        <x:v>EOV-V003-2026-1</x:v>
      </x:c>
      <x:c r="K152" s="7" t="str">
        <x:v>https://www.jimtof.org/search/jp/ESdetails?e=30li0vWcseI</x:v>
      </x:c>
    </x:row>
    <x:row r="153" ht="84" customHeight="1">
      <x:c r="A153" s="7" t="str">
        <x:v>工場運用DX</x:v>
      </x:c>
      <x:c r="B153" s="7" t="str">
        <x:v>IPC・分散I/O基盤</x:v>
      </x:c>
      <x:c r="C153" s="7" t="str">
        <x:v>ケーメックス・オートメーション</x:v>
      </x:c>
      <x:c r="D153" s="7" t="str">
        <x:v>産業用IPC／VARIO-X・分散I/O</x:v>
      </x:c>
      <x:c r="E153" s="7" t="str">
        <x:v>S3024</x:v>
      </x:c>
      <x:c r="F153" s="7" t="str">
        <x:v>内容から分類（調査者）</x:v>
      </x:c>
      <x:c r="G153" s="7" t="str">
        <x:v>現場情報・運用・品質・保全のデータ利用</x:v>
      </x:c>
      <x:c t="str" r="H153" s="21">
        <x:f>HYPERLINK("#'展示詳細'!A"&amp;MATCH("FC068",'展示詳細'!$A$1:$A$340,0),"FC068")</x:f>
        <x:v>FC068</x:v>
      </x:c>
      <x:c r="I153" s="7" t="str">
        <x:v>データ取得・集約・計画・品質補正・保全・遠隔支援を工場運用の用途で分類。</x:v>
      </x:c>
      <x:c r="J153" s="7" t="str">
        <x:v>EAT-V045-2026-1</x:v>
      </x:c>
      <x:c r="K153" s="7" t="str">
        <x:v>https://www.jimtof.org/search/jp/ESdetails?e=bz4bGc4T6ag</x:v>
      </x:c>
    </x:row>
    <x:row r="154" ht="84" customHeight="1">
      <x:c r="A154" s="7" t="str">
        <x:v>工場運用DX</x:v>
      </x:c>
      <x:c r="B154" s="7" t="str">
        <x:v>工程管理支援システム「cycleon（サイクロン）」</x:v>
      </x:c>
      <x:c r="C154" s="7" t="str">
        <x:v>シンクビジョン株式会社</x:v>
      </x:c>
      <x:c r="D154" s="7" t="str">
        <x:v>工程管理支援システム「cycleon（サイクロン）」</x:v>
      </x:c>
      <x:c r="E154" s="7" t="str">
        <x:v>S3022</x:v>
      </x:c>
      <x:c r="F154" s="7" t="str">
        <x:v>内容から分類（調査者・一次整理）</x:v>
      </x:c>
      <x:c r="G154" s="7" t="str">
        <x:v>出展説明に基づく一次分類。方式・実装権限・提供段階は個別確認</x:v>
      </x:c>
      <x:c t="str" r="H154" s="21">
        <x:f>HYPERLINK("#'展示詳細'!A"&amp;MATCH("AC109",'展示詳細'!$A$1:$A$340,0),"AC109")</x:f>
        <x:v>AC109</x:v>
      </x:c>
      <x:c r="I154" s="7" t="str">
        <x:v>2026の具体記述：工程管理支援システム「cycleon」は、金型製造をはじめとする個別受注生産型の製造現場のために開発した「現場発」のシステムです。 / 実際の金型工場と日々意見を交わしながら開発しているため、突発的な予定変更やトラブルが絶えない多品種・小ロットの現場に、本当に即した柔軟な工程管理を実現します。 / 負荷状況の可視化、自動日程調整、リアルタイムの進捗把握により、「いつ・どの工程に余力があるか」をひと目で確認できます。 / cycleonと</x:v>
      </x:c>
      <x:c r="J154" s="7" t="str">
        <x:v>EEX-EXH-2026-618e70ffccfa3638</x:v>
      </x:c>
      <x:c r="K154" s="7" t="str">
        <x:v>https://www.jimtof.org/search/jp/ESdetails?e=WPabQbHCkho</x:v>
      </x:c>
    </x:row>
    <x:row r="155" ht="84" customHeight="1">
      <x:c r="A155" s="7" t="str">
        <x:v>工場運用DX</x:v>
      </x:c>
      <x:c r="B155" s="7" t="str">
        <x:v>異機種・旧設備の接続</x:v>
      </x:c>
      <x:c r="C155" s="7" t="str">
        <x:v>シーイーシー</x:v>
      </x:c>
      <x:c r="D155" s="7" t="str">
        <x:v>Facteye／Resolana</x:v>
      </x:c>
      <x:c r="E155" s="7" t="str">
        <x:v>E2006</x:v>
      </x:c>
      <x:c r="F155" s="7" t="str">
        <x:v>内容から分類（調査者）</x:v>
      </x:c>
      <x:c r="G155" s="7" t="str">
        <x:v>現場情報・運用・品質・保全のデータ利用</x:v>
      </x:c>
      <x:c t="str" r="H155" s="21">
        <x:f>HYPERLINK("#'展示詳細'!A"&amp;MATCH("FC025",'展示詳細'!$A$1:$A$340,0),"FC025")</x:f>
        <x:v>FC025</x:v>
      </x:c>
      <x:c r="I155" s="7" t="str">
        <x:v>データ取得・集約・計画・品質補正・保全・遠隔支援を工場運用の用途で分類。</x:v>
      </x:c>
      <x:c r="J155" s="7" t="str">
        <x:v>EOV-V012-2026-1</x:v>
      </x:c>
      <x:c r="K155" s="7" t="str">
        <x:v>https://www.jimtof.org/search/jp/ESdetails?e=tW-C9oF94EQ</x:v>
      </x:c>
    </x:row>
    <x:row r="156" ht="84" customHeight="1">
      <x:c r="A156" s="7" t="str">
        <x:v>工場運用DX</x:v>
      </x:c>
      <x:c r="B156" s="7" t="str">
        <x:v>Digital Thread：工作機械ツイン・工程内品質保証</x:v>
      </x:c>
      <x:c r="C156" s="7" t="str">
        <x:v>シーメンス株式会社</x:v>
      </x:c>
      <x:c r="D156" s="7" t="str">
        <x:v>Digital Thread：工作機械ツイン・工程内品質保証</x:v>
      </x:c>
      <x:c r="E156" s="7" t="str">
        <x:v>E3006</x:v>
      </x:c>
      <x:c r="F156" s="7" t="str">
        <x:v>内容から分類（調査者・一次整理）</x:v>
      </x:c>
      <x:c r="G156" s="7" t="str">
        <x:v>出展説明に基づく一次分類。方式・実装権限・提供段階は個別確認</x:v>
      </x:c>
      <x:c t="str" r="H156" s="21">
        <x:f>HYPERLINK("#'展示詳細'!A"&amp;MATCH("AC098",'展示詳細'!$A$1:$A$340,0),"AC098")</x:f>
        <x:v>AC098</x:v>
      </x:c>
      <x:c r="I156" s="7" t="str">
        <x:v>2026の具体記述：シーメンスは、Siemens Xceleratorプラットフォームを活用し、企業のデジタル・トランスフォーメーションを支援します。 / 今回の展示では「Digital Thread for Machine Engineering」をテーマに、設計から生産準備、積層造形、加工、品質保証までをつなぐデジタル・スレッドをご紹介します。 / SINUMERIK ONEを搭載したHeller Toknによる工作機械デジタルツインや、Renisha</x:v>
      </x:c>
      <x:c r="J156" s="7" t="str">
        <x:v>EEX-EXH-2026-9b991dd8132f51dc
EDP-16
EDP-17</x:v>
      </x:c>
      <x:c r="K156" s="7" t="str">
        <x:v>https://www.jimtof.org/search/jp/ESdetails?e=EBIotJu7lrg
https://references.siemens.com/en/reference/heller-tokn-digital-twin?id=41137
https://press.siemens.com/jp/ja/pressrelease/pr-20260416</x:v>
      </x:c>
    </x:row>
    <x:row r="157" ht="84" customHeight="1">
      <x:c r="A157" s="7" t="str">
        <x:v>工場運用DX</x:v>
      </x:c>
      <x:c r="B157" s="7" t="str">
        <x:v>スイス型ＣＮＣ自動旋盤　ＳＢ－１２ＲＩＩ</x:v>
      </x:c>
      <x:c r="C157" s="7" t="str">
        <x:v>スター精密株式会社</x:v>
      </x:c>
      <x:c r="D157" s="7" t="str">
        <x:v>スイス型ＣＮＣ自動旋盤　ＳＢ－１２ＲＩＩ</x:v>
      </x:c>
      <x:c r="E157" s="7" t="str">
        <x:v>S1003</x:v>
      </x:c>
      <x:c r="F157" s="7" t="str">
        <x:v>内容から分類（調査者・一次整理）</x:v>
      </x:c>
      <x:c r="G157" s="7" t="str">
        <x:v>出展説明に基づく一次分類。方式・実装権限・提供段階は個別確認</x:v>
      </x:c>
      <x:c t="str" r="H157" s="21">
        <x:f>HYPERLINK("#'展示詳細'!A"&amp;MATCH("AC112",'展示詳細'!$A$1:$A$340,0),"AC112")</x:f>
        <x:v>AC112</x:v>
      </x:c>
      <x:c r="I157" s="7" t="str">
        <x:v>2026の具体記述：今回は「ヒューマノイドロボット」「医療」「ドローン」「自動車」の４分野にフォーカスし、 / スイス型ＣＮＣ自動旋盤　ＳＢ－１２ＲＩＩ / スターモーションコントロールシステム搭載スイス型自動旋盤　ＳＸ－３８Ｒ ｔｙｐｅ Ｂ / スイス型ＣＮＣ自動旋盤　ＳＰ－３２ / スイス型ＣＮＣ自動旋盤　ＳＬ－１０</x:v>
      </x:c>
      <x:c r="J157" s="7" t="str">
        <x:v>EEX-EXH-2026-0a5e5a2628606f5f</x:v>
      </x:c>
      <x:c r="K157" s="7" t="str">
        <x:v>https://www.jimtof.org/search/jp/ESdetails?e=uGFHKigy2ag</x:v>
      </x:c>
    </x:row>
    <x:row r="158" ht="84" customHeight="1">
      <x:c r="A158" s="7" t="str">
        <x:v>工場運用DX</x:v>
      </x:c>
      <x:c r="B158" s="7" t="str">
        <x:v>異機種・旧設備の接続</x:v>
      </x:c>
      <x:c r="C158" s="7" t="str">
        <x:v>ソフィックス</x:v>
      </x:c>
      <x:c r="D158" s="7" t="str">
        <x:v>SOFIXCAN Ω Eye</x:v>
      </x:c>
      <x:c r="E158" s="7" t="str">
        <x:v>E1067</x:v>
      </x:c>
      <x:c r="F158" s="7" t="str">
        <x:v>内容から分類（調査者）</x:v>
      </x:c>
      <x:c r="G158" s="7" t="str">
        <x:v>現場情報・運用・品質・保全のデータ利用</x:v>
      </x:c>
      <x:c t="str" r="H158" s="21">
        <x:f>HYPERLINK("#'展示詳細'!A"&amp;MATCH("FC029",'展示詳細'!$A$1:$A$340,0),"FC029")</x:f>
        <x:v>FC029</x:v>
      </x:c>
      <x:c r="I158" s="7" t="str">
        <x:v>データ取得・集約・計画・品質補正・保全・遠隔支援を工場運用の用途で分類。</x:v>
      </x:c>
      <x:c r="J158" s="7" t="str">
        <x:v>EOV-V015-2026-1</x:v>
      </x:c>
      <x:c r="K158" s="7" t="str">
        <x:v>https://www.jimtof.org/search/jp/ESdetails?e=rYRhOM0muPQ</x:v>
      </x:c>
    </x:row>
    <x:row r="159" ht="84" customHeight="1">
      <x:c r="A159" s="7" t="str">
        <x:v>工場運用DX</x:v>
      </x:c>
      <x:c r="B159" s="7" t="str">
        <x:v>工場内搬送</x:v>
      </x:c>
      <x:c r="C159" s="7" t="str">
        <x:v>ソフィックス</x:v>
      </x:c>
      <x:c r="D159" s="7" t="str">
        <x:v>SOFIXCAN Fleeter＋AI Forecast：ミニ工場</x:v>
      </x:c>
      <x:c r="E159" s="7" t="str">
        <x:v>E1067</x:v>
      </x:c>
      <x:c r="F159" s="7" t="str">
        <x:v>内容から分類（調査者）</x:v>
      </x:c>
      <x:c r="G159" s="7" t="str">
        <x:v>現場情報・運用・品質・保全のデータ利用</x:v>
      </x:c>
      <x:c t="str" r="H159" s="21">
        <x:f>HYPERLINK("#'展示詳細'!A"&amp;MATCH("FC030",'展示詳細'!$A$1:$A$340,0),"FC030")</x:f>
        <x:v>FC030</x:v>
      </x:c>
      <x:c r="I159" s="7" t="str">
        <x:v>データ取得・集約・計画・品質補正・保全・遠隔支援を工場運用の用途で分類。</x:v>
      </x:c>
      <x:c r="J159" s="7" t="str">
        <x:v>EOV-V015-2026-1
EDP-21
EDP-22
EDP-23</x:v>
      </x:c>
      <x:c r="K159" s="7" t="str">
        <x:v>https://www.jimtof.org/search/jp/ESdetails?e=rYRhOM0muPQ
https://www.sofix.co.jp/products/sofixcan_ai_forecast/
https://www.sofix.co.jp/products/sofixcan_fleeter/
https://www.sofix.co.jp/</x:v>
      </x:c>
    </x:row>
    <x:row r="160" ht="84" customHeight="1">
      <x:c r="A160" s="7" t="str">
        <x:v>工場運用DX</x:v>
      </x:c>
      <x:c r="B160" s="7" t="str">
        <x:v>CAM Assist for SolidCAM／SolidShop</x:v>
      </x:c>
      <x:c r="C160" s="7" t="str">
        <x:v>タクテックス株式会社</x:v>
      </x:c>
      <x:c r="D160" s="7" t="str">
        <x:v>CAM Assist for SolidCAM／SolidShop</x:v>
      </x:c>
      <x:c r="E160" s="7" t="str">
        <x:v>S1016</x:v>
      </x:c>
      <x:c r="F160" s="7" t="str">
        <x:v>内容から分類（調査者・一次整理）</x:v>
      </x:c>
      <x:c r="G160" s="7" t="str">
        <x:v>出展説明に基づく一次分類。方式・実装権限・提供段階は個別確認</x:v>
      </x:c>
      <x:c t="str" r="H160" s="21">
        <x:f>HYPERLINK("#'展示詳細'!A"&amp;MATCH("AC131",'展示詳細'!$A$1:$A$340,0),"AC131")</x:f>
        <x:v>AC131</x:v>
      </x:c>
      <x:c r="I160" s="7" t="str">
        <x:v>2026の具体記述：「この課題」CAMで突破！ / 人手不足や技術継承、多品種少量生産など、製造現場の課題をSolidCAMが解決します。 / 工作機械とネットワーク接続し、稼働状況の見える化による製造DX「SolidShop」を展示。 / ３. 次世代のものづくりを支える！最新CAM活用法 / 「複合加工機対応」「生成AIでCAM自動化」「自動旋盤」をテーマに、最新のCAM活用法をセミナーで解説。 / ４．「見る・聞く・相談する」で、CAMをもっと身近に</x:v>
      </x:c>
      <x:c r="J160" s="7" t="str">
        <x:v>EEX-EXH-2026-0436fc7b61f51a8e
EDP-07
EDP-08
ERF-04</x:v>
      </x:c>
      <x:c r="K160" s="7" t="str">
        <x:v>https://www.jimtof.org/search/jp/ESdetails?e=2TVzwvOqLxI
https://www.cloudnc.com/ja/solidcam
https://help.solidcam.com/topics/solutions/cloudnc-cam-assist.htm</x:v>
      </x:c>
    </x:row>
    <x:row r="161" ht="84" customHeight="1">
      <x:c r="A161" s="7" t="str">
        <x:v>工場運用DX</x:v>
      </x:c>
      <x:c r="B161" s="7" t="str">
        <x:v>生産・品質・在庫管理</x:v>
      </x:c>
      <x:c r="C161" s="7" t="str">
        <x:v>テクノア</x:v>
      </x:c>
      <x:c r="D161" s="7" t="str">
        <x:v>TECHS系：スマホ実績・購買API</x:v>
      </x:c>
      <x:c r="E161" s="7" t="str">
        <x:v>S3009</x:v>
      </x:c>
      <x:c r="F161" s="7" t="str">
        <x:v>内容から分類（調査者）</x:v>
      </x:c>
      <x:c r="G161" s="7" t="str">
        <x:v>現場情報・運用・品質・保全のデータ利用</x:v>
      </x:c>
      <x:c t="str" r="H161" s="21">
        <x:f>HYPERLINK("#'展示詳細'!A"&amp;MATCH("FC061",'展示詳細'!$A$1:$A$340,0),"FC061")</x:f>
        <x:v>FC061</x:v>
      </x:c>
      <x:c r="I161" s="7" t="str">
        <x:v>データ取得・集約・計画・品質補正・保全・遠隔支援を工場運用の用途で分類。</x:v>
      </x:c>
      <x:c r="J161" s="7" t="str">
        <x:v>EOV-V040-2026-1</x:v>
      </x:c>
      <x:c r="K161" s="7" t="str">
        <x:v>https://www.jimtof.org/search/jp/ESdetails?e=sSRmH-KuV8U</x:v>
      </x:c>
    </x:row>
    <x:row r="162" ht="84" customHeight="1">
      <x:c r="A162" s="7" t="str">
        <x:v>工場運用DX</x:v>
      </x:c>
      <x:c r="B162" s="7" t="str">
        <x:v>開先加工サンプル展示：2Dレーザ加工機「TruLaser3000シリーズ」</x:v>
      </x:c>
      <x:c r="C162" s="7" t="str">
        <x:v>トルンプ株式会社</x:v>
      </x:c>
      <x:c r="D162" s="7" t="str">
        <x:v>開先加工サンプル展示：2Dレーザ加工機「TruLaser3000シリーズ」</x:v>
      </x:c>
      <x:c r="E162" s="7" t="str">
        <x:v>E1044</x:v>
      </x:c>
      <x:c r="F162" s="7" t="str">
        <x:v>内容から分類（調査者・一次整理）</x:v>
      </x:c>
      <x:c r="G162" s="7" t="str">
        <x:v>出展説明に基づく一次分類。方式・実装権限・提供段階は個別確認</x:v>
      </x:c>
      <x:c t="str" r="H162" s="21">
        <x:f>HYPERLINK("#'展示詳細'!A"&amp;MATCH("AC156",'展示詳細'!$A$1:$A$340,0),"AC156")</x:f>
        <x:v>AC156</x:v>
      </x:c>
      <x:c r="I162" s="7" t="str">
        <x:v>2026の具体記述：「生産現場の自動化をかなえるトルンプの板金加工技術とソリューション」 / 【注目２】スマートファクトリーソリューション：現場のボトルネックを「DX」で突破する / 人手不足や多品種少量生産に対応するための課題を、トルンプの機械・ソフトウェア・自動化技術 / をつなぐワークフロー『Oseon』『Trutops Boost』がDXで解決。</x:v>
      </x:c>
      <x:c r="J162" s="7" t="str">
        <x:v>EEX-EXH-2026-e520f1cac56a6424</x:v>
      </x:c>
      <x:c r="K162" s="7" t="str">
        <x:v>https://www.jimtof.org/search/jp/ESdetails?e=P89ltew0qg0</x:v>
      </x:c>
    </x:row>
    <x:row r="163" ht="84" customHeight="1">
      <x:c r="A163" s="7" t="str">
        <x:v>工場運用DX</x:v>
      </x:c>
      <x:c r="B163" s="7" t="str">
        <x:v>横形内面研削盤 THG-10Cd</x:v>
      </x:c>
      <x:c r="C163" s="7" t="str">
        <x:v>トーヨーエイテック株式会社</x:v>
      </x:c>
      <x:c r="D163" s="7" t="str">
        <x:v>横形内面研削盤 THG-10Cd</x:v>
      </x:c>
      <x:c r="E163" s="7" t="str">
        <x:v>E7045</x:v>
      </x:c>
      <x:c r="F163" s="7" t="str">
        <x:v>内容から分類（調査者・一次整理）</x:v>
      </x:c>
      <x:c r="G163" s="7" t="str">
        <x:v>出展説明に基づく一次分類。方式・実装権限・提供段階は個別確認</x:v>
      </x:c>
      <x:c t="str" r="H163" s="21">
        <x:f>HYPERLINK("#'展示詳細'!A"&amp;MATCH("AC153",'展示詳細'!$A$1:$A$340,0),"AC153")</x:f>
        <x:v>AC153</x:v>
      </x:c>
      <x:c r="I163" s="7" t="str">
        <x:v>2026の具体記述：加工時間や段替え時間の短縮、設備の安定稼働を実現する最新の研削盤と状態監視システムを展示します。 / ・自動芯出しシステム（TACS）によりワーク専用部品の製作・管理負担を軽減 / ■状態監視システム TOYO Smart Doctor / 機械状態を常時監視し、設備の安定稼働に貢献します。 / ■状態監視システム TOYO Smart Doctor</x:v>
      </x:c>
      <x:c r="J163" s="7" t="str">
        <x:v>EEX-EXH-2026-bcc9173d97e5998d</x:v>
      </x:c>
      <x:c r="K163" s="7" t="str">
        <x:v>https://www.jimtof.org/search/jp/ESdetails?e=Rs5bSq_a5Nk</x:v>
      </x:c>
    </x:row>
    <x:row r="164" ht="84" customHeight="1">
      <x:c r="A164" s="7" t="str">
        <x:v>工場運用DX</x:v>
      </x:c>
      <x:c r="B164" s="7" t="str">
        <x:v>①門形五面加工機　MVR-Hx</x:v>
      </x:c>
      <x:c r="C164" s="7" t="str">
        <x:v>ニデックマシンツール株式会社</x:v>
      </x:c>
      <x:c r="D164" s="7" t="str">
        <x:v>①門形五面加工機　MVR-Hx</x:v>
      </x:c>
      <x:c r="E164" s="7" t="str">
        <x:v>E3011</x:v>
      </x:c>
      <x:c r="F164" s="7" t="str">
        <x:v>内容から分類（調査者・一次整理）</x:v>
      </x:c>
      <x:c r="G164" s="7" t="str">
        <x:v>出展説明に基づく一次分類。方式・実装権限・提供段階は個別確認</x:v>
      </x:c>
      <x:c t="str" r="H164" s="21">
        <x:f>HYPERLINK("#'展示詳細'!A"&amp;MATCH("AC172",'展示詳細'!$A$1:$A$340,0),"AC172")</x:f>
        <x:v>AC172</x:v>
      </x:c>
      <x:c r="I164" s="7" t="str">
        <x:v>2026の具体記述：「NIDECギヤ加工ソリューション」として、荒加工～仕上げ加工、量産～少量多品種・工程集約まで、ロボットや自動車に対応した最新の歯車加工ソリューションをご提案します。 / デジタルツインの活用により、加工前のシミュレーションから検証までを仮想空間で行い、効率化・省人化を実現する『未来の生産のあり方』をご提案します。 / 新開発「NC2軸アタッチメント」によるデモと、デジタルツインプラットフォーム「Nidec NC Twin」も紹介。</x:v>
      </x:c>
      <x:c r="J164" s="7" t="str">
        <x:v>EEX-EXH-2026-d31a435d31c2b6eb</x:v>
      </x:c>
      <x:c r="K164" s="7" t="str">
        <x:v>https://www.jimtof.org/search/jp/ESdetails?e=oS1WYTzqdvg</x:v>
      </x:c>
    </x:row>
    <x:row r="165" ht="84" customHeight="1">
      <x:c r="A165" s="7" t="str">
        <x:v>工場運用DX</x:v>
      </x:c>
      <x:c r="B165" s="7" t="str">
        <x:v>ゼロバックラッシュ・DD方式【トルクモーターロータリーテーブル】</x:v>
      </x:c>
      <x:c r="C165" s="7" t="str">
        <x:v>ハイウィン株式会社</x:v>
      </x:c>
      <x:c r="D165" s="7" t="str">
        <x:v>ゼロバックラッシュ・DD方式【トルクモーターロータリーテーブル】</x:v>
      </x:c>
      <x:c r="E165" s="7" t="str">
        <x:v>W2072</x:v>
      </x:c>
      <x:c r="F165" s="7" t="str">
        <x:v>内容から分類（調査者・一次整理）</x:v>
      </x:c>
      <x:c r="G165" s="7" t="str">
        <x:v>出展説明に基づく一次分類。方式・実装権限・提供段階は個別確認</x:v>
      </x:c>
      <x:c t="str" r="H165" s="21">
        <x:f>HYPERLINK("#'展示詳細'!A"&amp;MATCH("AC183",'展示詳細'!$A$1:$A$340,0),"AC183")</x:f>
        <x:v>AC183</x:v>
      </x:c>
      <x:c r="I165" s="7" t="str">
        <x:v>2026の具体記述：最高回転速度1000min⁻¹の2軸同時駆動高速ロータリーテーブルや放電加工機向け水中用DDロータリーテーブル、予知保全に貢献するi4.0シリーズ、高速・高可搬・長尺搬送を実現する単軸ロボット「KHシリーズ」をご紹介します。 / 高精度加工、重荷重搬送、多軸システム構築に対応し、工作機械の高精度化、自動化、省人化をサポートします。 / 当社では各種自動化のPoC（概念検証）から導入までのサポートなど、手厚いビフォー＆アフターサービスも日</x:v>
      </x:c>
      <x:c r="J165" s="7" t="str">
        <x:v>EEX-EXH-2026-af31f3db6da43220</x:v>
      </x:c>
      <x:c r="K165" s="7" t="str">
        <x:v>https://www.jimtof.org/search/jp/ESdetails?e=t1osgdfU2Dk</x:v>
      </x:c>
    </x:row>
    <x:row r="166" ht="84" customHeight="1">
      <x:c r="A166" s="7" t="str">
        <x:v>工場運用DX</x:v>
      </x:c>
      <x:c r="B166" s="7" t="str">
        <x:v>遠隔操作・例外対応</x:v>
      </x:c>
      <x:c r="C166" s="7" t="str">
        <x:v>パナソニックプロダクションエンジニアリング</x:v>
      </x:c>
      <x:c r="D166" s="7" t="str">
        <x:v>X-Area Remote</x:v>
      </x:c>
      <x:c r="E166" s="7" t="str">
        <x:v>W3086</x:v>
      </x:c>
      <x:c r="F166" s="7" t="str">
        <x:v>内容から分類（調査者）</x:v>
      </x:c>
      <x:c r="G166" s="7" t="str">
        <x:v>現場情報・運用・品質・保全のデータ利用</x:v>
      </x:c>
      <x:c t="str" r="H166" s="21">
        <x:f>HYPERLINK("#'展示詳細'!A"&amp;MATCH("FC031",'展示詳細'!$A$1:$A$340,0),"FC031")</x:f>
        <x:v>FC031</x:v>
      </x:c>
      <x:c r="I166" s="7" t="str">
        <x:v>データ取得・集約・計画・品質補正・保全・遠隔支援を工場運用の用途で分類。</x:v>
      </x:c>
      <x:c r="J166" s="7" t="str">
        <x:v>EOV-V016-2026-1
EOV-W05
EDP-24</x:v>
      </x:c>
      <x:c r="K166" s="7" t="str">
        <x:v>https://www.jimtof.org/search/jp/ESdetails?e=5mrMofo3nN8
https://www.panasonic.com/jp/company/ppe/products/x-area.html
https://news.panasonic.com/jp/press/jn260713-1</x:v>
      </x:c>
    </x:row>
    <x:row r="167" ht="84" customHeight="1">
      <x:c r="A167" s="7" t="str">
        <x:v>工場運用DX</x:v>
      </x:c>
      <x:c r="B167" s="7" t="str">
        <x:v>QC PRO シリーズ</x:v>
      </x:c>
      <x:c r="C167" s="7" t="str">
        <x:v>ベクトリックス株式会社</x:v>
      </x:c>
      <x:c r="D167" s="7" t="str">
        <x:v>QC PRO シリーズ</x:v>
      </x:c>
      <x:c r="E167" s="7" t="str">
        <x:v>E7029</x:v>
      </x:c>
      <x:c r="F167" s="7" t="str">
        <x:v>内容から分類（調査者・一次整理）</x:v>
      </x:c>
      <x:c r="G167" s="7" t="str">
        <x:v>出展説明に基づく一次分類。方式・実装権限・提供段階は個別確認</x:v>
      </x:c>
      <x:c t="str" r="H167" s="21">
        <x:f>HYPERLINK("#'展示詳細'!A"&amp;MATCH("AC206",'展示詳細'!$A$1:$A$340,0),"AC206")</x:f>
        <x:v>AC206</x:v>
      </x:c>
      <x:c r="I167" s="7" t="str">
        <x:v>2026の具体記述：SPC（統計的工程管理）に対応した品質管理ソフトウェア / ・検査成績書や管理図の自動作成機能 / エクセル自動入力・検査書作成ソフトウェア / ・ワイヤレス入力したデータを自動で合否判定 / ・指定日時の自動バックアップ機能 / ・回収指示書の自動メール配信 / ・QC PRO EX Plus（エクセル自動入力用ソフトウェア） / ・QC PRO MX（検査成績書自動作成ソフトウェア）</x:v>
      </x:c>
      <x:c r="J167" s="7" t="str">
        <x:v>EEX-EXH-2026-051461fc275e164d</x:v>
      </x:c>
      <x:c r="K167" s="7" t="str">
        <x:v>https://www.jimtof.org/search/jp/ESdetails?e=P5HLZf3n2dk</x:v>
      </x:c>
    </x:row>
    <x:row r="168" ht="84" customHeight="1">
      <x:c r="A168" s="7" t="str">
        <x:v>工場運用DX</x:v>
      </x:c>
      <x:c r="B168" s="7" t="str">
        <x:v>VM-M1マルチペンマーキング装置</x:v>
      </x:c>
      <x:c r="C168" s="7" t="str">
        <x:v>ベクトル株式会社</x:v>
      </x:c>
      <x:c r="D168" s="7" t="str">
        <x:v>VM-M1マルチペンマーキング装置</x:v>
      </x:c>
      <x:c r="E168" s="7" t="str">
        <x:v>W3116</x:v>
      </x:c>
      <x:c r="F168" s="7" t="str">
        <x:v>内容から分類（調査者・一次整理）</x:v>
      </x:c>
      <x:c r="G168" s="7" t="str">
        <x:v>出展説明に基づく一次分類。方式・実装権限・提供段階は個別確認</x:v>
      </x:c>
      <x:c t="str" r="H168" s="21">
        <x:f>HYPERLINK("#'展示詳細'!A"&amp;MATCH("AC207",'展示詳細'!$A$1:$A$340,0),"AC207")</x:f>
        <x:v>AC207</x:v>
      </x:c>
      <x:c r="I168" s="7" t="str">
        <x:v>2026の具体記述：日本国内の工場で製造される当社製品は、高精度・高耐久を誇り、自動車・航空・精密機械など幅広い業界で採用されています。 / 特に金属部品への深彫りや2次元コード刻印によるトレーサビリティ・IoT対応に強みを持ち、製造業のDX推進にも貢献します。</x:v>
      </x:c>
      <x:c r="J168" s="7" t="str">
        <x:v>EEX-EXH-2026-674c605ed0bd261d</x:v>
      </x:c>
      <x:c r="K168" s="7" t="str">
        <x:v>https://www.jimtof.org/search/jp/ESdetails?e=IPepQI4Pn3c</x:v>
      </x:c>
    </x:row>
    <x:row r="169" ht="84" customHeight="1">
      <x:c r="A169" s="7" t="str">
        <x:v>工場運用DX</x:v>
      </x:c>
      <x:c r="B169" s="7" t="str">
        <x:v>保全診断・知識支援</x:v>
      </x:c>
      <x:c r="C169" s="7" t="str">
        <x:v>ベッコフオートメーション</x:v>
      </x:c>
      <x:c r="D169" s="7" t="str">
        <x:v>TwinCAT CoAgent for Operations</x:v>
      </x:c>
      <x:c r="E169" s="7" t="str">
        <x:v>E2028</x:v>
      </x:c>
      <x:c r="F169" s="7" t="str">
        <x:v>内容から分類（調査者）</x:v>
      </x:c>
      <x:c r="G169" s="7" t="str">
        <x:v>現場情報・運用・品質・保全のデータ利用</x:v>
      </x:c>
      <x:c t="str" r="H169" s="21">
        <x:f>HYPERLINK("#'展示詳細'!A"&amp;MATCH("FC013",'展示詳細'!$A$1:$A$340,0),"FC013")</x:f>
        <x:v>FC013</x:v>
      </x:c>
      <x:c r="I169" s="7" t="str">
        <x:v>データ取得・集約・計画・品質補正・保全・遠隔支援を工場運用の用途で分類。</x:v>
      </x:c>
      <x:c r="J169" s="7" t="str">
        <x:v>EOV-V005-2026-1
EAT-N04
EAT-N05
EDP-03
ERF-02</x:v>
      </x:c>
      <x:c r="K169" s="7" t="str">
        <x:v>https://www.jimtof.org/search/jp/ESdetails?e=K7DqahO2h08
https://www.beckhoff.com/ko-kr/products/automation/twincat/tfxxxx-twincat-3-functions/tf1xxx-system/tf1700.html
https://www.beckhoff.com/ko-kr/products/automation/twincat-projects-with-ai-supported-engineering/
https://www.beckhoff.com/en-en/company/press/twincat-chat-using-innovative-chatbot-technology-in-twincat-engineering-2023-04.html
https://www.beckhoff.com/en-en/products/automation/twincat/tfxxxx-twincat-3-functions/tf1xxx-system/tf1700.html</x:v>
      </x:c>
    </x:row>
    <x:row r="170" ht="84" customHeight="1">
      <x:c r="A170" s="7" t="str">
        <x:v>工場運用DX</x:v>
      </x:c>
      <x:c r="B170" s="7" t="str">
        <x:v>加工信号解析</x:v>
      </x:c>
      <x:c r="C170" s="7" t="str">
        <x:v>ベッコフオートメーション</x:v>
      </x:c>
      <x:c r="D170" s="7" t="str">
        <x:v>TwinCAT CNC：切削信号の解析・独自制御</x:v>
      </x:c>
      <x:c r="E170" s="7" t="str">
        <x:v>E2028</x:v>
      </x:c>
      <x:c r="F170" s="7" t="str">
        <x:v>内容から分類（調査者）</x:v>
      </x:c>
      <x:c r="G170" s="7" t="str">
        <x:v>現場情報・運用・品質・保全のデータ利用</x:v>
      </x:c>
      <x:c t="str" r="H170" s="21">
        <x:f>HYPERLINK("#'展示詳細'!A"&amp;MATCH("FC015",'展示詳細'!$A$1:$A$340,0),"FC015")</x:f>
        <x:v>FC015</x:v>
      </x:c>
      <x:c r="I170" s="7" t="str">
        <x:v>データ取得・集約・計画・品質補正・保全・遠隔支援を工場運用の用途で分類。</x:v>
      </x:c>
      <x:c r="J170" s="7" t="str">
        <x:v>EOV-V005-2026-1</x:v>
      </x:c>
      <x:c r="K170" s="7" t="str">
        <x:v>https://www.jimtof.org/search/jp/ESdetails?e=K7DqahO2h08</x:v>
      </x:c>
    </x:row>
    <x:row r="171" ht="84" customHeight="1">
      <x:c r="A171" s="7" t="str">
        <x:v>工場運用DX</x:v>
      </x:c>
      <x:c r="B171" s="7" t="str">
        <x:v>加工信号解析</x:v>
      </x:c>
      <x:c r="C171" s="7" t="str">
        <x:v>マーポス</x:v>
      </x:c>
      <x:c r="D171" s="7" t="str">
        <x:v>ARTIS／BLU／VTS</x:v>
      </x:c>
      <x:c r="E171" s="7" t="str">
        <x:v>E7087</x:v>
      </x:c>
      <x:c r="F171" s="7" t="str">
        <x:v>内容から分類（調査者）</x:v>
      </x:c>
      <x:c r="G171" s="7" t="str">
        <x:v>現場情報・運用・品質・保全のデータ利用</x:v>
      </x:c>
      <x:c t="str" r="H171" s="21">
        <x:f>HYPERLINK("#'展示詳細'!A"&amp;MATCH("FC035",'展示詳細'!$A$1:$A$340,0),"FC035")</x:f>
        <x:v>FC035</x:v>
      </x:c>
      <x:c r="I171" s="7" t="str">
        <x:v>データ取得・集約・計画・品質補正・保全・遠隔支援を工場運用の用途で分類。</x:v>
      </x:c>
      <x:c r="J171" s="7" t="str">
        <x:v>EOV-V020-2026-1</x:v>
      </x:c>
      <x:c r="K171" s="7" t="str">
        <x:v>https://www.jimtof.org/search/jp/ESdetails?e=tThKOA-gm8s</x:v>
      </x:c>
    </x:row>
    <x:row r="172" ht="84" customHeight="1">
      <x:c r="A172" s="7" t="str">
        <x:v>工場運用DX</x:v>
      </x:c>
      <x:c r="B172" s="7" t="str">
        <x:v>保全診断・知識支援</x:v>
      </x:c>
      <x:c r="C172" s="7" t="str">
        <x:v>ミロクリエ</x:v>
      </x:c>
      <x:c r="D172" s="7" t="str">
        <x:v>ミロクルAI保全ナビ／分析レポート</x:v>
      </x:c>
      <x:c r="E172" s="7" t="str">
        <x:v>E2016</x:v>
      </x:c>
      <x:c r="F172" s="7" t="str">
        <x:v>内容から分類（調査者）</x:v>
      </x:c>
      <x:c r="G172" s="7" t="str">
        <x:v>現場情報・運用・品質・保全のデータ利用</x:v>
      </x:c>
      <x:c t="str" r="H172" s="21">
        <x:f>HYPERLINK("#'展示詳細'!A"&amp;MATCH("FC058",'展示詳細'!$A$1:$A$340,0),"FC058")</x:f>
        <x:v>FC058</x:v>
      </x:c>
      <x:c r="I172" s="7" t="str">
        <x:v>データ取得・集約・計画・品質補正・保全・遠隔支援を工場運用の用途で分類。</x:v>
      </x:c>
      <x:c r="J172" s="7" t="str">
        <x:v>EOV-V038-2026-1</x:v>
      </x:c>
      <x:c r="K172" s="7" t="str">
        <x:v>https://www.jimtof.org/search/jp/ESdetails?e=IQhLnLagU5I</x:v>
      </x:c>
    </x:row>
    <x:row r="173" ht="84" customHeight="1">
      <x:c r="A173" s="7" t="str">
        <x:v>工場運用DX</x:v>
      </x:c>
      <x:c r="B173" s="7" t="str">
        <x:v>異機種・旧設備の接続</x:v>
      </x:c>
      <x:c r="C173" s="7" t="str">
        <x:v>ミロクリエ</x:v>
      </x:c>
      <x:c r="D173" s="7" t="str">
        <x:v>ミロクルAIメーター読み取り</x:v>
      </x:c>
      <x:c r="E173" s="7" t="str">
        <x:v>E2016</x:v>
      </x:c>
      <x:c r="F173" s="7" t="str">
        <x:v>内容から分類（調査者）</x:v>
      </x:c>
      <x:c r="G173" s="7" t="str">
        <x:v>現場情報・運用・品質・保全のデータ利用</x:v>
      </x:c>
      <x:c t="str" r="H173" s="21">
        <x:f>HYPERLINK("#'展示詳細'!A"&amp;MATCH("FC059",'展示詳細'!$A$1:$A$340,0),"FC059")</x:f>
        <x:v>FC059</x:v>
      </x:c>
      <x:c r="I173" s="7" t="str">
        <x:v>データ取得・集約・計画・品質補正・保全・遠隔支援を工場運用の用途で分類。</x:v>
      </x:c>
      <x:c r="J173" s="7" t="str">
        <x:v>EOV-V038-2026-1</x:v>
      </x:c>
      <x:c r="K173" s="7" t="str">
        <x:v>https://www.jimtof.org/search/jp/ESdetails?e=IQhLnLagU5I</x:v>
      </x:c>
    </x:row>
    <x:row r="174" ht="84" customHeight="1">
      <x:c r="A174" s="7" t="str">
        <x:v>工場運用DX</x:v>
      </x:c>
      <x:c r="B174" s="7" t="str">
        <x:v>中小製造業向け生産管理システム「GrowingMIS」</x:v>
      </x:c>
      <x:c r="C174" s="7" t="str">
        <x:v>ムラテックフロンティア株式会社</x:v>
      </x:c>
      <x:c r="D174" s="7" t="str">
        <x:v>中小製造業向け生産管理システム「GrowingMIS」</x:v>
      </x:c>
      <x:c r="E174" s="7" t="str">
        <x:v>S3012</x:v>
      </x:c>
      <x:c r="F174" s="7" t="str">
        <x:v>内容から分類（調査者・一次整理）</x:v>
      </x:c>
      <x:c r="G174" s="7" t="str">
        <x:v>出展説明に基づく一次分類。方式・実装権限・提供段階は個別確認</x:v>
      </x:c>
      <x:c t="str" r="H174" s="21">
        <x:f>HYPERLINK("#'展示詳細'!A"&amp;MATCH("AC226",'展示詳細'!$A$1:$A$340,0),"AC226")</x:f>
        <x:v>AC226</x:v>
      </x:c>
      <x:c r="I174" s="7" t="str">
        <x:v>2026の具体記述：私たちは産業機械メーカーである村田機械グループで蓄積されたノウハウを活かして開発した生産管理システムを多岐にわたる製造業のお客様に提供してきました。 / 多種多様な製品を取り扱う村田機械グループにおいて、大量生産は元より多品種少量生産の現場で厳しく鍛えられてきた私たちは、生産管理に求められる本当のニーズを知っています。 / 今回の出展では、金属加工や装置組立などの製造業に適した生産管理システム製品を始め、人手不足や属人化といった製造業の</x:v>
      </x:c>
      <x:c r="J174" s="7" t="str">
        <x:v>EEX-EXH-2026-859260bbab50e467</x:v>
      </x:c>
      <x:c r="K174" s="7" t="str">
        <x:v>https://www.jimtof.org/search/jp/ESdetails?e=YWmIOEUq2KQ</x:v>
      </x:c>
    </x:row>
    <x:row r="175" ht="84" customHeight="1">
      <x:c r="A175" s="7" t="str">
        <x:v>工場運用DX</x:v>
      </x:c>
      <x:c r="B175" s="7" t="str">
        <x:v>プライマリドクタサービス：稼働中データのAI診断</x:v>
      </x:c>
      <x:c r="C175" s="7" t="str">
        <x:v>ムラテックＣＣＳ株式会社</x:v>
      </x:c>
      <x:c r="D175" s="7" t="str">
        <x:v>プライマリドクタサービス：稼働中データのAI診断</x:v>
      </x:c>
      <x:c r="E175" s="7" t="str">
        <x:v>E3031</x:v>
      </x:c>
      <x:c r="F175" s="7" t="str">
        <x:v>内容から分類（調査者・一次整理）</x:v>
      </x:c>
      <x:c r="G175" s="7" t="str">
        <x:v>出展説明に基づく一次分類。方式・実装権限・提供段階は個別確認</x:v>
      </x:c>
      <x:c t="str" r="H175" s="21">
        <x:f>HYPERLINK("#'展示詳細'!A"&amp;MATCH("AC225",'展示詳細'!$A$1:$A$340,0),"AC225")</x:f>
        <x:v>AC225</x:v>
      </x:c>
      <x:c r="I175" s="7" t="str">
        <x:v>2026の具体記述：■AIを利用したリモート診断システム</x:v>
      </x:c>
      <x:c r="J175" s="7" t="str">
        <x:v>EEX-EXH-2026-308c5194f12fe009
EDP-13</x:v>
      </x:c>
      <x:c r="K175" s="7" t="str">
        <x:v>https://www.jimtof.org/search/jp/ESdetails?e=Z_SbvK_hxBY
https://www.muratec.jp/company/ti/rd/detail.php?id=7540</x:v>
      </x:c>
    </x:row>
    <x:row r="176" ht="84" customHeight="1">
      <x:c r="A176" s="7" t="str">
        <x:v>工場運用DX</x:v>
      </x:c>
      <x:c r="B176" s="7" t="str">
        <x:v>工具寿命・交換提案</x:v>
      </x:c>
      <x:c r="C176" s="7" t="str">
        <x:v>モリマシナリー</x:v>
      </x:c>
      <x:c r="D176" s="7" t="str">
        <x:v>ツールコラージュアナライザー</x:v>
      </x:c>
      <x:c r="E176" s="7" t="str">
        <x:v>S3048</x:v>
      </x:c>
      <x:c r="F176" s="7" t="str">
        <x:v>内容から分類（調査者）</x:v>
      </x:c>
      <x:c r="G176" s="7" t="str">
        <x:v>現場情報・運用・品質・保全のデータ利用</x:v>
      </x:c>
      <x:c t="str" r="H176" s="21">
        <x:f>HYPERLINK("#'展示詳細'!A"&amp;MATCH("FC040",'展示詳細'!$A$1:$A$340,0),"FC040")</x:f>
        <x:v>FC040</x:v>
      </x:c>
      <x:c r="I176" s="7" t="str">
        <x:v>データ取得・集約・計画・品質補正・保全・遠隔支援を工場運用の用途で分類。</x:v>
      </x:c>
      <x:c r="J176" s="7" t="str">
        <x:v>EOV-V024-2026-1
EOV-W08</x:v>
      </x:c>
      <x:c r="K176" s="7" t="str">
        <x:v>https://www.jimtof.org/search/jp/ESdetails?e=ZvT3Lci-hnM
https://mori-machinery.com/wp-content/uploads/2023/06/%E7%86%9F%E7%B7%B4%E8%80%85%E3%81%AE%E7%B5%8C%E9%A8%93%E7%9F%A5%E3%82%92%E3%82%82%E3%81%A8%E3%81%AB%E5%88%87%E5%89%8A%E5%B7%A5%E5%85%B7%E3%81%AE%E6%AC%A0%E3%81%91%E3%83%BB%E6%91%A9%E8%80%97%E3%83%BB%E5%AF%BF%E5%91%BD%E3%82%92%E6%8E%A8%E5%AE%9A%E3%81%99%E3%82%8BAI%E3%82%92%E9%96%8B%E7%99%BA.pdf</x:v>
      </x:c>
    </x:row>
    <x:row r="177" ht="84" customHeight="1">
      <x:c r="A177" s="7" t="str">
        <x:v>工場運用DX</x:v>
      </x:c>
      <x:c r="B177" s="7" t="str">
        <x:v>工具在庫・供給</x:v>
      </x:c>
      <x:c r="C177" s="7" t="str">
        <x:v>モリマシナリー</x:v>
      </x:c>
      <x:c r="D177" s="7" t="str">
        <x:v>ツールソムリエ</x:v>
      </x:c>
      <x:c r="E177" s="7" t="str">
        <x:v>S3048</x:v>
      </x:c>
      <x:c r="F177" s="7" t="str">
        <x:v>内容から分類（調査者）</x:v>
      </x:c>
      <x:c r="G177" s="7" t="str">
        <x:v>現場情報・運用・品質・保全のデータ利用</x:v>
      </x:c>
      <x:c t="str" r="H177" s="21">
        <x:f>HYPERLINK("#'展示詳細'!A"&amp;MATCH("FC041",'展示詳細'!$A$1:$A$340,0),"FC041")</x:f>
        <x:v>FC041</x:v>
      </x:c>
      <x:c r="I177" s="7" t="str">
        <x:v>データ取得・集約・計画・品質補正・保全・遠隔支援を工場運用の用途で分類。</x:v>
      </x:c>
      <x:c r="J177" s="7" t="str">
        <x:v>EOV-V024-2026-1</x:v>
      </x:c>
      <x:c r="K177" s="7" t="str">
        <x:v>https://www.jimtof.org/search/jp/ESdetails?e=ZvT3Lci-hnM</x:v>
      </x:c>
    </x:row>
    <x:row r="178" ht="84" customHeight="1">
      <x:c r="A178" s="7" t="str">
        <x:v>工場運用DX</x:v>
      </x:c>
      <x:c r="B178" s="7" t="str">
        <x:v>UNITED GRINDING GROUP</x:v>
      </x:c>
      <x:c r="C178" s="7" t="str">
        <x:v>ユナイテッドグラインディング株式会社</x:v>
      </x:c>
      <x:c r="D178" s="7" t="str">
        <x:v>UNITED GRINDING GROUP</x:v>
      </x:c>
      <x:c r="E178" s="7" t="str">
        <x:v>E8001</x:v>
      </x:c>
      <x:c r="F178" s="7" t="str">
        <x:v>内容から分類（調査者・一次整理）</x:v>
      </x:c>
      <x:c r="G178" s="7" t="str">
        <x:v>出展説明に基づく一次分類。方式・実装権限・提供段階は個別確認</x:v>
      </x:c>
      <x:c t="str" r="H178" s="21">
        <x:f>HYPERLINK("#'展示詳細'!A"&amp;MATCH("AC235",'展示詳細'!$A$1:$A$340,0),"AC235")</x:f>
        <x:v>AC235</x:v>
      </x:c>
      <x:c r="I178" s="7" t="str">
        <x:v>2026の具体記述：工具製造から測定、自動化までをカバーするトータルソリューションをご紹介します。 / さらにBLOHM、JUNG、の技術・サービスもご紹介し、お客様の生産性向上、高精度化、自動化、省人化を支援します。 / ・AUTOMATED TOOL PRODUCTION（ATP）自動化責任者来日。 / 工具製造自動化のノウハウを直接ご相談いただけます。 / 工具製造、再研磨、測定、自動化までを含めたトータルソリューションをご提案いたします。</x:v>
      </x:c>
      <x:c r="J178" s="7" t="str">
        <x:v>EEX-EXH-2026-54c4a3eb1080a3bb</x:v>
      </x:c>
      <x:c r="K178" s="7" t="str">
        <x:v>https://www.jimtof.org/search/jp/ESdetails?e=21UIMFf4EUI</x:v>
      </x:c>
    </x:row>
    <x:row r="179" ht="84" customHeight="1">
      <x:c r="A179" s="7" t="str">
        <x:v>工場運用DX</x:v>
      </x:c>
      <x:c r="B179" s="7" t="str">
        <x:v>高精度3Dフェムト秒レーザ加工機、CUT P 350 ワイヤ放電加工機</x:v>
      </x:c>
      <x:c r="C179" s="7" t="str">
        <x:v>ユナイテッドマシニング株式会社</x:v>
      </x:c>
      <x:c r="D179" s="7" t="str">
        <x:v>高精度3Dフェムト秒レーザ加工機、CUT P 350 ワイヤ放電加工機</x:v>
      </x:c>
      <x:c r="E179" s="7" t="str">
        <x:v>E8001</x:v>
      </x:c>
      <x:c r="F179" s="7" t="str">
        <x:v>内容から分類（調査者・一次整理）</x:v>
      </x:c>
      <x:c r="G179" s="7" t="str">
        <x:v>出展説明に基づく一次分類。方式・実装権限・提供段階は個別確認</x:v>
      </x:c>
      <x:c t="str" r="H179" s="21">
        <x:f>HYPERLINK("#'展示詳細'!A"&amp;MATCH("AC236",'展示詳細'!$A$1:$A$340,0),"AC236")</x:f>
        <x:v>AC236</x:v>
      </x:c>
      <x:c r="I179" s="7" t="str">
        <x:v>2026の具体記述：さらに、高性能スピンドル、自動化、デジタル化ソリューションにより、直感的な操作を通じて生産性・効率・使いやすさを向上させます。</x:v>
      </x:c>
      <x:c r="J179" s="7" t="str">
        <x:v>EEX-EXH-2026-0c463f125124710f</x:v>
      </x:c>
      <x:c r="K179" s="7" t="str">
        <x:v>https://www.jimtof.org/search/jp/ESdetails?e=C2YWs9rQy3U</x:v>
      </x:c>
    </x:row>
    <x:row r="180" ht="84" customHeight="1">
      <x:c r="A180" s="7" t="str">
        <x:v>工場運用DX</x:v>
      </x:c>
      <x:c r="B180" s="7" t="str">
        <x:v>制御盤用筐体 VX</x:v>
      </x:c>
      <x:c r="C180" s="7" t="str">
        <x:v>リタール株式会社</x:v>
      </x:c>
      <x:c r="D180" s="7" t="str">
        <x:v>制御盤用筐体 VX</x:v>
      </x:c>
      <x:c r="E180" s="7" t="str">
        <x:v>S1067</x:v>
      </x:c>
      <x:c r="F180" s="7" t="str">
        <x:v>内容から分類（調査者・一次整理）</x:v>
      </x:c>
      <x:c r="G180" s="7" t="str">
        <x:v>出展説明に基づく一次分類。方式・実装権限・提供段階は個別確認</x:v>
      </x:c>
      <x:c t="str" r="H180" s="21">
        <x:f>HYPERLINK("#'展示詳細'!A"&amp;MATCH("AC240",'展示詳細'!$A$1:$A$340,0),"AC240")</x:f>
        <x:v>AC240</x:v>
      </x:c>
      <x:c r="I180" s="7" t="str">
        <x:v>2026の具体記述：国際規格を多数取得、高い保護等級を有するリタールの盤用筐体や小型ボックス各種、工作機械の操作盤に最適の高さ調節式サポートアームシステム、オープンプラットフォームのバスバーシステム、そして、製造業のIoT化を推進するクーラー付ITラック・エッジコンピューティング用ラックも展示します。</x:v>
      </x:c>
      <x:c r="J180" s="7" t="str">
        <x:v>EEX-EXH-2026-ede0d52617ac3762</x:v>
      </x:c>
      <x:c r="K180" s="7" t="str">
        <x:v>https://www.jimtof.org/search/jp/ESdetails?e=20GFOkXi--c</x:v>
      </x:c>
    </x:row>
    <x:row r="181" ht="84" customHeight="1">
      <x:c r="A181" s="7" t="str">
        <x:v>工場運用DX</x:v>
      </x:c>
      <x:c r="B181" s="7" t="str">
        <x:v>測定から加工へ補正</x:v>
      </x:c>
      <x:c r="C181" s="7" t="str">
        <x:v>レニショー</x:v>
      </x:c>
      <x:c r="D181" s="7" t="str">
        <x:v>Renishaw Central＋IPC</x:v>
      </x:c>
      <x:c r="E181" s="7" t="str">
        <x:v>E7089</x:v>
      </x:c>
      <x:c r="F181" s="7" t="str">
        <x:v>内容から分類（調査者）</x:v>
      </x:c>
      <x:c r="G181" s="7" t="str">
        <x:v>現場情報・運用・品質・保全のデータ利用</x:v>
      </x:c>
      <x:c t="str" r="H181" s="21">
        <x:f>HYPERLINK("#'展示詳細'!A"&amp;MATCH("FC033",'展示詳細'!$A$1:$A$340,0),"FC033")</x:f>
        <x:v>FC033</x:v>
      </x:c>
      <x:c r="I181" s="7" t="str">
        <x:v>データ取得・集約・計画・品質補正・保全・遠隔支援を工場運用の用途で分類。</x:v>
      </x:c>
      <x:c r="J181" s="7" t="str">
        <x:v>EOV-V018-2026-1</x:v>
      </x:c>
      <x:c r="K181" s="7" t="str">
        <x:v>https://www.jimtof.org/search/jp/ESdetails?e=pYGmVz5GC1c</x:v>
      </x:c>
    </x:row>
    <x:row r="182" ht="84" customHeight="1">
      <x:c r="A182" s="7" t="str">
        <x:v>工場運用DX</x:v>
      </x:c>
      <x:c r="B182" s="7" t="str">
        <x:v>工場内搬送</x:v>
      </x:c>
      <x:c r="C182" s="7" t="str">
        <x:v>三菱商事テクノス</x:v>
      </x:c>
      <x:c r="D182" s="7" t="str">
        <x:v>ロボット＋AMRの工程間連携デモ</x:v>
      </x:c>
      <x:c r="E182" s="7" t="str">
        <x:v>S3100</x:v>
      </x:c>
      <x:c r="F182" s="7" t="str">
        <x:v>内容から分類（調査者）</x:v>
      </x:c>
      <x:c r="G182" s="7" t="str">
        <x:v>現場情報・運用・品質・保全のデータ利用</x:v>
      </x:c>
      <x:c t="str" r="H182" s="21">
        <x:f>HYPERLINK("#'展示詳細'!A"&amp;MATCH("FC067",'展示詳細'!$A$1:$A$340,0),"FC067")</x:f>
        <x:v>FC067</x:v>
      </x:c>
      <x:c r="I182" s="7" t="str">
        <x:v>データ取得・集約・計画・品質補正・保全・遠隔支援を工場運用の用途で分類。</x:v>
      </x:c>
      <x:c r="J182" s="7" t="str">
        <x:v>EAT-V044-2026-1</x:v>
      </x:c>
      <x:c r="K182" s="7" t="str">
        <x:v>https://www.jimtof.org/search/jp/ESdetails?e=YIwM2AR4N4M</x:v>
      </x:c>
    </x:row>
    <x:row r="183" ht="84" customHeight="1">
      <x:c r="A183" s="7" t="str">
        <x:v>工場運用DX</x:v>
      </x:c>
      <x:c r="B183" s="7" t="str">
        <x:v>加工信号解析</x:v>
      </x:c>
      <x:c r="C183" s="7" t="str">
        <x:v>三菱電機</x:v>
      </x:c>
      <x:c r="D183" s="7" t="str">
        <x:v>NC MachiningAID（2024）／2026 CNC省人化</x:v>
      </x:c>
      <x:c r="E183" s="7" t="str">
        <x:v>S2003</x:v>
      </x:c>
      <x:c r="F183" s="7" t="str">
        <x:v>内容から分類（調査者）</x:v>
      </x:c>
      <x:c r="G183" s="7" t="str">
        <x:v>現場情報・運用・品質・保全のデータ利用</x:v>
      </x:c>
      <x:c t="str" r="H183" s="21">
        <x:f>HYPERLINK("#'展示詳細'!A"&amp;MATCH("FC064",'展示詳細'!$A$1:$A$340,0),"FC064")</x:f>
        <x:v>FC064</x:v>
      </x:c>
      <x:c r="I183" s="7" t="str">
        <x:v>データ取得・集約・計画・品質補正・保全・遠隔支援を工場運用の用途で分類。</x:v>
      </x:c>
      <x:c r="J183" s="7" t="str">
        <x:v>EAT-V043-2026-1</x:v>
      </x:c>
      <x:c r="K183" s="7" t="str">
        <x:v>https://www.jimtof.org/search/jp/ESdetails?e=AjLnzm01WWU</x:v>
      </x:c>
    </x:row>
    <x:row r="184" ht="84" customHeight="1">
      <x:c r="A184" s="7" t="str">
        <x:v>工場運用DX</x:v>
      </x:c>
      <x:c r="B184" s="7" t="str">
        <x:v>計画変更・負荷調整</x:v>
      </x:c>
      <x:c r="C184" s="7" t="str">
        <x:v>三菱電機</x:v>
      </x:c>
      <x:c r="D184" s="7" t="str">
        <x:v>放電加工の新開発スケジューラ</x:v>
      </x:c>
      <x:c r="E184" s="7" t="str">
        <x:v>S2003</x:v>
      </x:c>
      <x:c r="F184" s="7" t="str">
        <x:v>内容から分類（調査者）</x:v>
      </x:c>
      <x:c r="G184" s="7" t="str">
        <x:v>現場情報・運用・品質・保全のデータ利用</x:v>
      </x:c>
      <x:c t="str" r="H184" s="21">
        <x:f>HYPERLINK("#'展示詳細'!A"&amp;MATCH("FC065",'展示詳細'!$A$1:$A$340,0),"FC065")</x:f>
        <x:v>FC065</x:v>
      </x:c>
      <x:c r="I184" s="7" t="str">
        <x:v>データ取得・集約・計画・品質補正・保全・遠隔支援を工場運用の用途で分類。</x:v>
      </x:c>
      <x:c r="J184" s="7" t="str">
        <x:v>EAT-V043-2026-1</x:v>
      </x:c>
      <x:c r="K184" s="7" t="str">
        <x:v>https://www.jimtof.org/search/jp/ESdetails?e=AjLnzm01WWU</x:v>
      </x:c>
    </x:row>
    <x:row r="185" ht="84" customHeight="1">
      <x:c r="A185" s="7" t="str">
        <x:v>工場運用DX</x:v>
      </x:c>
      <x:c r="B185" s="7" t="str">
        <x:v>遠隔操作・例外対応</x:v>
      </x:c>
      <x:c r="C185" s="7" t="str">
        <x:v>三菱電機</x:v>
      </x:c>
      <x:c r="D185" s="7" t="str">
        <x:v>遠隔保守サポート／スマート保全</x:v>
      </x:c>
      <x:c r="E185" s="7" t="str">
        <x:v>S2003</x:v>
      </x:c>
      <x:c r="F185" s="7" t="str">
        <x:v>内容から分類（調査者）</x:v>
      </x:c>
      <x:c r="G185" s="7" t="str">
        <x:v>現場情報・運用・品質・保全のデータ利用</x:v>
      </x:c>
      <x:c t="str" r="H185" s="21">
        <x:f>HYPERLINK("#'展示詳細'!A"&amp;MATCH("FC066",'展示詳細'!$A$1:$A$340,0),"FC066")</x:f>
        <x:v>FC066</x:v>
      </x:c>
      <x:c r="I185" s="7" t="str">
        <x:v>データ取得・集約・計画・品質補正・保全・遠隔支援を工場運用の用途で分類。</x:v>
      </x:c>
      <x:c r="J185" s="7" t="str">
        <x:v>EAT-V043-2026-1</x:v>
      </x:c>
      <x:c r="K185" s="7" t="str">
        <x:v>https://www.jimtof.org/search/jp/ESdetails?e=AjLnzm01WWU</x:v>
      </x:c>
    </x:row>
    <x:row r="186" ht="84" customHeight="1">
      <x:c r="A186" s="7" t="str">
        <x:v>工場運用DX</x:v>
      </x:c>
      <x:c r="B186" s="7" t="str">
        <x:v>ZEISS社　コンパクトクラス高機能3Dスキャナ / ATOS Q</x:v>
      </x:c>
      <x:c r="C186" s="7" t="str">
        <x:v>丸紅情報システムズ株式会社</x:v>
      </x:c>
      <x:c r="D186" s="7" t="str">
        <x:v>ZEISS社　コンパクトクラス高機能3Dスキャナ / ATOS Q</x:v>
      </x:c>
      <x:c r="E186" s="7" t="str">
        <x:v>S3081</x:v>
      </x:c>
      <x:c r="F186" s="7" t="str">
        <x:v>内容から分類（調査者・一次整理）</x:v>
      </x:c>
      <x:c r="G186" s="7" t="str">
        <x:v>出展説明に基づく一次分類。方式・実装権限・提供段階は個別確認</x:v>
      </x:c>
      <x:c t="str" r="H186" s="21">
        <x:f>HYPERLINK("#'展示詳細'!A"&amp;MATCH("AC215",'展示詳細'!$A$1:$A$340,0),"AC215")</x:f>
        <x:v>AC215</x:v>
      </x:c>
      <x:c r="I186" s="7" t="str">
        <x:v>2026の具体記述：「製造DX x 非接触3Dスキャナで計測工程を刷新」 / ZEISS社の3Dスキャナを軸に、製品の検査・品質管理から始まり、取得した3次元測定データと既存のCAMデータを活用し、金型加工（肉盛り補修など）の最適化を行うなど様々な事例をご紹介いたします。 / 3Dスキャナも据え置き式はもちろん、ロボットを利用した自動化システム、ハンディタイプなど様々ラインナップしております。 / その他生産管理システム（MES)や、現物にCADデータをA</x:v>
      </x:c>
      <x:c r="J186" s="7" t="str">
        <x:v>EEX-EXH-2026-724ec4dafc442c95</x:v>
      </x:c>
      <x:c r="K186" s="7" t="str">
        <x:v>https://www.jimtof.org/search/jp/ESdetails?e=CYlrKSmBqPU</x:v>
      </x:c>
    </x:row>
    <x:row r="187" ht="84" customHeight="1">
      <x:c r="A187" s="7" t="str">
        <x:v>工場運用DX</x:v>
      </x:c>
      <x:c r="B187" s="7" t="str">
        <x:v>旋削工具、回転工具・ソリッド工具</x:v>
      </x:c>
      <x:c r="C187" s="7" t="str">
        <x:v>京セラ株式会社</x:v>
      </x:c>
      <x:c r="D187" s="7" t="str">
        <x:v>旋削工具、回転工具・ソリッド工具</x:v>
      </x:c>
      <x:c r="E187" s="7" t="str">
        <x:v>W1046</x:v>
      </x:c>
      <x:c r="F187" s="7" t="str">
        <x:v>内容から分類（調査者・一次整理）</x:v>
      </x:c>
      <x:c r="G187" s="7" t="str">
        <x:v>出展説明に基づく一次分類。方式・実装権限・提供段階は個別確認</x:v>
      </x:c>
      <x:c t="str" r="H187" s="21">
        <x:f>HYPERLINK("#'展示詳細'!A"&amp;MATCH("AC062",'展示詳細'!$A$1:$A$340,0),"AC062")</x:f>
        <x:v>AC062</x:v>
      </x:c>
      <x:c r="I187" s="7" t="str">
        <x:v>2026の具体記述：京セラは「Creating Sustainable Value in Machining」をコンセプトに出展します。 / 加工状態を可視化・監視・分析するセンシングソリューション「VIMOA」、工具選定を支援する「EASY TOOL GUIDE」を展示し、生産現場のDX推進を支援します。 / また、CAD／CAMメーカー様や加工ユーザー様との連携事例を通じ、加工課題の解決につながる最適なソリューションを紹介します。</x:v>
      </x:c>
      <x:c r="J187" s="7" t="str">
        <x:v>EEX-EXH-2026-916418fd838030de</x:v>
      </x:c>
      <x:c r="K187" s="7" t="str">
        <x:v>https://www.jimtof.org/search/jp/ESdetails?e=E4SA18YM2G4</x:v>
      </x:c>
    </x:row>
    <x:row r="188" ht="84" customHeight="1">
      <x:c r="A188" s="7" t="str">
        <x:v>工場運用DX</x:v>
      </x:c>
      <x:c r="B188" s="7" t="str">
        <x:v>ELHA社(ドイツ)大型特注工作機械　https://www.elha.de/ja/</x:v>
      </x:c>
      <x:c r="C188" s="7" t="str">
        <x:v>伊藤忠マシンテクノス株式会社</x:v>
      </x:c>
      <x:c r="D188" s="7" t="str">
        <x:v>ELHA社(ドイツ)大型特注工作機械　https://www.elha.de/ja/</x:v>
      </x:c>
      <x:c r="E188" s="7" t="str">
        <x:v>E1002</x:v>
      </x:c>
      <x:c r="F188" s="7" t="str">
        <x:v>内容から分類（調査者・一次整理）</x:v>
      </x:c>
      <x:c r="G188" s="7" t="str">
        <x:v>出展説明に基づく一次分類。方式・実装権限・提供段階は個別確認</x:v>
      </x:c>
      <x:c t="str" r="H188" s="21">
        <x:f>HYPERLINK("#'展示詳細'!A"&amp;MATCH("AC019",'展示詳細'!$A$1:$A$340,0),"AC019")</x:f>
        <x:v>AC019</x:v>
      </x:c>
      <x:c r="I188" s="7" t="str">
        <x:v>2026の具体記述：本展示では、加工機単体の提案に留まらず、超重量AGV等を用いた「自動搬送システム」や、最先端AIテクノロジーを活用した「Physical AI・Iot,DXへのAI活用」など次世代のスマートファクトリー実現に向けた最新商材を幅広くラインナップしています。 / 加工・自動化・AI・DXの最新トレンドを体感できるブースへ、ぜひお越しください。 / ・ロボットリアルタイムティーチングソフト / ・Physical AI　二次開発&amp;統合システム</x:v>
      </x:c>
      <x:c r="J188" s="7" t="str">
        <x:v>EEX-EXH-2026-41dc1e5513fe9737</x:v>
      </x:c>
      <x:c r="K188" s="7" t="str">
        <x:v>https://www.jimtof.org/search/jp/ESdetails?e=7ypX6WR51KU</x:v>
      </x:c>
    </x:row>
    <x:row r="189" ht="84" customHeight="1">
      <x:c r="A189" s="7" t="str">
        <x:v>工場運用DX</x:v>
      </x:c>
      <x:c r="B189" s="7" t="str">
        <x:v>全自動計測システム　HP-6040V-FA</x:v>
      </x:c>
      <x:c r="C189" s="7" t="str">
        <x:v>共立精機株式会社</x:v>
      </x:c>
      <x:c r="D189" s="7" t="str">
        <x:v>全自動計測システム　HP-6040V-FA</x:v>
      </x:c>
      <x:c r="E189" s="7" t="str">
        <x:v>W2025</x:v>
      </x:c>
      <x:c r="F189" s="7" t="str">
        <x:v>内容から分類（調査者・一次整理）</x:v>
      </x:c>
      <x:c r="G189" s="7" t="str">
        <x:v>出展説明に基づく一次分類。方式・実装権限・提供段階は個別確認</x:v>
      </x:c>
      <x:c t="str" r="H189" s="21">
        <x:f>HYPERLINK("#'展示詳細'!A"&amp;MATCH("AC063",'展示詳細'!$A$1:$A$340,0),"AC063")</x:f>
        <x:v>AC063</x:v>
      </x:c>
      <x:c r="I189" s="7" t="str">
        <x:v>2026の具体記述：全自動ツールプリセッタ HP‑6040V‑FA は、締緩装置やロボット搬送との組み合わせにより、工具交換から突き出し量調整、刃先測定までを連続して自動化し、プリセット作業の効率を高める。 / チップチェンジャは、工具先端のチップを自動で交換する装置で、交換作業を迅速化し、段取り時間の短縮と作業負荷の軽減を実現する。 / 全自動計測システム　HP-6040V-FA / インサート自動交換装置 チップチェンジャ</x:v>
      </x:c>
      <x:c r="J189" s="7" t="str">
        <x:v>EEX-EXH-2026-1c8938d47b63e4bb</x:v>
      </x:c>
      <x:c r="K189" s="7" t="str">
        <x:v>https://www.jimtof.org/search/jp/ESdetails?e=9k7ro8sL0VA</x:v>
      </x:c>
    </x:row>
    <x:row r="190" ht="84" customHeight="1">
      <x:c r="A190" s="7" t="str">
        <x:v>工場運用DX</x:v>
      </x:c>
      <x:c r="B190" s="7" t="str">
        <x:v>図面検索・見積・調達</x:v>
      </x:c>
      <x:c r="C190" s="7" t="str">
        <x:v>匠技研工業</x:v>
      </x:c>
      <x:c r="D190" s="7" t="str">
        <x:v>匠フォース：業務AIエージェント</x:v>
      </x:c>
      <x:c r="E190" s="7" t="str">
        <x:v>S3011</x:v>
      </x:c>
      <x:c r="F190" s="7" t="str">
        <x:v>内容から分類（調査者）</x:v>
      </x:c>
      <x:c r="G190" s="7" t="str">
        <x:v>現場情報・運用・品質・保全のデータ利用</x:v>
      </x:c>
      <x:c t="str" r="H190" s="21">
        <x:f>HYPERLINK("#'展示詳細'!A"&amp;MATCH("FC062",'展示詳細'!$A$1:$A$340,0),"FC062")</x:f>
        <x:v>FC062</x:v>
      </x:c>
      <x:c r="I190" s="7" t="str">
        <x:v>データ取得・集約・計画・品質補正・保全・遠隔支援を工場運用の用途で分類。</x:v>
      </x:c>
      <x:c r="J190" s="7" t="str">
        <x:v>EOV-V041-2026-1
EDP-05</x:v>
      </x:c>
      <x:c r="K190" s="7" t="str">
        <x:v>https://www.jimtof.org/search/jp/ESdetails?e=i_4zCxJP258
https://prtimes.jp/main/html/rd/p/000000031.000057137.html</x:v>
      </x:c>
    </x:row>
    <x:row r="191" ht="84" customHeight="1">
      <x:c r="A191" s="7" t="str">
        <x:v>工場運用DX</x:v>
      </x:c>
      <x:c r="B191" s="7" t="str">
        <x:v>【RDI】</x:v>
      </x:c>
      <x:c r="C191" s="7" t="str">
        <x:v>山口産業株式会社</x:v>
      </x:c>
      <x:c r="D191" s="7" t="str">
        <x:v>【RDI】</x:v>
      </x:c>
      <x:c r="E191" s="7" t="str">
        <x:v>E7032</x:v>
      </x:c>
      <x:c r="F191" s="7" t="str">
        <x:v>内容から分類（調査者・一次整理）</x:v>
      </x:c>
      <x:c r="G191" s="7" t="str">
        <x:v>出展説明に基づく一次分類。方式・実装権限・提供段階は個別確認</x:v>
      </x:c>
      <x:c t="str" r="H191" s="21">
        <x:f>HYPERLINK("#'展示詳細'!A"&amp;MATCH("AC231",'展示詳細'!$A$1:$A$340,0),"AC231")</x:f>
        <x:v>AC231</x:v>
      </x:c>
      <x:c r="I191" s="7" t="str">
        <x:v>2026の具体記述：非接触振動可視化システム Iris aiONE / 振動状態監視用カメラ Iris EDGE / 振動状態監視用サーバ Iris CM / 自動潤滑システム LUBExpert ON-GUARD / 状態監視システム VIGILANT / モーター状態監視モジュール PdMA EYE / 回転機状態監視システム e-MCM / 2D計測機能付きデジタルマイクロスコープ Omni3 / 人工知能搭載デジタルマイクロスコープ ACUMEN </x:v>
      </x:c>
      <x:c r="J191" s="7" t="str">
        <x:v>EEX-EXH-2026-b6977c805d302165</x:v>
      </x:c>
      <x:c r="K191" s="7" t="str">
        <x:v>https://www.jimtof.org/search/jp/ESdetails?e=swNETGQjKXM</x:v>
      </x:c>
    </x:row>
    <x:row r="192" ht="84" customHeight="1">
      <x:c r="A192" s="7" t="str">
        <x:v>工場運用DX</x:v>
      </x:c>
      <x:c r="B192" s="7" t="str">
        <x:v>本展示会が初のお披露目となる㈱熊本精研工業製新型機上測定機　NK-2000 PRIMEを出展いたします。</x:v>
      </x:c>
      <x:c r="C192" s="7" t="str">
        <x:v>日工機材株式会社</x:v>
      </x:c>
      <x:c r="D192" s="7" t="str">
        <x:v>本展示会が初のお披露目となる㈱熊本精研工業製新型機上測定機　NK-2000 PRIMEを出展いたします。</x:v>
      </x:c>
      <x:c r="E192" s="7" t="str">
        <x:v>S4036</x:v>
      </x:c>
      <x:c r="F192" s="7" t="str">
        <x:v>内容から分類（調査者・一次整理）</x:v>
      </x:c>
      <x:c r="G192" s="7" t="str">
        <x:v>出展説明に基づく一次分類。方式・実装権限・提供段階は個別確認</x:v>
      </x:c>
      <x:c t="str" r="H192" s="21">
        <x:f>HYPERLINK("#'展示詳細'!A"&amp;MATCH("AC166",'展示詳細'!$A$1:$A$340,0),"AC166")</x:f>
        <x:v>AC166</x:v>
      </x:c>
      <x:c r="I192" s="7" t="str">
        <x:v>2026の具体記述：また焦点合わせ時の焦点があったったトップを確認できるようにしたことや、CADを表示した比較計測時に、ワークとCADの合わせ込みを補助する機能を追加しました。</x:v>
      </x:c>
      <x:c r="J192" s="7" t="str">
        <x:v>EEX-EXH-2026-168a87e45c0ac34c</x:v>
      </x:c>
      <x:c r="K192" s="7" t="str">
        <x:v>https://www.jimtof.org/search/jp/ESdetails?e=JaGZphpJixc</x:v>
      </x:c>
    </x:row>
    <x:row r="193" ht="84" customHeight="1">
      <x:c r="A193" s="7" t="str">
        <x:v>工場運用DX</x:v>
      </x:c>
      <x:c r="B193" s="7" t="str">
        <x:v>潤滑・主軸状態管理</x:v>
      </x:c>
      <x:c r="C193" s="7" t="str">
        <x:v>日本エスケイエフ</x:v>
      </x:c>
      <x:c r="D193" s="7" t="str">
        <x:v>Adaptive Lubrication／主軸監視</x:v>
      </x:c>
      <x:c r="E193" s="7" t="str">
        <x:v>S3031</x:v>
      </x:c>
      <x:c r="F193" s="7" t="str">
        <x:v>内容から分類（調査者）</x:v>
      </x:c>
      <x:c r="G193" s="7" t="str">
        <x:v>現場情報・運用・品質・保全のデータ利用</x:v>
      </x:c>
      <x:c t="str" r="H193" s="21">
        <x:f>HYPERLINK("#'展示詳細'!A"&amp;MATCH("FC053",'展示詳細'!$A$1:$A$340,0),"FC053")</x:f>
        <x:v>FC053</x:v>
      </x:c>
      <x:c r="I193" s="7" t="str">
        <x:v>データ取得・集約・計画・品質補正・保全・遠隔支援を工場運用の用途で分類。</x:v>
      </x:c>
      <x:c r="J193" s="7" t="str">
        <x:v>EOV-V033-2026-1</x:v>
      </x:c>
      <x:c r="K193" s="7" t="str">
        <x:v>https://www.jimtof.org/search/jp/ESdetails?e=h22pEjdpmdU</x:v>
      </x:c>
    </x:row>
    <x:row r="194" ht="84" customHeight="1">
      <x:c r="A194" s="7" t="str">
        <x:v>工場運用DX</x:v>
      </x:c>
      <x:c r="B194" s="7" t="str">
        <x:v>【水晶圧電式ワイヤレス回転式動力計9171B】</x:v>
      </x:c>
      <x:c r="C194" s="7" t="str">
        <x:v>日本キスラー合同会社</x:v>
      </x:c>
      <x:c r="D194" s="7" t="str">
        <x:v>【水晶圧電式ワイヤレス回転式動力計9171B】</x:v>
      </x:c>
      <x:c r="E194" s="7" t="str">
        <x:v>S4031</x:v>
      </x:c>
      <x:c r="F194" s="7" t="str">
        <x:v>内容から分類（調査者・一次整理）</x:v>
      </x:c>
      <x:c r="G194" s="7" t="str">
        <x:v>出展説明に基づく一次分類。方式・実装権限・提供段階は個別確認</x:v>
      </x:c>
      <x:c t="str" r="H194" s="21">
        <x:f>HYPERLINK("#'展示詳細'!A"&amp;MATCH("AC175",'展示詳細'!$A$1:$A$340,0),"AC175")</x:f>
        <x:v>AC175</x:v>
      </x:c>
      <x:c r="I194" s="7" t="str">
        <x:v>2026の具体記述：タレット旋盤、多軸加工機、ロボット、組立ラインなどの稼働構造部での連続的な測定を実現します。 / ・自動分析ソフトウェア（Piezo Tool System）</x:v>
      </x:c>
      <x:c r="J194" s="7" t="str">
        <x:v>EEX-EXH-2026-e0340858cb52d52f</x:v>
      </x:c>
      <x:c r="K194" s="7" t="str">
        <x:v>https://www.jimtof.org/search/jp/ESdetails?e=7Gt1ylw_a8s</x:v>
      </x:c>
    </x:row>
    <x:row r="195" ht="84" customHeight="1">
      <x:c r="A195" s="7" t="str">
        <x:v>工場運用DX</x:v>
      </x:c>
      <x:c r="B195" s="7" t="str">
        <x:v>Klingelnbergブースでは、歯車設計から加工、測定、品質保証、デジタル化までをシームレスにつなぐトータルソリューションをご紹介します。</x:v>
      </x:c>
      <x:c r="C195" s="7" t="str">
        <x:v>日本クリンゲルンベルグ株式会社</x:v>
      </x:c>
      <x:c r="D195" s="7" t="str">
        <x:v>Klingelnbergブースでは、歯車設計から加工、測定、品質保証、デジタル化までをシームレスにつなぐトータルソリューションをご紹介します。</x:v>
      </x:c>
      <x:c r="E195" s="7" t="str">
        <x:v>E1006</x:v>
      </x:c>
      <x:c r="F195" s="7" t="str">
        <x:v>内容から分類（調査者・一次整理）</x:v>
      </x:c>
      <x:c r="G195" s="7" t="str">
        <x:v>出展説明に基づく一次分類。方式・実装権限・提供段階は個別確認</x:v>
      </x:c>
      <x:c t="str" r="H195" s="21">
        <x:f>HYPERLINK("#'展示詳細'!A"&amp;MATCH("AC176",'展示詳細'!$A$1:$A$340,0),"AC176")</x:f>
        <x:v>AC176</x:v>
      </x:c>
      <x:c r="I195" s="7" t="str">
        <x:v>2026の具体記述：JIMTOF 2026では、電動化が進む自動車産業をはじめ、風力発電、鉄道、航空宇宙、船舶など、幅広い分野を支える最新の歯車加工・測定技術をご紹介します。 / さらに、品質保証や生産性向上につながる最新のデジタルソリューションもご提案します。 / ベベルギヤ加工、円筒歯車加工、精密測定からデジタルソリューションまで、歯車製造の未来を支えるKlingelnbergの最新技術を、ぜひ会場でご覧ください。 / Klingelnbergブースで</x:v>
      </x:c>
      <x:c r="J195" s="7" t="str">
        <x:v>EEX-EXH-2026-fcc72e415a9d406e</x:v>
      </x:c>
      <x:c r="K195" s="7" t="str">
        <x:v>https://www.jimtof.org/search/jp/ESdetails?e=K8FKaawJkn0</x:v>
      </x:c>
    </x:row>
    <x:row r="196" ht="84" customHeight="1">
      <x:c r="A196" s="7" t="str">
        <x:v>工場運用DX</x:v>
      </x:c>
      <x:c r="B196" s="7" t="str">
        <x:v>日本ツクリダスは「ものづくりサービス企業」として、「生産管理システム」「デザイン制作」「コンサルティング」の３つのサービスを提供しています。</x:v>
      </x:c>
      <x:c r="C196" s="7" t="str">
        <x:v>日本ツクリダス株式会社</x:v>
      </x:c>
      <x:c r="D196" s="7" t="str">
        <x:v>日本ツクリダスは「ものづくりサービス企業」として、「生産管理システム」「デザイン制作」「コンサルティング」の３つのサービスを提供しています。</x:v>
      </x:c>
      <x:c r="E196" s="7" t="str">
        <x:v>S4012</x:v>
      </x:c>
      <x:c r="F196" s="7" t="str">
        <x:v>内容から分類（調査者・一次整理）</x:v>
      </x:c>
      <x:c r="G196" s="7" t="str">
        <x:v>出展説明に基づく一次分類。方式・実装権限・提供段階は個別確認</x:v>
      </x:c>
      <x:c t="str" r="H196" s="21">
        <x:f>HYPERLINK("#'展示詳細'!A"&amp;MATCH("AC180",'展示詳細'!$A$1:$A$340,0),"AC180")</x:f>
        <x:v>AC180</x:v>
      </x:c>
      <x:c r="I196" s="7" t="str">
        <x:v>2026の具体記述：日本ツクリダスは「ものづくりサービス企業」として、「生産管理システム」「デザイン制作」「コンサルティング」の３つのサービスを提供しています。</x:v>
      </x:c>
      <x:c r="J196" s="7" t="str">
        <x:v>EEX-EXH-2026-0c92a1e1f2d8fda4</x:v>
      </x:c>
      <x:c r="K196" s="7" t="str">
        <x:v>https://www.jimtof.org/search/jp/ESdetails?e=_nI6m1Y6VMA</x:v>
      </x:c>
    </x:row>
    <x:row r="197" ht="84" customHeight="1">
      <x:c r="A197" s="7" t="str">
        <x:v>工場運用DX</x:v>
      </x:c>
      <x:c r="B197" s="7" t="str">
        <x:v>保全診断・知識支援</x:v>
      </x:c>
      <x:c r="C197" s="7" t="str">
        <x:v>日本精工</x:v>
      </x:c>
      <x:c r="D197" s="7" t="str">
        <x:v>振動診断AI・遠隔監視</x:v>
      </x:c>
      <x:c r="E197" s="7" t="str">
        <x:v>W2048</x:v>
      </x:c>
      <x:c r="F197" s="7" t="str">
        <x:v>内容から分類（調査者）</x:v>
      </x:c>
      <x:c r="G197" s="7" t="str">
        <x:v>現場情報・運用・品質・保全のデータ利用</x:v>
      </x:c>
      <x:c t="str" r="H197" s="21">
        <x:f>HYPERLINK("#'展示詳細'!A"&amp;MATCH("FC052",'展示詳細'!$A$1:$A$340,0),"FC052")</x:f>
        <x:v>FC052</x:v>
      </x:c>
      <x:c r="I197" s="7" t="str">
        <x:v>データ取得・集約・計画・品質補正・保全・遠隔支援を工場運用の用途で分類。</x:v>
      </x:c>
      <x:c r="J197" s="7" t="str">
        <x:v>EOV-V032-2026-1</x:v>
      </x:c>
      <x:c r="K197" s="7" t="str">
        <x:v>https://www.jimtof.org/search/jp/ESdetails?e=hzAGGAi5wL4</x:v>
      </x:c>
    </x:row>
    <x:row r="198" ht="84" customHeight="1">
      <x:c r="A198" s="7" t="str">
        <x:v>工場運用DX</x:v>
      </x:c>
      <x:c r="B198" s="7" t="str">
        <x:v>maxVpoint　タングステンヘッドの超硬ボーリングホルダー</x:v>
      </x:c>
      <x:c r="C198" s="7" t="str">
        <x:v>有限会社曽根田工業</x:v>
      </x:c>
      <x:c r="D198" s="7" t="str">
        <x:v>maxVpoint　タングステンヘッドの超硬ボーリングホルダー</x:v>
      </x:c>
      <x:c r="E198" s="7" t="str">
        <x:v>W1050</x:v>
      </x:c>
      <x:c r="F198" s="7" t="str">
        <x:v>内容から分類（調査者・一次整理）</x:v>
      </x:c>
      <x:c r="G198" s="7" t="str">
        <x:v>出展説明に基づく一次分類。方式・実装権限・提供段階は個別確認</x:v>
      </x:c>
      <x:c t="str" r="H198" s="21">
        <x:f>HYPERLINK("#'展示詳細'!A"&amp;MATCH("AC124",'展示詳細'!$A$1:$A$340,0),"AC124")</x:f>
        <x:v>AC124</x:v>
      </x:c>
      <x:c r="I198" s="7" t="str">
        <x:v>2026の具体記述：・DXスマートキャビネット</x:v>
      </x:c>
      <x:c r="J198" s="7" t="str">
        <x:v>EEX-EXH-2026-6c09024686b35965</x:v>
      </x:c>
      <x:c r="K198" s="7" t="str">
        <x:v>https://www.jimtof.org/search/jp/ESdetails?e=GmcV3KL5k6M</x:v>
      </x:c>
    </x:row>
    <x:row r="199" ht="84" customHeight="1">
      <x:c r="A199" s="7" t="str">
        <x:v>工場運用DX</x:v>
      </x:c>
      <x:c r="B199" s="7" t="str">
        <x:v>【NEW】大型・重量ワークの自動化</x:v>
      </x:c>
      <x:c r="C199" s="7" t="str">
        <x:v>村田機械株式会社</x:v>
      </x:c>
      <x:c r="D199" s="7" t="str">
        <x:v>【NEW】大型・重量ワークの自動化</x:v>
      </x:c>
      <x:c r="E199" s="7" t="str">
        <x:v>E3031</x:v>
      </x:c>
      <x:c r="F199" s="7" t="str">
        <x:v>内容から分類（調査者・一次整理）</x:v>
      </x:c>
      <x:c r="G199" s="7" t="str">
        <x:v>出展説明に基づく一次分類。方式・実装権限・提供段階は個別確認</x:v>
      </x:c>
      <x:c t="str" r="H199" s="21">
        <x:f>HYPERLINK("#'展示詳細'!A"&amp;MATCH("AC224",'展示詳細'!$A$1:$A$340,0),"AC224")</x:f>
        <x:v>AC224</x:v>
      </x:c>
      <x:c r="I199" s="7" t="str">
        <x:v>2026の具体記述：製造業における人手不足や技能継承の課題を背景に、省人化・自動化へのニーズはますます高まっています。 / ムラテックでは、長年培ってきた自動化システムの実績とノウハウを活かし、生産現場に合わせた最適な自動化をご提案します。 / 今回の出展では、ガントリーローダによる大型・重量ワーク搬送の自動化を実現する立型CNCターニングセンタ「MVH600」や、 / これから自動化を始めるお客様に向け、導入しやすい自動化仕様をワンパッケージ化した「MS</x:v>
      </x:c>
      <x:c r="J199" s="7" t="str">
        <x:v>EEX-EXH-2026-8add052d1108d4ea</x:v>
      </x:c>
      <x:c r="K199" s="7" t="str">
        <x:v>https://www.jimtof.org/search/jp/ESdetails?e=Jc5GYaUqS1I</x:v>
      </x:c>
    </x:row>
    <x:row r="200" ht="84" customHeight="1">
      <x:c r="A200" s="7" t="str">
        <x:v>工場運用DX</x:v>
      </x:c>
      <x:c r="B200" s="7" t="str">
        <x:v>【出展物】</x:v>
      </x:c>
      <x:c r="C200" s="7" t="str">
        <x:v>東京貿易テクノシステム株式会社</x:v>
      </x:c>
      <x:c r="D200" s="7" t="str">
        <x:v>【出展物】</x:v>
      </x:c>
      <x:c r="E200" s="7" t="str">
        <x:v>E7038</x:v>
      </x:c>
      <x:c r="F200" s="7" t="str">
        <x:v>内容から分類（調査者・一次整理）</x:v>
      </x:c>
      <x:c r="G200" s="7" t="str">
        <x:v>出展説明に基づく一次分類。方式・実装権限・提供段階は個別確認</x:v>
      </x:c>
      <x:c t="str" r="H200" s="21">
        <x:f>HYPERLINK("#'展示詳細'!A"&amp;MATCH("AC148",'展示詳細'!$A$1:$A$340,0),"AC148")</x:f>
        <x:v>AC148</x:v>
      </x:c>
      <x:c r="I200" s="7" t="str">
        <x:v>2026の具体記述：❷モバイル自動計測 システム名：Absolute Arm+Cobot / ❷品質保証DX システム名：Leica Absolute Tracker、Absolute Arm、門型三次元測定機他</x:v>
      </x:c>
      <x:c r="J200" s="7" t="str">
        <x:v>EEX-EXH-2026-d7b599b5d3045611</x:v>
      </x:c>
      <x:c r="K200" s="7" t="str">
        <x:v>https://www.jimtof.org/search/jp/ESdetails?e=q65eJorv2LU</x:v>
      </x:c>
    </x:row>
    <x:row r="201" ht="84" customHeight="1">
      <x:c r="A201" s="7" t="str">
        <x:v>工場運用DX</x:v>
      </x:c>
      <x:c r="B201" s="7" t="str">
        <x:v>パレット供給</x:v>
      </x:c>
      <x:c r="C201" s="7" t="str">
        <x:v>松浦機械製作所</x:v>
      </x:c>
      <x:c r="D201" s="7" t="str">
        <x:v>5軸＋マルチパレット／MiOS</x:v>
      </x:c>
      <x:c r="E201" s="7" t="str">
        <x:v>E3030</x:v>
      </x:c>
      <x:c r="F201" s="7" t="str">
        <x:v>内容から分類（調査者）</x:v>
      </x:c>
      <x:c r="G201" s="7" t="str">
        <x:v>現場情報・運用・品質・保全のデータ利用</x:v>
      </x:c>
      <x:c t="str" r="H201" s="21">
        <x:f>HYPERLINK("#'展示詳細'!A"&amp;MATCH("FC047",'展示詳細'!$A$1:$A$340,0),"FC047")</x:f>
        <x:v>FC047</x:v>
      </x:c>
      <x:c r="I201" s="7" t="str">
        <x:v>データ取得・集約・計画・品質補正・保全・遠隔支援を工場運用の用途で分類。</x:v>
      </x:c>
      <x:c r="J201" s="7" t="str">
        <x:v>EOV-V028-2026-1</x:v>
      </x:c>
      <x:c r="K201" s="7" t="str">
        <x:v>https://www.jimtof.org/search/jp/ESdetails?e=K_X61J2xV_w</x:v>
      </x:c>
    </x:row>
    <x:row r="202" ht="84" customHeight="1">
      <x:c r="A202" s="7" t="str">
        <x:v>工場運用DX</x:v>
      </x:c>
      <x:c r="B202" s="7" t="str">
        <x:v>《　主な出展内容　》</x:v>
      </x:c>
      <x:c r="C202" s="7" t="str">
        <x:v>株式会社C＆Gシステムズ</x:v>
      </x:c>
      <x:c r="D202" s="7" t="str">
        <x:v>《　主な出展内容　》</x:v>
      </x:c>
      <x:c r="E202" s="7" t="str">
        <x:v>E2008</x:v>
      </x:c>
      <x:c r="F202" s="7" t="str">
        <x:v>内容から分類（調査者・一次整理）</x:v>
      </x:c>
      <x:c r="G202" s="7" t="str">
        <x:v>出展説明に基づく一次分類。方式・実装権限・提供段階は個別確認</x:v>
      </x:c>
      <x:c t="str" r="H202" s="21">
        <x:f>HYPERLINK("#'展示詳細'!A"&amp;MATCH("AC095",'展示詳細'!$A$1:$A$340,0),"AC095")</x:f>
        <x:v>AC095</x:v>
      </x:c>
      <x:c r="I202" s="7" t="str">
        <x:v>2026の具体記述：「自動化・省力化・多様化・周辺機器との親和性」をテーマに、昨今のキーワード（AI・DX）から弊社の最新技術を様々な事例（加工サンプルなど）を通じてご紹介させていたく他、次期バージョン情報をいち早くお届けします。 / ● CAD/CAM システム、生産管理システムの展示 / ● CAD/CAM 関連 / CAM-TOOL／EXCESS-HYBRIDⅡ／PartsCAM／CG Series for SOLIDWORKS（アドオン） / CA</x:v>
      </x:c>
      <x:c r="J202" s="7" t="str">
        <x:v>EEX-EXH-2026-8d7ad5c62f3412a9</x:v>
      </x:c>
      <x:c r="K202" s="7" t="str">
        <x:v>https://www.jimtof.org/search/jp/ESdetails?e=U_kHbhLD6rU</x:v>
      </x:c>
    </x:row>
    <x:row r="203" ht="84" customHeight="1">
      <x:c r="A203" s="7" t="str">
        <x:v>工場運用DX</x:v>
      </x:c>
      <x:c r="B203" s="7" t="str">
        <x:v>ズメーン：図面・関連文書管理とAI</x:v>
      </x:c>
      <x:c r="C203" s="7" t="str">
        <x:v>株式会社Fact Base</x:v>
      </x:c>
      <x:c r="D203" s="7" t="str">
        <x:v>ズメーン：図面・関連文書管理とAI</x:v>
      </x:c>
      <x:c r="E203" s="7" t="str">
        <x:v>S3017</x:v>
      </x:c>
      <x:c r="F203" s="7" t="str">
        <x:v>内容から分類（調査者・一次整理）</x:v>
      </x:c>
      <x:c r="G203" s="7" t="str">
        <x:v>出展説明に基づく一次分類。方式・実装権限・提供段階は個別確認</x:v>
      </x:c>
      <x:c t="str" r="H203" s="21">
        <x:f>HYPERLINK("#'展示詳細'!A"&amp;MATCH("AC195",'展示詳細'!$A$1:$A$340,0),"AC195")</x:f>
        <x:v>AC195</x:v>
      </x:c>
      <x:c r="I203" s="7" t="str">
        <x:v>2026の具体記述：製造現場にちょうどいい図面管理DX「ズメーン」を取り扱っております。 / 最新のAI搭載により、登録から運用まで全てサポート。</x:v>
      </x:c>
      <x:c r="J203" s="7" t="str">
        <x:v>EEX-EXH-2026-3b6a1de81c17dfee
EDP-11</x:v>
      </x:c>
      <x:c r="K203" s="7" t="str">
        <x:v>https://www.jimtof.org/search/jp/ESdetails?e=hZaNogHdQM4
https://lp.zume-n.com/case-1/sagadainichi</x:v>
      </x:c>
    </x:row>
    <x:row r="204" ht="84" customHeight="1">
      <x:c r="A204" s="7" t="str">
        <x:v>工場運用DX</x:v>
      </x:c>
      <x:c r="B204" s="7" t="str">
        <x:v>スマホ・ブラウザ工程管理システム『サクスマ』</x:v>
      </x:c>
      <x:c r="C204" s="7" t="str">
        <x:v>株式会社インプローブ</x:v>
      </x:c>
      <x:c r="D204" s="7" t="str">
        <x:v>スマホ・ブラウザ工程管理システム『サクスマ』</x:v>
      </x:c>
      <x:c r="E204" s="7" t="str">
        <x:v>W3042</x:v>
      </x:c>
      <x:c r="F204" s="7" t="str">
        <x:v>内容から分類（調査者・一次整理）</x:v>
      </x:c>
      <x:c r="G204" s="7" t="str">
        <x:v>出展説明に基づく一次分類。方式・実装権限・提供段階は個別確認</x:v>
      </x:c>
      <x:c t="str" r="H204" s="21">
        <x:f>HYPERLINK("#'展示詳細'!A"&amp;MATCH("AC025",'展示詳細'!$A$1:$A$340,0),"AC025")</x:f>
        <x:v>AC025</x:v>
      </x:c>
      <x:c r="I204" s="7" t="str">
        <x:v>2026の具体記述：『サクスマ』　スマホ・タブレット・PCのブラウザで利用できる工程管理システム / スマホ・ブラウザ工程管理システム『サクスマ』 / 工程別・製番別・担当者別の3視点を切り替えられるスマホ、ブラウザ対応の工程管理システムです。</x:v>
      </x:c>
      <x:c r="J204" s="7" t="str">
        <x:v>EEX-EXH-2026-2703960c6bc2e1d3</x:v>
      </x:c>
      <x:c r="K204" s="7" t="str">
        <x:v>https://www.jimtof.org/search/jp/ESdetails?e=WacbHqw4PMw</x:v>
      </x:c>
    </x:row>
    <x:row r="205" ht="84" customHeight="1">
      <x:c r="A205" s="7" t="str">
        <x:v>工場運用DX</x:v>
      </x:c>
      <x:c r="B205" s="7" t="str">
        <x:v>スマホ・ブラウザ工程管理システム</x:v>
      </x:c>
      <x:c r="C205" s="7" t="str">
        <x:v>株式会社インプローブ</x:v>
      </x:c>
      <x:c r="D205" s="7" t="str">
        <x:v>スマホ・ブラウザ工程管理システム</x:v>
      </x:c>
      <x:c r="E205" s="7" t="str">
        <x:v>S3008</x:v>
      </x:c>
      <x:c r="F205" s="7" t="str">
        <x:v>内容から分類（調査者・一次整理）</x:v>
      </x:c>
      <x:c r="G205" s="7" t="str">
        <x:v>出展説明に基づく一次分類。方式・実装権限・提供段階は個別確認</x:v>
      </x:c>
      <x:c t="str" r="H205" s="21">
        <x:f>HYPERLINK("#'展示詳細'!A"&amp;MATCH("AC026",'展示詳細'!$A$1:$A$340,0),"AC026")</x:f>
        <x:v>AC026</x:v>
      </x:c>
      <x:c r="I205" s="7" t="str">
        <x:v>2026の具体記述：・工程管理、進捗管理 / スマホ・ブラウザ工程管理システム / 工程別・製番別・担当者別の3視点を切り替えられる工程管理システム / 生産管理システム / 情報の見える化により、コストダウン対策が行える生産管理システム / 工程管理システム　【サクっと工程シリーズ】 / 工程管理システムと自動スケジューラの連携が実現したシステムをローコストでお使いいただけます</x:v>
      </x:c>
      <x:c r="J205" s="7" t="str">
        <x:v>EEX-EXH-2026-dc0db149daeb6803</x:v>
      </x:c>
      <x:c r="K205" s="7" t="str">
        <x:v>https://www.jimtof.org/search/jp/ESdetails?e=U6gS--b_Z9A</x:v>
      </x:c>
    </x:row>
    <x:row r="206" ht="84" customHeight="1">
      <x:c r="A206" s="7" t="str">
        <x:v>工場運用DX</x:v>
      </x:c>
      <x:c r="B206" s="7" t="str">
        <x:v>機上計測ソフトウェア／PC-DMIS（デーミス） NC</x:v>
      </x:c>
      <x:c r="C206" s="7" t="str">
        <x:v>株式会社キャプテンインダストリーズ</x:v>
      </x:c>
      <x:c r="D206" s="7" t="str">
        <x:v>機上計測ソフトウェア／PC-DMIS（デーミス） NC</x:v>
      </x:c>
      <x:c r="E206" s="7" t="str">
        <x:v>E3003</x:v>
      </x:c>
      <x:c r="F206" s="7" t="str">
        <x:v>内容から分類（調査者・一次整理）</x:v>
      </x:c>
      <x:c r="G206" s="7" t="str">
        <x:v>出展説明に基づく一次分類。方式・実装権限・提供段階は個別確認</x:v>
      </x:c>
      <x:c t="str" r="H206" s="21">
        <x:f>HYPERLINK("#'展示詳細'!A"&amp;MATCH("AC060",'展示詳細'!$A$1:$A$340,0),"AC060")</x:f>
        <x:v>AC060</x:v>
      </x:c>
      <x:c r="I206" s="7" t="str">
        <x:v>2026の具体記述：加工後、そのまま機械テーブル上にてワークを計測できるため省人化自動化に貢献するとともに高度な機上計測を実現致します。 / 航空宇宙、自動車、医療、時計などのあらゆる産業の加工対応可能な、バリエーション豊富なスピンドルです。 / 加工後、そのまま機械テーブル上にてワークを計測できるため省人化自動化に貢献するとともに高度な機上計測を実現致します。 / 航空宇宙、自動車、医療、時計などのあらゆる産業の加工対応可能な、バリエーション豊富なスピン</x:v>
      </x:c>
      <x:c r="J206" s="7" t="str">
        <x:v>EEX-EXH-2026-c8de4ae2c9076f2f</x:v>
      </x:c>
      <x:c r="K206" s="7" t="str">
        <x:v>https://www.jimtof.org/search/jp/ESdetails?e=9vpTjarQl8s</x:v>
      </x:c>
    </x:row>
    <x:row r="207" ht="84" customHeight="1">
      <x:c r="A207" s="7" t="str">
        <x:v>工場運用DX</x:v>
      </x:c>
      <x:c r="B207" s="7" t="str">
        <x:v>セミオーダー型生産管理システム「A's Style」を出展いたします。</x:v>
      </x:c>
      <x:c r="C207" s="7" t="str">
        <x:v>株式会社ケーエムケーワールド</x:v>
      </x:c>
      <x:c r="D207" s="7" t="str">
        <x:v>セミオーダー型生産管理システム「A's Style」を出展いたします。</x:v>
      </x:c>
      <x:c r="E207" s="7" t="str">
        <x:v>S3018</x:v>
      </x:c>
      <x:c r="F207" s="7" t="str">
        <x:v>内容から分類（調査者・一次整理）</x:v>
      </x:c>
      <x:c r="G207" s="7" t="str">
        <x:v>出展説明に基づく一次分類。方式・実装権限・提供段階は個別確認</x:v>
      </x:c>
      <x:c t="str" r="H207" s="21">
        <x:f>HYPERLINK("#'展示詳細'!A"&amp;MATCH("AC070",'展示詳細'!$A$1:$A$340,0),"AC070")</x:f>
        <x:v>AC070</x:v>
      </x:c>
      <x:c r="I207" s="7" t="str">
        <x:v>2026の具体記述：中小・中堅製造業向けセミオーダー型生産管理システム「A's Style」および「A's Style SaaS」を展示いたします。 / 販売管理、生産管理、購買管理、在庫管理、原価管理を一元管理し、製造現場の業務効率化と情報の見える化を実現します。 / 製番管理方式の生産管理システムとなります。 / 中小・中堅製造業のお客様を中心に、製造DXや生産管理システムの導入をご検討中の方におすすめです。 / セミオーダー型生産管理システム「A's</x:v>
      </x:c>
      <x:c r="J207" s="7" t="str">
        <x:v>EEX-EXH-2026-5f368e093f795d47</x:v>
      </x:c>
      <x:c r="K207" s="7" t="str">
        <x:v>https://www.jimtof.org/search/jp/ESdetails?e=iRQKn5kaGi8</x:v>
      </x:c>
    </x:row>
    <x:row r="208" ht="84" customHeight="1">
      <x:c r="A208" s="7" t="str">
        <x:v>工場運用DX</x:v>
      </x:c>
      <x:c r="B208" s="7" t="str">
        <x:v>新製品「NAZCA5 GEMBACO」をはじめ、製造現場のデジタル化を支援する製品を展示します。</x:v>
      </x:c>
      <x:c r="C208" s="7" t="str">
        <x:v>株式会社ゴードーソリューション</x:v>
      </x:c>
      <x:c r="D208" s="7" t="str">
        <x:v>新製品「NAZCA5 GEMBACO」をはじめ、製造現場のデジタル化を支援する製品を展示します。</x:v>
      </x:c>
      <x:c r="E208" s="7" t="str">
        <x:v>S4009</x:v>
      </x:c>
      <x:c r="F208" s="7" t="str">
        <x:v>内容から分類（調査者・一次整理）</x:v>
      </x:c>
      <x:c r="G208" s="7" t="str">
        <x:v>出展説明に基づく一次分類。方式・実装権限・提供段階は個別確認</x:v>
      </x:c>
      <x:c t="str" r="H208" s="21">
        <x:f>HYPERLINK("#'展示詳細'!A"&amp;MATCH("AC074",'展示詳細'!$A$1:$A$340,0),"AC074")</x:f>
        <x:v>AC074</x:v>
      </x:c>
      <x:c r="I208" s="7" t="str">
        <x:v>2026の具体記述：ゴードーソリューションは、CAD/CAMや加工シミュレーション、NCプログラム通信など、NC工作機械向けソフトウェアの開発から販売・サポートまでを一貫して自社で行うソフトウェアメーカーです。 / 今回は、加工現場向け図面＆データ管理ソフト「NAZCA5 GEMBACO」をはじめ、CAD/CAM製品や、IoTによる工場の見える化システム「LINKA3」を展示します。 / また、会議棟では「加工現場のデータ活用DX」をテーマにした実践的なセ</x:v>
      </x:c>
      <x:c r="J208" s="7" t="str">
        <x:v>EEX-EXH-2026-a64bab179251039a</x:v>
      </x:c>
      <x:c r="K208" s="7" t="str">
        <x:v>https://www.jimtof.org/search/jp/ESdetails?e=oO-G_YDcimE</x:v>
      </x:c>
    </x:row>
    <x:row r="209" ht="84" customHeight="1">
      <x:c r="A209" s="7" t="str">
        <x:v>工場運用DX</x:v>
      </x:c>
      <x:c r="B209" s="7" t="str">
        <x:v>大型CNC円筒研削盤　G5P250G</x:v>
      </x:c>
      <x:c r="C209" s="7" t="str">
        <x:v>株式会社ジェイテクト</x:v>
      </x:c>
      <x:c r="D209" s="7" t="str">
        <x:v>大型CNC円筒研削盤　G5P250G</x:v>
      </x:c>
      <x:c r="E209" s="7" t="str">
        <x:v>E8003</x:v>
      </x:c>
      <x:c r="F209" s="7" t="str">
        <x:v>内容から分類（調査者・一次整理）</x:v>
      </x:c>
      <x:c r="G209" s="7" t="str">
        <x:v>出展説明に基づく一次分類。方式・実装権限・提供段階は個別確認</x:v>
      </x:c>
      <x:c t="str" r="H209" s="21">
        <x:f>HYPERLINK("#'展示詳細'!A"&amp;MATCH("AC100",'展示詳細'!$A$1:$A$340,0),"AC100")</x:f>
        <x:v>AC100</x:v>
      </x:c>
      <x:c r="I209" s="7" t="str">
        <x:v>2026の具体記述：」をテーマに、自動化、工程集約、生産性向上、生産を止めない工場、生産工程の省エネなどお客様のニーズにお応えするソリューションをご提案いたします。 / 自動化技術で熟練加工を再現し、誰でも簡単に大型ワークの研削を可能にする大型CNC円筒研削盤「G5P250G」。 / 工場ソリューションエリアでは、設備だけでなく、人・情報・エネルギーなどのリソースマネジメントを組み合わせ、「人作業の自動化」「生産を止めない工場」「生産工程の省エネ」のニーズ</x:v>
      </x:c>
      <x:c r="J209" s="7" t="str">
        <x:v>EEX-EXH-2026-18d08a3e4d8ab906</x:v>
      </x:c>
      <x:c r="K209" s="7" t="str">
        <x:v>https://www.jimtof.org/search/jp/ESdetails?e=cW9RNSMEfso</x:v>
      </x:c>
    </x:row>
    <x:row r="210" ht="84" customHeight="1">
      <x:c r="A210" s="7" t="str">
        <x:v>工場運用DX</x:v>
      </x:c>
      <x:c r="B210" s="7" t="str">
        <x:v>ミツテック（株）製外観検査装置　高速で外観検査を行いNG品流出を防ぎます。</x:v>
      </x:c>
      <x:c r="C210" s="7" t="str">
        <x:v>株式会社トミタ</x:v>
      </x:c>
      <x:c r="D210" s="7" t="str">
        <x:v>ミツテック（株）製外観検査装置　高速で外観検査を行いNG品流出を防ぎます。</x:v>
      </x:c>
      <x:c r="E210" s="7" t="str">
        <x:v>W2060</x:v>
      </x:c>
      <x:c r="F210" s="7" t="str">
        <x:v>内容から分類（調査者・一次整理）</x:v>
      </x:c>
      <x:c r="G210" s="7" t="str">
        <x:v>出展説明に基づく一次分類。方式・実装権限・提供段階は個別確認</x:v>
      </x:c>
      <x:c t="str" r="H210" s="21">
        <x:f>HYPERLINK("#'展示詳細'!A"&amp;MATCH("AC154",'展示詳細'!$A$1:$A$340,0),"AC154")</x:f>
        <x:v>AC154</x:v>
      </x:c>
      <x:c r="I210" s="7" t="str">
        <x:v>2026の具体記述：国産の外観検査装置及びマルチ組立て装置、ドイツ製の輸入機器のAI監視カメラ、世界初のフルカーボンスピンドル、揺動ジェットノズル、目視検査支援ソフト、超高速・超大型の五面加工機、グループ会社の新日本産業及びフィールドの会社概要をご紹介。 / ・ドイツZimmermann社製超高速、超大型の五面化工機、自動車開発で使用されるモデリング加工を / ・ドイツFDX Fluid Dynamix社製揺動ジェットノズル.　特殊構造により可動部品を使用</x:v>
      </x:c>
      <x:c r="J210" s="7" t="str">
        <x:v>EEX-EXH-2026-20a8d3222020ce04</x:v>
      </x:c>
      <x:c r="K210" s="7" t="str">
        <x:v>https://www.jimtof.org/search/jp/ESdetails?e=C6Hx1wzP4fA</x:v>
      </x:c>
    </x:row>
    <x:row r="211" ht="84" customHeight="1">
      <x:c r="A211" s="7" t="str">
        <x:v>工場運用DX</x:v>
      </x:c>
      <x:c r="B211" s="7" t="str">
        <x:v>OTRS+AI：作業動画の自動分節</x:v>
      </x:c>
      <x:c r="C211" s="7" t="str">
        <x:v>株式会社ブロードリーフ</x:v>
      </x:c>
      <x:c r="D211" s="7" t="str">
        <x:v>OTRS+AI：作業動画の自動分節</x:v>
      </x:c>
      <x:c r="E211" s="7" t="str">
        <x:v>S3068</x:v>
      </x:c>
      <x:c r="F211" s="7" t="str">
        <x:v>内容から分類（調査者・一次整理）</x:v>
      </x:c>
      <x:c r="G211" s="7" t="str">
        <x:v>出展説明に基づく一次分類。方式・実装権限・提供段階は個別確認</x:v>
      </x:c>
      <x:c t="str" r="H211" s="21">
        <x:f>HYPERLINK("#'展示詳細'!A"&amp;MATCH("AC204",'展示詳細'!$A$1:$A$340,0),"AC204")</x:f>
        <x:v>AC204</x:v>
      </x:c>
      <x:c r="I211" s="7" t="str">
        <x:v>2026の具体記述：製造業向け作業分析ツール「OTRS」は、動画の精微な分析が可能である改善ソフトウェア「OTRS10」に加え、自動分節AIサービス「OTRS+AI」を展示します。</x:v>
      </x:c>
      <x:c r="J211" s="7" t="str">
        <x:v>EEX-EXH-2026-8014e235f82da6ea</x:v>
      </x:c>
      <x:c r="K211" s="7" t="str">
        <x:v>https://www.jimtof.org/search/jp/ESdetails?e=Dt_yEexTCZo</x:v>
      </x:c>
    </x:row>
    <x:row r="212" ht="84" customHeight="1">
      <x:c r="A212" s="7" t="str">
        <x:v>工場運用DX</x:v>
      </x:c>
      <x:c r="B212" s="7" t="str">
        <x:v>【AIカメラ】</x:v>
      </x:c>
      <x:c r="C212" s="7" t="str">
        <x:v>株式会社マザーツール</x:v>
      </x:c>
      <x:c r="D212" s="7" t="str">
        <x:v>【AIカメラ】</x:v>
      </x:c>
      <x:c r="E212" s="7" t="str">
        <x:v>S4038</x:v>
      </x:c>
      <x:c r="F212" s="7" t="str">
        <x:v>内容から分類（調査者・一次整理）</x:v>
      </x:c>
      <x:c r="G212" s="7" t="str">
        <x:v>出展説明に基づく一次分類。方式・実装権限・提供段階は個別確認</x:v>
      </x:c>
      <x:c t="str" r="H212" s="21">
        <x:f>HYPERLINK("#'展示詳細'!A"&amp;MATCH("AC210",'展示詳細'!$A$1:$A$340,0),"AC210")</x:f>
        <x:v>AC210</x:v>
      </x:c>
      <x:c r="I212" s="7" t="str">
        <x:v>2026の具体記述：サーモグラフィカメラによる設備の温度監視・異常発熱の検知、高解像度カメラによる作業状況の記録など、カメラを活用した「見える化」を実現します。 / AIカメラでは、作業者の危険箇所への侵入を検知して設備停止につなげたり、一人作業の現場や薬品庫など、人が常駐しないエリアでの転倒を検知してアラームでお知らせしたりするなど、工場内の安全対策もサポートします。 / その他にも、簡単に導入できるワイヤレスカメラモニターセット、熱を持つ設備の保守点検</x:v>
      </x:c>
      <x:c r="J212" s="7" t="str">
        <x:v>EEX-EXH-2026-57f4a98dc1098522</x:v>
      </x:c>
      <x:c r="K212" s="7" t="str">
        <x:v>https://www.jimtof.org/search/jp/ESdetails?e=BoITLU2Wxfk</x:v>
      </x:c>
    </x:row>
    <x:row r="213" ht="84" customHeight="1">
      <x:c r="A213" s="7" t="str">
        <x:v>工場運用DX</x:v>
      </x:c>
      <x:c r="B213" s="7" t="str">
        <x:v>①【ms-Machine monitor】 機械稼働監視システム</x:v>
      </x:c>
      <x:c r="C213" s="7" t="str">
        <x:v>株式会社マシンソル</x:v>
      </x:c>
      <x:c r="D213" s="7" t="str">
        <x:v>①【ms-Machine monitor】 機械稼働監視システム</x:v>
      </x:c>
      <x:c r="E213" s="7" t="str">
        <x:v>S4006</x:v>
      </x:c>
      <x:c r="F213" s="7" t="str">
        <x:v>内容から分類（調査者・一次整理）</x:v>
      </x:c>
      <x:c r="G213" s="7" t="str">
        <x:v>出展説明に基づく一次分類。方式・実装権限・提供段階は個別確認</x:v>
      </x:c>
      <x:c t="str" r="H213" s="21">
        <x:f>HYPERLINK("#'展示詳細'!A"&amp;MATCH("AC211",'展示詳細'!$A$1:$A$340,0),"AC211")</x:f>
        <x:v>AC211</x:v>
      </x:c>
      <x:c r="I213" s="7" t="str">
        <x:v>2026の具体記述：弊社独自の機械稼働監視システム【ms-Machinemonitor】、工程スケジューラ＆進捗管理システム / また、薬品を使わずに工場の冷却塔・配管に付着するスケールを全自動で除去する、電気分解式スケール除去装置の【ElectoroLife】も同時展示しております。 / ①【ms-Machine monitor】 機械稼働監視システム / ②【ms-Pro management】スケジューラ＆進捗監視システム / ⑤【ms-Mainte</x:v>
      </x:c>
      <x:c r="J213" s="7" t="str">
        <x:v>EEX-EXH-2026-c8322aa501c4ccac</x:v>
      </x:c>
      <x:c r="K213" s="7" t="str">
        <x:v>https://www.jimtof.org/search/jp/ESdetails?e=5mtGGNcGld4</x:v>
      </x:c>
    </x:row>
    <x:row r="214" ht="84" customHeight="1">
      <x:c r="A214" s="7" t="str">
        <x:v>工場運用DX</x:v>
      </x:c>
      <x:c r="B214" s="7" t="str">
        <x:v>間接材トータルコストダウンサービス「MISUMI floow」自販機2種とミスミの切削工具を展示します。</x:v>
      </x:c>
      <x:c r="C214" s="7" t="str">
        <x:v>株式会社ミスミ</x:v>
      </x:c>
      <x:c r="D214" s="7" t="str">
        <x:v>間接材トータルコストダウンサービス「MISUMI floow」自販機2種とミスミの切削工具を展示します。</x:v>
      </x:c>
      <x:c r="E214" s="7" t="str">
        <x:v>W3099</x:v>
      </x:c>
      <x:c r="F214" s="7" t="str">
        <x:v>内容から分類（調査者・一次整理）</x:v>
      </x:c>
      <x:c r="G214" s="7" t="str">
        <x:v>出展説明に基づく一次分類。方式・実装権限・提供段階は個別確認</x:v>
      </x:c>
      <x:c t="str" r="H214" s="21">
        <x:f>HYPERLINK("#'展示詳細'!A"&amp;MATCH("AC216",'展示詳細'!$A$1:$A$340,0),"AC216")</x:f>
        <x:v>AC216</x:v>
      </x:c>
      <x:c r="I214" s="7" t="str">
        <x:v>2026の具体記述：自販機内在庫は重量センサーで管理し取り出し数量や在庫数を自動把握。 / 補充分も自動発注しお届けします。</x:v>
      </x:c>
      <x:c r="J214" s="7" t="str">
        <x:v>EEX-EXH-2026-df2de585aa6fd08a</x:v>
      </x:c>
      <x:c r="K214" s="7" t="str">
        <x:v>https://www.jimtof.org/search/jp/ESdetails?e=h6ienur8wVM</x:v>
      </x:c>
    </x:row>
    <x:row r="215" ht="84" customHeight="1">
      <x:c r="A215" s="7" t="str">
        <x:v>工場運用DX</x:v>
      </x:c>
      <x:c r="B215" s="7" t="str">
        <x:v>間接材トータルコストダウンサービス「MISUMI floow」自販機2種とミスミの切削工具を展示します。</x:v>
      </x:c>
      <x:c r="C215" s="7" t="str">
        <x:v>株式会社ミスミ</x:v>
      </x:c>
      <x:c r="D215" s="7" t="str">
        <x:v>間接材トータルコストダウンサービス「MISUMI floow」自販機2種とミスミの切削工具を展示します。</x:v>
      </x:c>
      <x:c r="E215" s="7" t="str">
        <x:v>W1085</x:v>
      </x:c>
      <x:c r="F215" s="7" t="str">
        <x:v>内容から分類（調査者・一次整理）</x:v>
      </x:c>
      <x:c r="G215" s="7" t="str">
        <x:v>出展説明に基づく一次分類。方式・実装権限・提供段階は個別確認</x:v>
      </x:c>
      <x:c t="str" r="H215" s="21">
        <x:f>HYPERLINK("#'展示詳細'!A"&amp;MATCH("AC217",'展示詳細'!$A$1:$A$340,0),"AC217")</x:f>
        <x:v>AC217</x:v>
      </x:c>
      <x:c r="I215" s="7" t="str">
        <x:v>2026の具体記述：自販機内在庫は重量センサーで管理し取り出し数量や在庫数を自動把握。 / 補充分も自動発注しお届けします。</x:v>
      </x:c>
      <x:c r="J215" s="7" t="str">
        <x:v>EEX-EXH-2026-e80bcf8092a2c421</x:v>
      </x:c>
      <x:c r="K215" s="7" t="str">
        <x:v>https://www.jimtof.org/search/jp/ESdetails?e=LcjgLguZjr4</x:v>
      </x:c>
    </x:row>
    <x:row r="216" ht="84" customHeight="1">
      <x:c r="A216" s="7" t="str">
        <x:v>工場運用DX</x:v>
      </x:c>
      <x:c r="B216" s="7" t="str">
        <x:v>周辺部品・機構</x:v>
      </x:c>
      <x:c r="C216" s="7" t="str">
        <x:v>株式会社メトロール</x:v>
      </x:c>
      <x:c r="D216" s="7" t="str">
        <x:v>【エアミクロンセンサ】</x:v>
      </x:c>
      <x:c r="E216" s="7" t="str">
        <x:v>S4022</x:v>
      </x:c>
      <x:c r="F216" s="7" t="str">
        <x:v>内容から分類（調査者・一次整理）</x:v>
      </x:c>
      <x:c r="G216" s="7" t="str">
        <x:v>周辺要素・実装部品。システム全体のAI／自動動作の確認ではない</x:v>
      </x:c>
      <x:c t="str" r="H216" s="21">
        <x:f>HYPERLINK("#'展示詳細'!A"&amp;MATCH("AC227",'展示詳細'!$A$1:$A$340,0),"AC227")</x:f>
        <x:v>AC227</x:v>
      </x:c>
      <x:c r="I216" s="7" t="str">
        <x:v>2026の具体記述：ワークの着座確認はもちろん、NC研削盤における回転砥石の自動位置決めなど、さまざまな用途で活用可能です。 / 「加工不良を減らしたい」「設備を安定稼働させたい」「自動化をさらに進めたい」 / ・主な用途：ワークと治具の密着確認・NC研削盤の回転砥石の自動位置決め</x:v>
      </x:c>
      <x:c r="J216" s="7" t="str">
        <x:v>EEX-EXH-2026-d1b2346e07cb38c8</x:v>
      </x:c>
      <x:c r="K216" s="7" t="str">
        <x:v>https://www.jimtof.org/search/jp/ESdetails?e=wCfQP1f4Amo</x:v>
      </x:c>
    </x:row>
    <x:row r="217" ht="84" customHeight="1">
      <x:c r="A217" s="7" t="str">
        <x:v>工場運用DX</x:v>
      </x:c>
      <x:c r="B217" s="7" t="str">
        <x:v>ALFRED：クーラント濃度・pH監視</x:v>
      </x:c>
      <x:c r="C217" s="7" t="str">
        <x:v>株式会社ユシロ</x:v>
      </x:c>
      <x:c r="D217" s="7" t="str">
        <x:v>ALFRED：クーラント濃度・pH監視</x:v>
      </x:c>
      <x:c r="E217" s="7" t="str">
        <x:v>S3093</x:v>
      </x:c>
      <x:c r="F217" s="7" t="str">
        <x:v>内容から分類（調査者・一次整理）</x:v>
      </x:c>
      <x:c r="G217" s="7" t="str">
        <x:v>出展説明に基づく一次分類。方式・実装権限・提供段階は個別確認</x:v>
      </x:c>
      <x:c t="str" r="H217" s="21">
        <x:f>HYPERLINK("#'展示詳細'!A"&amp;MATCH("AC234",'展示詳細'!$A$1:$A$340,0),"AC234")</x:f>
        <x:v>AC234</x:v>
      </x:c>
      <x:c r="I217" s="7" t="str">
        <x:v>2026の具体記述：【初公開】クーラント管理の省力化・DX化を実現する「ALFRED」 / ALFREDは、クーラントの濃度・pHをリアルタイムで監視し、日々の状態を「見える化」。 / 省人化・DX化を進めたい方、クーラント管理に課題をお持ちの方は、ぜひ会場でALFREDをご覧ください。</x:v>
      </x:c>
      <x:c r="J217" s="7" t="str">
        <x:v>EEX-EXH-2026-1fb607fd5307c2fa
ERF-10
ERF-11</x:v>
      </x:c>
      <x:c r="K217" s="7" t="str">
        <x:v>https://www.jimtof.org/search/jp/ESdetails?e=-U1GqEJcgSM
https://www.yushiro.co.jp/news/社名変更のお知らせ
https://www.jimtof.org/2024/search/jp/ESdetails?e=He5z-J4NQm8</x:v>
      </x:c>
    </x:row>
    <x:row r="218" ht="84" customHeight="1">
      <x:c r="A218" s="7" t="str">
        <x:v>工場運用DX</x:v>
      </x:c>
      <x:c r="B218" s="7" t="str">
        <x:v>精密NC研削盤(自動搬送、機上計測）</x:v>
      </x:c>
      <x:c r="C218" s="7" t="str">
        <x:v>株式会社三井ハイテック</x:v>
      </x:c>
      <x:c r="D218" s="7" t="str">
        <x:v>精密NC研削盤(自動搬送、機上計測）</x:v>
      </x:c>
      <x:c r="E218" s="7" t="str">
        <x:v>E7071</x:v>
      </x:c>
      <x:c r="F218" s="7" t="str">
        <x:v>内容から分類（調査者・一次整理）</x:v>
      </x:c>
      <x:c r="G218" s="7" t="str">
        <x:v>出展説明に基づく一次分類。方式・実装権限・提供段階は個別確認</x:v>
      </x:c>
      <x:c t="str" r="H218" s="21">
        <x:f>HYPERLINK("#'展示詳細'!A"&amp;MATCH("AC220",'展示詳細'!$A$1:$A$340,0),"AC220")</x:f>
        <x:v>AC220</x:v>
      </x:c>
      <x:c r="I218" s="7" t="str">
        <x:v>2026の具体記述：三井ハイテックは、精密加工を実現する小型多機能研削盤と、C&amp;Gシステムズの自動化生産支援システムを連携させたスマート研削加工ソリューションを展示します。 / デジタル技術を活用した作業の標準化、人的ミスの低減、効率的な工程管理により、段取り時間の短縮、品質の安定化、省人化を実現。 / ・精密NC研削盤(自動搬送、機上計測）</x:v>
      </x:c>
      <x:c r="J218" s="7" t="str">
        <x:v>EEX-EXH-2026-8278ec058d2d2947</x:v>
      </x:c>
      <x:c r="K218" s="7" t="str">
        <x:v>https://www.jimtof.org/search/jp/ESdetails?e=qoCbIK0OzT4</x:v>
      </x:c>
    </x:row>
    <x:row r="219" ht="84" customHeight="1">
      <x:c r="A219" s="7" t="str">
        <x:v>工場運用DX</x:v>
      </x:c>
      <x:c r="B219" s="7" t="str">
        <x:v>[Polyrix社 PolyScanV]</x:v>
      </x:c>
      <x:c r="C219" s="7" t="str">
        <x:v>株式会社原製作所</x:v>
      </x:c>
      <x:c r="D219" s="7" t="str">
        <x:v>[Polyrix社 PolyScanV]</x:v>
      </x:c>
      <x:c r="E219" s="7" t="str">
        <x:v>S4037</x:v>
      </x:c>
      <x:c r="F219" s="7" t="str">
        <x:v>内容から分類（調査者・一次整理）</x:v>
      </x:c>
      <x:c r="G219" s="7" t="str">
        <x:v>出展説明に基づく一次分類。方式・実装権限・提供段階は個別確認</x:v>
      </x:c>
      <x:c t="str" r="H219" s="21">
        <x:f>HYPERLINK("#'展示詳細'!A"&amp;MATCH("AC190",'展示詳細'!$A$1:$A$340,0),"AC190")</x:f>
        <x:v>AC190</x:v>
      </x:c>
      <x:c r="I219" s="7" t="str">
        <x:v>2026の具体記述：各支柱に搭載されたプロジェクターと3Dスキャナが、通過するワークを自動で捉え、全周囲の3Dデータを取得します。 / 自動車1台分を最速約30秒。 / ・自動車1台分を最速約30秒—タクトタイムに対応する測定速度 / ・LIVE INSPECTION—CADとの偏差をカラーマップでワーク表面に直接投影し、モニタを見ずにその場でズレを確認 / 航空宇宙/自動車業界を中心に導入が進む次世代3Dスキャンシステムです。 / 高精細3Dスキャナ＆3</x:v>
      </x:c>
      <x:c r="J219" s="7" t="str">
        <x:v>EEX-EXH-2026-8550e99361de2f5b</x:v>
      </x:c>
      <x:c r="K219" s="7" t="str">
        <x:v>https://www.jimtof.org/search/jp/ESdetails?e=LRuS5p7XpwI</x:v>
      </x:c>
    </x:row>
    <x:row r="220" ht="84" customHeight="1">
      <x:c r="A220" s="7" t="str">
        <x:v>工場運用DX</x:v>
      </x:c>
      <x:c r="B220" s="7" t="str">
        <x:v>立形複合研削盤　TKV 85 with PH Cell 500</x:v>
      </x:c>
      <x:c r="C220" s="7" t="str">
        <x:v>株式会社太陽工機</x:v>
      </x:c>
      <x:c r="D220" s="7" t="str">
        <x:v>立形複合研削盤　TKV 85 with PH Cell 500</x:v>
      </x:c>
      <x:c r="E220" s="7" t="str">
        <x:v>E8007</x:v>
      </x:c>
      <x:c r="F220" s="7" t="str">
        <x:v>内容から分類（調査者・一次整理）</x:v>
      </x:c>
      <x:c r="G220" s="7" t="str">
        <x:v>出展説明に基づく一次分類。方式・実装権限・提供段階は個別確認</x:v>
      </x:c>
      <x:c t="str" r="H220" s="21">
        <x:f>HYPERLINK("#'展示詳細'!A"&amp;MATCH("AC129",'展示詳細'!$A$1:$A$340,0),"AC129")</x:f>
        <x:v>AC129</x:v>
      </x:c>
      <x:c r="I220" s="7" t="str">
        <x:v>2026の具体記述：中・大型ワーク向けの高精度研削加工に求められる「工程集約」「自動化」「品質安定性」「省エネ性」「DX対応」といった多面的な要求に応えるため、構造・制御・周辺設備の全領域を再設計した最新世代の立形研削盤TKV 85とDMG MORI 製自動化システム PH Cell 500を接続し、世界中でご使用いただける研削盤自動化ソリューションを展示します。 / 自動化システムにはDMG MORI 製 PH Cell 500を搭載。</x:v>
      </x:c>
      <x:c r="J220" s="7" t="str">
        <x:v>EEX-EXH-2026-68590f09050a3b5c</x:v>
      </x:c>
      <x:c r="K220" s="7" t="str">
        <x:v>https://www.jimtof.org/search/jp/ESdetails?e=p0lGaSOw5EY</x:v>
      </x:c>
    </x:row>
    <x:row r="221" ht="84" customHeight="1">
      <x:c r="A221" s="7" t="str">
        <x:v>工場運用DX</x:v>
      </x:c>
      <x:c r="B221" s="7" t="str">
        <x:v>コンパクトマシニングセンタ（ブラザー：SPEEDIO S300Xd2）</x:v>
      </x:c>
      <x:c r="C221" s="7" t="str">
        <x:v>株式会社山善</x:v>
      </x:c>
      <x:c r="D221" s="7" t="str">
        <x:v>コンパクトマシニングセンタ（ブラザー：SPEEDIO S300Xd2）</x:v>
      </x:c>
      <x:c r="E221" s="7" t="str">
        <x:v>S1056</x:v>
      </x:c>
      <x:c r="F221" s="7" t="str">
        <x:v>内容から分類（調査者・一次整理）</x:v>
      </x:c>
      <x:c r="G221" s="7" t="str">
        <x:v>出展説明に基づく一次分類。方式・実装権限・提供段階は個別確認</x:v>
      </x:c>
      <x:c t="str" r="H221" s="21">
        <x:f>HYPERLINK("#'展示詳細'!A"&amp;MATCH("AC232",'展示詳細'!$A$1:$A$340,0),"AC232")</x:f>
        <x:v>AC232</x:v>
      </x:c>
      <x:c r="I221" s="7" t="str">
        <x:v>2026の具体記述：自動化・省人化をテーマに、コンパクトマシニングセンタ、協働ロボット、現場設置型三次元測定機を融合した自動化セルを実機展示します。 / また、設備管理や図面管理など製造現場のデジタル化を支援する「ゲンバト」も展示します。 / 自動化からデジタル化まで、製造現場の課題解決につながる実践的なソリューションをご覧いただけます。 / 協働ロボット（ファナック：CRX-20iA）</x:v>
      </x:c>
      <x:c r="J221" s="7" t="str">
        <x:v>EEX-EXH-2026-4be1498c7e4dd9c4</x:v>
      </x:c>
      <x:c r="K221" s="7" t="str">
        <x:v>https://www.jimtof.org/search/jp/ESdetails?e=KSoLpsGPfRQ</x:v>
      </x:c>
    </x:row>
    <x:row r="222" ht="84" customHeight="1">
      <x:c r="A222" s="7" t="str">
        <x:v>工場運用DX</x:v>
      </x:c>
      <x:c r="B222" s="7" t="str">
        <x:v>AMRによる切り屑自動回収</x:v>
      </x:c>
      <x:c r="C222" s="7" t="str">
        <x:v>株式会社白山機工</x:v>
      </x:c>
      <x:c r="D222" s="7" t="str">
        <x:v>AMRによる切り屑自動回収</x:v>
      </x:c>
      <x:c r="E222" s="7" t="str">
        <x:v>E2007</x:v>
      </x:c>
      <x:c r="F222" s="7" t="str">
        <x:v>内容から分類（調査者・一次整理）</x:v>
      </x:c>
      <x:c r="G222" s="7" t="str">
        <x:v>出展説明に基づく一次分類。方式・実装権限・提供段階は個別確認</x:v>
      </x:c>
      <x:c t="str" r="H222" s="21">
        <x:f>HYPERLINK("#'展示詳細'!A"&amp;MATCH("AC186",'展示詳細'!$A$1:$A$340,0),"AC186")</x:f>
        <x:v>AC186</x:v>
      </x:c>
      <x:c r="I222" s="7" t="str">
        <x:v>2026の具体記述：今回は、切り屑・プレススクラップの搬送から自動回収、クーラントの高精度ろ過まで、工場の生産現場における「省人化・省スペース化・コスト削減」を実現する技術を展示します。 / 自由なレイアウトに対応するサークルコンベヤや、AMRを活用した切り屑自動回収システムを実演・模型で紹介。 / ■切り屑自動回収システム：AMRを使った切り屑自動回収システム。 / AMRによる自動回収で集中コンベヤなどの大掛かりな設備投資が不要となり、無人での回収処理</x:v>
      </x:c>
      <x:c r="J222" s="7" t="str">
        <x:v>EEX-EXH-2026-d8a50e23a9101b11
EDP-29</x:v>
      </x:c>
      <x:c r="K222" s="7" t="str">
        <x:v>https://www.jimtof.org/search/jp/ESdetails?e=FNFR7REQOl4
https://www.hakusankiko.co.jp/news/event/8837/</x:v>
      </x:c>
    </x:row>
    <x:row r="223" ht="84" customHeight="1">
      <x:c r="A223" s="7" t="str">
        <x:v>工場運用DX</x:v>
      </x:c>
      <x:c r="B223" s="7" t="str">
        <x:v>ギヤホーニングマシーン</x:v>
      </x:c>
      <x:c r="C223" s="7" t="str">
        <x:v>株式会社神崎高級工機製作所</x:v>
      </x:c>
      <x:c r="D223" s="7" t="str">
        <x:v>ギヤホーニングマシーン</x:v>
      </x:c>
      <x:c r="E223" s="7" t="str">
        <x:v>E1071</x:v>
      </x:c>
      <x:c r="F223" s="7" t="str">
        <x:v>内容から分類（調査者・一次整理）</x:v>
      </x:c>
      <x:c r="G223" s="7" t="str">
        <x:v>出展説明に基づく一次分類。方式・実装権限・提供段階は個別確認</x:v>
      </x:c>
      <x:c t="str" r="H223" s="21">
        <x:f>HYPERLINK("#'展示詳細'!A"&amp;MATCH("AC054",'展示詳細'!$A$1:$A$340,0),"AC054")</x:f>
        <x:v>AC054</x:v>
      </x:c>
      <x:c r="I223" s="7" t="str">
        <x:v>2026の具体記述：自動歯合わせ機能と、加工前のワーク状態を確認するギヤチェッカーを搭載し、 / FD100は自動歯合わせ機能と加工前のワーク状態を確認するギヤチェッカーを搭載し、段取り時間の短縮と安定した加工を支援します。</x:v>
      </x:c>
      <x:c r="J223" s="7" t="str">
        <x:v>EEX-EXH-2026-91aa8dd094a4a7b2</x:v>
      </x:c>
      <x:c r="K223" s="7" t="str">
        <x:v>https://www.jimtof.org/search/jp/ESdetails?e=bpuT_4Xpv_c</x:v>
      </x:c>
    </x:row>
    <x:row r="224" ht="84" customHeight="1">
      <x:c r="A224" s="7" t="str">
        <x:v>工場運用DX</x:v>
      </x:c>
      <x:c r="B224" s="7" t="str">
        <x:v>【ミストコレクター】</x:v>
      </x:c>
      <x:c r="C224" s="7" t="str">
        <x:v>株式会社赤松電機製作所</x:v>
      </x:c>
      <x:c r="D224" s="7" t="str">
        <x:v>【ミストコレクター】</x:v>
      </x:c>
      <x:c r="E224" s="7" t="str">
        <x:v>W2032</x:v>
      </x:c>
      <x:c r="F224" s="7" t="str">
        <x:v>内容から分類（調査者・一次整理）</x:v>
      </x:c>
      <x:c r="G224" s="7" t="str">
        <x:v>出展説明に基づく一次分類。方式・実装権限・提供段階は個別確認</x:v>
      </x:c>
      <x:c t="str" r="H224" s="21">
        <x:f>HYPERLINK("#'展示詳細'!A"&amp;MATCH("AC003",'展示詳細'!$A$1:$A$340,0),"AC003")</x:f>
        <x:v>AC003</x:v>
      </x:c>
      <x:c r="I224" s="7" t="str">
        <x:v>2026の具体記述：既存設備が最新鋭に生まれ変わる！ミストコレクター最新ソリューション / ✨ JIMTOF初出品！ニッチながら高機能なオプション ✨ / これまで現物を見られる機会が少なかった「あったらいいな」を実現した赤松独自のソリューションを、3つのゾーン展示で多数ご用意いたしております。 / ①スマート保全ゾーン / ミストコレクター「スマートミストゼロ（SMXシリーズ）」 / 目詰まりセンサーユニットで計画保全を実現！ / 設備稼働率向上と保全工</x:v>
      </x:c>
      <x:c r="J224" s="7" t="str">
        <x:v>EEX-EXH-2026-e01dca63e90b3edc</x:v>
      </x:c>
      <x:c r="K224" s="7" t="str">
        <x:v>https://www.jimtof.org/search/jp/ESdetails?e=lPv1x-bM_CQ</x:v>
      </x:c>
    </x:row>
    <x:row r="225" ht="84" customHeight="1">
      <x:c r="A225" s="7" t="str">
        <x:v>工場運用DX</x:v>
      </x:c>
      <x:c r="B225" s="7" t="str">
        <x:v>熱電EH無線振動センサー</x:v>
      </x:c>
      <x:c r="C225" s="7" t="str">
        <x:v>株式会社ＫＥＬＫ</x:v>
      </x:c>
      <x:c r="D225" s="7" t="str">
        <x:v>熱電EH無線振動センサー</x:v>
      </x:c>
      <x:c r="E225" s="7" t="str">
        <x:v>E1058</x:v>
      </x:c>
      <x:c r="F225" s="7" t="str">
        <x:v>内容から分類（調査者・一次整理）</x:v>
      </x:c>
      <x:c r="G225" s="7" t="str">
        <x:v>出展説明に基づく一次分類。方式・実装権限・提供段階は個別確認</x:v>
      </x:c>
      <x:c t="str" r="H225" s="21">
        <x:f>HYPERLINK("#'展示詳細'!A"&amp;MATCH("AC071",'展示詳細'!$A$1:$A$340,0),"AC071")</x:f>
        <x:v>AC071</x:v>
      </x:c>
      <x:c r="I225" s="7" t="str">
        <x:v>2026の具体記述：環境発電 (EH) で動作するメンテナンスフリーのIoT。 / 大規模事業所の設備状態監視にも活用いただけます。 / ・オンプレミスでまるごと設備状態を監視するモニタリングシステム。</x:v>
      </x:c>
      <x:c r="J225" s="7" t="str">
        <x:v>EEX-EXH-2026-f9b4b6d720da3a67</x:v>
      </x:c>
      <x:c r="K225" s="7" t="str">
        <x:v>https://www.jimtof.org/search/jp/ESdetails?e=bcTCu5edlsM</x:v>
      </x:c>
    </x:row>
    <x:row r="226" ht="84" customHeight="1">
      <x:c r="A226" s="7" t="str">
        <x:v>工場運用DX</x:v>
      </x:c>
      <x:c r="B226" s="7" t="str">
        <x:v>パレット供給</x:v>
      </x:c>
      <x:c r="C226" s="7" t="str">
        <x:v>牧野フライス製作所</x:v>
      </x:c>
      <x:c r="D226" s="7" t="str">
        <x:v>パレット自動化／MAS・ラインエンジニアリング</x:v>
      </x:c>
      <x:c r="E226" s="7" t="str">
        <x:v>E1024</x:v>
      </x:c>
      <x:c r="F226" s="7" t="str">
        <x:v>内容から分類（調査者）</x:v>
      </x:c>
      <x:c r="G226" s="7" t="str">
        <x:v>現場情報・運用・品質・保全のデータ利用</x:v>
      </x:c>
      <x:c t="str" r="H226" s="21">
        <x:f>HYPERLINK("#'展示詳細'!A"&amp;MATCH("FC046",'展示詳細'!$A$1:$A$340,0),"FC046")</x:f>
        <x:v>FC046</x:v>
      </x:c>
      <x:c r="I226" s="7" t="str">
        <x:v>データ取得・集約・計画・品質補正・保全・遠隔支援を工場運用の用途で分類。</x:v>
      </x:c>
      <x:c r="J226" s="7" t="str">
        <x:v>EOV-V027-2026-1</x:v>
      </x:c>
      <x:c r="K226" s="7" t="str">
        <x:v>https://www.jimtof.org/search/jp/ESdetails?e=M5OL10ECBTE</x:v>
      </x:c>
    </x:row>
    <x:row r="227" ht="84" customHeight="1">
      <x:c r="A227" s="7" t="str">
        <x:v>工場運用DX</x:v>
      </x:c>
      <x:c r="B227" s="7" t="str">
        <x:v>超高精度高速微細加工機　AndroidⅢ</x:v>
      </x:c>
      <x:c r="C227" s="7" t="str">
        <x:v>碌々スマートテクノロジー株式会社</x:v>
      </x:c>
      <x:c r="D227" s="7" t="str">
        <x:v>超高精度高速微細加工機　AndroidⅢ</x:v>
      </x:c>
      <x:c r="E227" s="7" t="str">
        <x:v>E2025</x:v>
      </x:c>
      <x:c r="F227" s="7" t="str">
        <x:v>内容から分類（調査者・一次整理）</x:v>
      </x:c>
      <x:c r="G227" s="7" t="str">
        <x:v>出展説明に基づく一次分類。方式・実装権限・提供段階は個別確認</x:v>
      </x:c>
      <x:c t="str" r="H227" s="21">
        <x:f>HYPERLINK("#'展示詳細'!A"&amp;MATCH("AC244",'展示詳細'!$A$1:$A$340,0),"AC244")</x:f>
        <x:v>AC244</x:v>
      </x:c>
      <x:c r="I227" s="7" t="str">
        <x:v>2026の具体記述：微細加工における「困りごと」である加工技術、補正技術、可視化技術、計測技術、予測技術、自動化技術など、さまざまな課題の解決に向けて、お客様の課題解決と成果創出に貢献するソリューションカンパニーとして、最適なご提案をいたします。</x:v>
      </x:c>
      <x:c r="J227" s="7" t="str">
        <x:v>EEX-EXH-2026-06412089488b96b5</x:v>
      </x:c>
      <x:c r="K227" s="7" t="str">
        <x:v>https://www.jimtof.org/search/jp/ESdetails?e=qZD6fx1n_QM</x:v>
      </x:c>
    </x:row>
    <x:row r="228" ht="84" customHeight="1">
      <x:c r="A228" s="7" t="str">
        <x:v>工場運用DX</x:v>
      </x:c>
      <x:c r="B228" s="7" t="str">
        <x:v>過酷環境の撮像</x:v>
      </x:c>
      <x:c r="C228" s="7" t="str">
        <x:v>興和オプトロニクス</x:v>
      </x:c>
      <x:c r="D228" s="7" t="str">
        <x:v>RW耐環境ビジョンユニット</x:v>
      </x:c>
      <x:c r="E228" s="7" t="str">
        <x:v>S3104</x:v>
      </x:c>
      <x:c r="F228" s="7" t="str">
        <x:v>内容から分類（調査者）</x:v>
      </x:c>
      <x:c r="G228" s="7" t="str">
        <x:v>現場情報・運用・品質・保全のデータ利用</x:v>
      </x:c>
      <x:c t="str" r="H228" s="21">
        <x:f>HYPERLINK("#'展示詳細'!A"&amp;MATCH("FC063",'展示詳細'!$A$1:$A$340,0),"FC063")</x:f>
        <x:v>FC063</x:v>
      </x:c>
      <x:c r="I228" s="7" t="str">
        <x:v>データ取得・集約・計画・品質補正・保全・遠隔支援を工場運用の用途で分類。</x:v>
      </x:c>
      <x:c r="J228" s="7" t="str">
        <x:v>EOV-V042-2026-1
EDP-33</x:v>
      </x:c>
      <x:c r="K228" s="7" t="str">
        <x:v>https://www.jimtof.org/search/jp/ESdetails?e=v6nw4APC-vQ
https://optical.kowa-opt.co.jp/camera-rw/</x:v>
      </x:c>
    </x:row>
    <x:row r="229" ht="84" customHeight="1">
      <x:c r="A229" s="7" t="str">
        <x:v>工場運用DX</x:v>
      </x:c>
      <x:c r="B229" s="7" t="str">
        <x:v>コンパクトかつ高剛性なテーブル形横中ぐり盤BTD-200QSを出展します。直径200mmのクイルを標準装備し、突き出し加工に優れ、強力な重切削が可能で</x:v>
      </x:c>
      <x:c r="C229" s="7" t="str">
        <x:v>芝浦機械株式会社</x:v>
      </x:c>
      <x:c r="D229" s="7" t="str">
        <x:v>コンパクトかつ高剛性なテーブル形横中ぐり盤BTD-200QSを出展します。直径200mmのクイルを標準装備し、突き出し加工に優れ、強力な重切削が可能で</x:v>
      </x:c>
      <x:c r="E229" s="7" t="str">
        <x:v>E2031</x:v>
      </x:c>
      <x:c r="F229" s="7" t="str">
        <x:v>内容から分類（調査者・一次整理）</x:v>
      </x:c>
      <x:c r="G229" s="7" t="str">
        <x:v>出展説明に基づく一次分類。方式・実装権限・提供段階は個別確認</x:v>
      </x:c>
      <x:c t="str" r="H229" s="21">
        <x:f>HYPERLINK("#'展示詳細'!A"&amp;MATCH("AC103",'展示詳細'!$A$1:$A$340,0),"AC103")</x:f>
        <x:v>AC103</x:v>
      </x:c>
      <x:c r="I229" s="7" t="str">
        <x:v>2026の具体記述：機械展示と合わせ、工場/機械の見える化や生産性向上を支援するDXの展示もございます。</x:v>
      </x:c>
      <x:c r="J229" s="7" t="str">
        <x:v>EEX-EXH-2026-2d71c6ed52b9c1a3</x:v>
      </x:c>
      <x:c r="K229" s="7" t="str">
        <x:v>https://www.jimtof.org/search/jp/ESdetails?e=-bHzD_rkD3E</x:v>
      </x:c>
    </x:row>
    <x:row r="230" ht="84" customHeight="1">
      <x:c r="A230" s="7" t="str">
        <x:v>工場運用DX</x:v>
      </x:c>
      <x:c r="B230" s="7" t="str">
        <x:v>適応制御・加工監視システム「ACM（Adaptive Control &amp; Monitoring）」</x:v>
      </x:c>
      <x:c r="C230" s="7" t="str">
        <x:v>西部商工株式会社</x:v>
      </x:c>
      <x:c r="D230" s="7" t="str">
        <x:v>適応制御・加工監視システム「ACM（Adaptive Control &amp; Monitoring）」</x:v>
      </x:c>
      <x:c r="E230" s="7" t="str">
        <x:v>S3020</x:v>
      </x:c>
      <x:c r="F230" s="7" t="str">
        <x:v>内容から分類（調査者・一次整理）</x:v>
      </x:c>
      <x:c r="G230" s="7" t="str">
        <x:v>出展説明に基づく一次分類。方式・実装権限・提供段階は個別確認</x:v>
      </x:c>
      <x:c t="str" r="H230" s="21">
        <x:f>HYPERLINK("#'展示詳細'!A"&amp;MATCH("AC115",'展示詳細'!$A$1:$A$340,0),"AC115")</x:f>
        <x:v>AC115</x:v>
      </x:c>
      <x:c r="I230" s="7" t="str">
        <x:v>2026の具体記述：また、加工状態の監視、適応制御、仮想立ち上げ、工場自動化などのデジタル技術にも取り組んでいます。 / 自動車・EV、航空宇宙、精密部品、歯車、ロボット、産業機器など、幅広い分野のお客様を支援しています。 / 適応制御・加工監視システム「ACM（Adaptive Control &amp; Monitoring）」 / ACMは、加工中の主軸負荷をリアルタイムに監視し、負荷の変化に応じて送り速度を自動調整するシステムです。</x:v>
      </x:c>
      <x:c r="J230" s="7" t="str">
        <x:v>EEX-EXH-2026-107042c6cf64ba96</x:v>
      </x:c>
      <x:c r="K230" s="7" t="str">
        <x:v>https://www.jimtof.org/search/jp/ESdetails?e=OC6R-wdDduM</x:v>
      </x:c>
    </x:row>
    <x:row r="231" ht="84" customHeight="1">
      <x:c r="A231" s="7" t="str">
        <x:v>自動化</x:v>
      </x:c>
      <x:c r="B231" s="7" t="str">
        <x:v>周辺部品・機構</x:v>
      </x:c>
      <x:c r="C231" s="7" t="str">
        <x:v>AUTOGRIP MACHINERY CO., LTD.</x:v>
      </x:c>
      <x:c r="D231" s="7" t="str">
        <x:v>1.3FW-26 アルミホイール加工用フィンガーチャック</x:v>
      </x:c>
      <x:c r="E231" s="7" t="str">
        <x:v>W3001</x:v>
      </x:c>
      <x:c r="F231" s="7" t="str">
        <x:v>内容から分類（調査者・一次整理）</x:v>
      </x:c>
      <x:c r="G231" s="7" t="str">
        <x:v>周辺要素・実装部品。システム全体のAI／自動動作の確認ではない</x:v>
      </x:c>
      <x:c t="str" r="H231" s="21">
        <x:f>HYPERLINK("#'展示詳細'!A"&amp;MATCH("AC249",'展示詳細'!$A$1:$A$340,0),"AC249")</x:f>
        <x:v>AC249</x:v>
      </x:c>
      <x:c r="I231" s="7" t="str">
        <x:v>2026の具体記述：4.自動化ワークホールディングソリューション</x:v>
      </x:c>
      <x:c r="J231" s="7" t="str">
        <x:v>EEX-EXH-2026-b9c308c3f5d83ade</x:v>
      </x:c>
      <x:c r="K231" s="7" t="str">
        <x:v>https://www.jimtof.org/search/jp/ESdetails?e=EeJK5dyX8Nc</x:v>
      </x:c>
    </x:row>
    <x:row r="232" ht="84" customHeight="1">
      <x:c r="A232" s="7" t="str">
        <x:v>自動化</x:v>
      </x:c>
      <x:c r="B232" s="7" t="str">
        <x:v>CUT P 350　ワイヤ放電加工機</x:v>
      </x:c>
      <x:c r="C232" s="7" t="str">
        <x:v>Agie Charmilles SA</x:v>
      </x:c>
      <x:c r="D232" s="7" t="str">
        <x:v>CUT P 350　ワイヤ放電加工機</x:v>
      </x:c>
      <x:c r="E232" s="7" t="str">
        <x:v>E8001</x:v>
      </x:c>
      <x:c r="F232" s="7" t="str">
        <x:v>内容から分類（調査者・一次整理）</x:v>
      </x:c>
      <x:c r="G232" s="7" t="str">
        <x:v>出展説明に基づく一次分類。方式・実装権限・提供段階は個別確認</x:v>
      </x:c>
      <x:c t="str" r="H232" s="21">
        <x:f>HYPERLINK("#'展示詳細'!A"&amp;MATCH("AC248",'展示詳細'!$A$1:$A$340,0),"AC248")</x:f>
        <x:v>AC248</x:v>
      </x:c>
      <x:c r="I232" s="7" t="str">
        <x:v>2026の具体記述：当社の自動化対応システムは、金型加工と精密部品加工を支え、高精度、信頼性、性能を提供します。</x:v>
      </x:c>
      <x:c r="J232" s="7" t="str">
        <x:v>EEX-EXH-2026-3eb1a3e98b1cfaf9</x:v>
      </x:c>
      <x:c r="K232" s="7" t="str">
        <x:v>https://www.jimtof.org/search/jp/ESdetails?e=mHTLRA9SdB0</x:v>
      </x:c>
    </x:row>
    <x:row r="233" ht="84" customHeight="1">
      <x:c r="A233" s="7" t="str">
        <x:v>自動化</x:v>
      </x:c>
      <x:c r="B233" s="7" t="str">
        <x:v>CNCトランスファーマシン</x:v>
      </x:c>
      <x:c r="C233" s="7" t="str">
        <x:v>BUFFOLI TRANSFER S.p.A.</x:v>
      </x:c>
      <x:c r="D233" s="7" t="str">
        <x:v>CNCトランスファーマシン</x:v>
      </x:c>
      <x:c r="E233" s="7" t="str">
        <x:v>E1034</x:v>
      </x:c>
      <x:c r="F233" s="7" t="str">
        <x:v>内容から分類（調査者・一次整理）</x:v>
      </x:c>
      <x:c r="G233" s="7" t="str">
        <x:v>出展説明に基づく一次分類。方式・実装権限・提供段階は個別確認</x:v>
      </x:c>
      <x:c t="str" r="H233" s="21">
        <x:f>HYPERLINK("#'展示詳細'!A"&amp;MATCH("AC252",'展示詳細'!$A$1:$A$340,0),"AC252")</x:f>
        <x:v>AC252</x:v>
      </x:c>
      <x:c r="I233" s="7" t="str">
        <x:v>2026の具体記述：人材不足が深刻化する製造業界において【搬送・ロボット・検査・ソフトウェア】までを一体化した自動化・ターンキーシステムを提供します。 / さらにAIによる品質検査や予知保全など、Industry 4.0/5.0を見据えた次世代の自動化技術にも注目です。</x:v>
      </x:c>
      <x:c r="J233" s="7" t="str">
        <x:v>EEX-EXH-2026-606bae6e521953bf</x:v>
      </x:c>
      <x:c r="K233" s="7" t="str">
        <x:v>https://www.jimtof.org/search/jp/ESdetails?e=XR5ASqmy4zw</x:v>
      </x:c>
    </x:row>
    <x:row r="234" ht="84" customHeight="1">
      <x:c r="A234" s="7" t="str">
        <x:v>自動化</x:v>
      </x:c>
      <x:c r="B234" s="7" t="str">
        <x:v>周辺部品・機構</x:v>
      </x:c>
      <x:c r="C234" s="7" t="str">
        <x:v>BizLink Special Cables (Changzhou) Co., Ltd.</x:v>
      </x:c>
      <x:c r="D234" s="7" t="str">
        <x:v>* 重要インフラ向けケーブル</x:v>
      </x:c>
      <x:c r="E234" s="7" t="str">
        <x:v>S1052</x:v>
      </x:c>
      <x:c r="F234" s="7" t="str">
        <x:v>内容から分類（調査者・一次整理）</x:v>
      </x:c>
      <x:c r="G234" s="7" t="str">
        <x:v>周辺要素・実装部品。システム全体のAI／自動動作の確認ではない</x:v>
      </x:c>
      <x:c t="str" r="H234" s="21">
        <x:f>HYPERLINK("#'展示詳細'!A"&amp;MATCH("AC250",'展示詳細'!$A$1:$A$340,0),"AC250")</x:f>
        <x:v>AC250</x:v>
      </x:c>
      <x:c r="I234" s="7" t="str">
        <x:v>2026の具体記述：さらにBizLinkは、ロボット用ケーブルおよびアセンブリ、ホース＆チューブ、ドレスパックシステム、すぐに導入可能な統合型ロボット、ロボットプログラミング、ならびに対面（講師指導）またはオンラインでの自動化システムトレーニングを提供しています。 / また、急速に高まるデジタル化の潮流に応え、センサー技術を活用した統合型かつインテリジェントな計測ソリューションも提供しています。 / * ロボット用リトラクトシステム</x:v>
      </x:c>
      <x:c r="J234" s="7" t="str">
        <x:v>EEX-EXH-2026-50111527cf450bde</x:v>
      </x:c>
      <x:c r="K234" s="7" t="str">
        <x:v>https://www.jimtof.org/search/jp/ESdetails?e=mONQNxkEoi8</x:v>
      </x:c>
    </x:row>
    <x:row r="235" ht="84" customHeight="1">
      <x:c r="A235" s="7" t="str">
        <x:v>自動化</x:v>
      </x:c>
      <x:c r="B235" s="7" t="str">
        <x:v>カタログ・サンプル展示</x:v>
      </x:c>
      <x:c r="C235" s="7" t="str">
        <x:v>Blohm Jung GmbH</x:v>
      </x:c>
      <x:c r="D235" s="7" t="str">
        <x:v>カタログ・サンプル展示</x:v>
      </x:c>
      <x:c r="E235" s="7" t="str">
        <x:v>E8001</x:v>
      </x:c>
      <x:c r="F235" s="7" t="str">
        <x:v>内容から分類（調査者・一次整理）</x:v>
      </x:c>
      <x:c r="G235" s="7" t="str">
        <x:v>出展説明に基づく一次分類。方式・実装権限・提供段階は個別確認</x:v>
      </x:c>
      <x:c t="str" r="H235" s="21">
        <x:f>HYPERLINK("#'展示詳細'!A"&amp;MATCH("AC251",'展示詳細'!$A$1:$A$340,0),"AC251")</x:f>
        <x:v>AC251</x:v>
      </x:c>
      <x:c r="I235" s="7" t="str">
        <x:v>2026の具体記述：また、自動化や工程最適化を通じて、生産性向上と安定した品質確保を支援します。 / ・自動車部品</x:v>
      </x:c>
      <x:c r="J235" s="7" t="str">
        <x:v>EEX-EXH-2026-39e340ba804ebaad</x:v>
      </x:c>
      <x:c r="K235" s="7" t="str">
        <x:v>https://www.jimtof.org/search/jp/ESdetails?e=dSHD282NmEc</x:v>
      </x:c>
    </x:row>
    <x:row r="236" ht="84" customHeight="1">
      <x:c r="A236" s="7" t="str">
        <x:v>自動化</x:v>
      </x:c>
      <x:c r="B236" s="7" t="str">
        <x:v>NC・干渉検証</x:v>
      </x:c>
      <x:c r="C236" s="7" t="str">
        <x:v>CGTech</x:v>
      </x:c>
      <x:c r="D236" s="7" t="str">
        <x:v>Vericut：Gコード検証</x:v>
      </x:c>
      <x:c r="E236" s="7" t="str">
        <x:v>S3014</x:v>
      </x:c>
      <x:c r="F236" s="7" t="str">
        <x:v>内容から分類（調査者）</x:v>
      </x:c>
      <x:c r="G236" s="7" t="str">
        <x:v>固定手順・生成・判定・補正等の自動化／支援</x:v>
      </x:c>
      <x:c t="str" r="H236" s="21">
        <x:f>HYPERLINK("#'展示詳細'!A"&amp;MATCH("FC021",'展示詳細'!$A$1:$A$340,0),"FC021")</x:f>
        <x:v>FC021</x:v>
      </x:c>
      <x:c r="I236" s="7" t="str">
        <x:v>人が行っていた処理・作業を機械又はソフトで行う機能に分類。提案の採用や例外対応に人が残るものを含む。</x:v>
      </x:c>
      <x:c r="J236" s="7" t="str">
        <x:v>EOV-V009-2026-1
EDP-20</x:v>
      </x:c>
      <x:c r="K236" s="7" t="str">
        <x:v>https://www.jimtof.org/search/jp/ESdetails?e=41U8xW4UkcM
https://vericut.com/ja-jp/products/cnc-machine-simulation</x:v>
      </x:c>
    </x:row>
    <x:row r="237" ht="84" customHeight="1">
      <x:c r="A237" s="7" t="str">
        <x:v>自動化</x:v>
      </x:c>
      <x:c r="B237" s="7" t="str">
        <x:v>加工条件・NC最適化</x:v>
      </x:c>
      <x:c r="C237" s="7" t="str">
        <x:v>CGTech</x:v>
      </x:c>
      <x:c r="D237" s="7" t="str">
        <x:v>Vericut Force／Optimizer</x:v>
      </x:c>
      <x:c r="E237" s="7" t="str">
        <x:v>S3014</x:v>
      </x:c>
      <x:c r="F237" s="7" t="str">
        <x:v>内容から分類（調査者）</x:v>
      </x:c>
      <x:c r="G237" s="7" t="str">
        <x:v>固定手順・生成・判定・補正等の自動化／支援</x:v>
      </x:c>
      <x:c t="str" r="H237" s="21">
        <x:f>HYPERLINK("#'展示詳細'!A"&amp;MATCH("FC022",'展示詳細'!$A$1:$A$340,0),"FC022")</x:f>
        <x:v>FC022</x:v>
      </x:c>
      <x:c r="I237" s="7" t="str">
        <x:v>人が行っていた処理・作業を機械又はソフトで行う機能に分類。提案の採用や例外対応に人が残るものを含む。</x:v>
      </x:c>
      <x:c r="J237" s="7" t="str">
        <x:v>EOV-V009-2026-1</x:v>
      </x:c>
      <x:c r="K237" s="7" t="str">
        <x:v>https://www.jimtof.org/search/jp/ESdetails?e=41U8xW4UkcM</x:v>
      </x:c>
    </x:row>
    <x:row r="238" ht="84" customHeight="1">
      <x:c r="A238" s="7" t="str">
        <x:v>自動化</x:v>
      </x:c>
      <x:c r="B238" s="7" t="str">
        <x:v>周辺部品・機構</x:v>
      </x:c>
      <x:c r="C238" s="7" t="str">
        <x:v>Chen Ying Oil Machine Co., Ltd.</x:v>
      </x:c>
      <x:c r="D238" s="7" t="str">
        <x:v>定量給油用電動給油機（容積式潤滑システム）</x:v>
      </x:c>
      <x:c r="E238" s="7" t="str">
        <x:v>S1049</x:v>
      </x:c>
      <x:c r="F238" s="7" t="str">
        <x:v>内容から分類（調査者・一次整理）</x:v>
      </x:c>
      <x:c r="G238" s="7" t="str">
        <x:v>周辺要素・実装部品。システム全体のAI／自動動作の確認ではない</x:v>
      </x:c>
      <x:c t="str" r="H238" s="21">
        <x:f>HYPERLINK("#'展示詳細'!A"&amp;MATCH("AC254",'展示詳細'!$A$1:$A$340,0),"AC254")</x:f>
        <x:v>AC254</x:v>
      </x:c>
      <x:c r="I238" s="7" t="str">
        <x:v>2026の具体記述：・CNC工作機械および産業自動化設備向け集中潤滑システム関連機器</x:v>
      </x:c>
      <x:c r="J238" s="7" t="str">
        <x:v>EEX-EXH-2026-a49b154774608339</x:v>
      </x:c>
      <x:c r="K238" s="7" t="str">
        <x:v>https://www.jimtof.org/search/jp/ESdetails?e=bRKaw8mtvM4</x:v>
      </x:c>
    </x:row>
    <x:row r="239" ht="84" customHeight="1">
      <x:c r="A239" s="7" t="str">
        <x:v>自動化</x:v>
      </x:c>
      <x:c r="B239" s="7" t="str">
        <x:v>Full Electric Servo CNC Bending Machine</x:v>
      </x:c>
      <x:c r="C239" s="7" t="str">
        <x:v>DGDY SHEET METAL MACHINERY CO.,LTD</x:v>
      </x:c>
      <x:c r="D239" s="7" t="str">
        <x:v>Full Electric Servo CNC Bending Machine</x:v>
      </x:c>
      <x:c r="E239" s="7" t="str">
        <x:v>E1019</x:v>
      </x:c>
      <x:c r="F239" s="7" t="str">
        <x:v>内容から分類（調査者・一次整理）</x:v>
      </x:c>
      <x:c r="G239" s="7" t="str">
        <x:v>出展説明に基づく一次分類。方式・実装権限・提供段階は個別確認</x:v>
      </x:c>
      <x:c t="str" r="H239" s="21">
        <x:f>HYPERLINK("#'展示詳細'!A"&amp;MATCH("AC256",'展示詳細'!$A$1:$A$340,0),"AC256")</x:f>
        <x:v>AC256</x:v>
      </x:c>
      <x:c r="I239" s="7" t="str">
        <x:v>2026の具体記述：Panel Bender / One-time Positioning, Multi-angle Bending / Different Thicknesses Materials, Completed in One Mold / Automatic Tool Changing, Automatic Avoidance / Numerical Control System / Offline Programming, Graphic I</x:v>
      </x:c>
      <x:c r="J239" s="7" t="str">
        <x:v>EEX-EXH-2026-1dba700d81292c04</x:v>
      </x:c>
      <x:c r="K239" s="7" t="str">
        <x:v>https://www.jimtof.org/search/jp/ESdetails?e=Rtj9rox8Zj4</x:v>
      </x:c>
    </x:row>
    <x:row r="240" ht="84" customHeight="1">
      <x:c r="A240" s="7" t="str">
        <x:v>自動化</x:v>
      </x:c>
      <x:c r="B240" s="7" t="str">
        <x:v>工場内搬送</x:v>
      </x:c>
      <x:c r="C240" s="7" t="str">
        <x:v>DMG森精機</x:v>
      </x:c>
      <x:c r="D240" s="7" t="str">
        <x:v>AMR 1000</x:v>
      </x:c>
      <x:c r="E240" s="7" t="str">
        <x:v>E8005</x:v>
      </x:c>
      <x:c r="F240" s="7" t="str">
        <x:v>内容から分類（調査者）</x:v>
      </x:c>
      <x:c r="G240" s="7" t="str">
        <x:v>固定手順・生成・判定・補正等の自動化／支援</x:v>
      </x:c>
      <x:c t="str" r="H240" s="21">
        <x:f>HYPERLINK("#'展示詳細'!A"&amp;MATCH("FC001",'展示詳細'!$A$1:$A$340,0),"FC001")</x:f>
        <x:v>FC001</x:v>
      </x:c>
      <x:c r="I240" s="7" t="str">
        <x:v>人が行っていた処理・作業を機械又はソフトで行う機能に分類。提案の採用や例外対応に人が残るものを含む。</x:v>
      </x:c>
      <x:c r="J240" s="7" t="str">
        <x:v>EOV-V001-2026-1</x:v>
      </x:c>
      <x:c r="K240" s="7" t="str">
        <x:v>https://www.jimtof.org/search/jp/ESdetails?e=zcqDj1lSkGs</x:v>
      </x:c>
    </x:row>
    <x:row r="241" ht="84" customHeight="1">
      <x:c r="A241" s="7" t="str">
        <x:v>自動化</x:v>
      </x:c>
      <x:c r="B241" s="7" t="str">
        <x:v>パレット供給</x:v>
      </x:c>
      <x:c r="C241" s="7" t="str">
        <x:v>DMG森精機</x:v>
      </x:c>
      <x:c r="D241" s="7" t="str">
        <x:v>MATRIS WPH 210</x:v>
      </x:c>
      <x:c r="E241" s="7" t="str">
        <x:v>E8005</x:v>
      </x:c>
      <x:c r="F241" s="7" t="str">
        <x:v>内容から分類（調査者）</x:v>
      </x:c>
      <x:c r="G241" s="7" t="str">
        <x:v>固定手順・生成・判定・補正等の自動化／支援</x:v>
      </x:c>
      <x:c t="str" r="H241" s="21">
        <x:f>HYPERLINK("#'展示詳細'!A"&amp;MATCH("FC002",'展示詳細'!$A$1:$A$340,0),"FC002")</x:f>
        <x:v>FC002</x:v>
      </x:c>
      <x:c r="I241" s="7" t="str">
        <x:v>人が行っていた処理・作業を機械又はソフトで行う機能に分類。提案の採用や例外対応に人が残るものを含む。</x:v>
      </x:c>
      <x:c r="J241" s="7" t="str">
        <x:v>EOV-V001-2026-1</x:v>
      </x:c>
      <x:c r="K241" s="7" t="str">
        <x:v>https://www.jimtof.org/search/jp/ESdetails?e=zcqDj1lSkGs</x:v>
      </x:c>
    </x:row>
    <x:row r="242" ht="84" customHeight="1">
      <x:c r="A242" s="7" t="str">
        <x:v>自動化</x:v>
      </x:c>
      <x:c r="B242" s="7" t="str">
        <x:v>赤外線プローブ DOP40</x:v>
      </x:c>
      <x:c r="C242" s="7" t="str">
        <x:v>Dongguan Dongfangqidu Metrology Co Ltd</x:v>
      </x:c>
      <x:c r="D242" s="7" t="str">
        <x:v>赤外線プローブ DOP40</x:v>
      </x:c>
      <x:c r="E242" s="7" t="str">
        <x:v>E7006</x:v>
      </x:c>
      <x:c r="F242" s="7" t="str">
        <x:v>内容から分類（調査者・一次整理）</x:v>
      </x:c>
      <x:c r="G242" s="7" t="str">
        <x:v>出展説明に基づく一次分類。方式・実装権限・提供段階は個別確認</x:v>
      </x:c>
      <x:c t="str" r="H242" s="21">
        <x:f>HYPERLINK("#'展示詳細'!A"&amp;MATCH("AC257",'展示詳細'!$A$1:$A$340,0),"AC257")</x:f>
        <x:v>AC257</x:v>
      </x:c>
      <x:c r="I242" s="7" t="str">
        <x:v>2026の具体記述：ワークの位置決め・寸法確認、工具長・工具径測定、工具破損検出など、加工工程内での自動計測に対応。 / 安定した繰返し精度、柔軟なシステム構成、容易な導入を通じて、段取り時間の短縮、加工の安定化、無人運転・自動化をサポートします。</x:v>
      </x:c>
      <x:c r="J242" s="7" t="str">
        <x:v>EEX-EXH-2026-d39b5dc8b972e1a4</x:v>
      </x:c>
      <x:c r="K242" s="7" t="str">
        <x:v>https://www.jimtof.org/search/jp/ESdetails?e=25HOX5M84N0</x:v>
      </x:c>
    </x:row>
    <x:row r="243" ht="84" customHeight="1">
      <x:c r="A243" s="7" t="str">
        <x:v>自動化</x:v>
      </x:c>
      <x:c r="B243" s="7" t="str">
        <x:v>設計製造データ連携</x:v>
      </x:c>
      <x:c r="C243" s="7" t="str">
        <x:v>EPLAN</x:v>
      </x:c>
      <x:c r="D243" s="7" t="str">
        <x:v>Eplan P8／Pro Panel</x:v>
      </x:c>
      <x:c r="E243" s="7" t="str">
        <x:v>S1067</x:v>
      </x:c>
      <x:c r="F243" s="7" t="str">
        <x:v>内容から分類（調査者）</x:v>
      </x:c>
      <x:c r="G243" s="7" t="str">
        <x:v>固定手順・生成・判定・補正等の自動化／支援</x:v>
      </x:c>
      <x:c t="str" r="H243" s="21">
        <x:f>HYPERLINK("#'展示詳細'!A"&amp;MATCH("FC016",'展示詳細'!$A$1:$A$340,0),"FC016")</x:f>
        <x:v>FC016</x:v>
      </x:c>
      <x:c r="I243" s="7" t="str">
        <x:v>人が行っていた処理・作業を機械又はソフトで行う機能に分類。提案の採用や例外対応に人が残るものを含む。</x:v>
      </x:c>
      <x:c r="J243" s="7" t="str">
        <x:v>EOV-V006-2026-1</x:v>
      </x:c>
      <x:c r="K243" s="7" t="str">
        <x:v>https://www.jimtof.org/search/jp/ESdetails?e=FHsQAvmFusY</x:v>
      </x:c>
    </x:row>
    <x:row r="244" ht="84" customHeight="1">
      <x:c r="A244" s="7" t="str">
        <x:v>自動化</x:v>
      </x:c>
      <x:c r="B244" s="7" t="str">
        <x:v>ロータリートランスファーマシン（サンプル出展）</x:v>
      </x:c>
      <x:c r="C244" s="7" t="str">
        <x:v>FAPTECH (HANGZHOU) CO.,LTD.</x:v>
      </x:c>
      <x:c r="D244" s="7" t="str">
        <x:v>ロータリートランスファーマシン（サンプル出展）</x:v>
      </x:c>
      <x:c r="E244" s="7" t="str">
        <x:v>E2026</x:v>
      </x:c>
      <x:c r="F244" s="7" t="str">
        <x:v>内容から分類（調査者・一次整理）</x:v>
      </x:c>
      <x:c r="G244" s="7" t="str">
        <x:v>出展説明に基づく一次分類。方式・実装権限・提供段階は個別確認</x:v>
      </x:c>
      <x:c t="str" r="H244" s="21">
        <x:f>HYPERLINK("#'展示詳細'!A"&amp;MATCH("AC260",'展示詳細'!$A$1:$A$340,0),"AC260")</x:f>
        <x:v>AC260</x:v>
      </x:c>
      <x:c r="I244" s="7" t="str">
        <x:v>2026の具体記述：【ファップテック ロータリートランスファーマシン】 / ～鍛造・鋳造品の多方向機械加工を一台に集約し、省人化・省スペースを実現～ / バルブや継手、水道メーターケース、空圧機器部品の機械加工を1台で担います。 / 単工程のNC機を直線的に並べ、工程ごとにワークを搬送するトランスファーマシンを一台のロータリートランスファーマシンに置き換えることで、工程間の精度管理が不要となります。 / 管理する人や手間、場所も省くことができ、工場の生産性</x:v>
      </x:c>
      <x:c r="J244" s="7" t="str">
        <x:v>EEX-EXH-2026-71042226949434d5</x:v>
      </x:c>
      <x:c r="K244" s="7" t="str">
        <x:v>https://www.jimtof.org/search/jp/ESdetails?e=50efK4rQsHs</x:v>
      </x:c>
    </x:row>
    <x:row r="245" ht="84" customHeight="1">
      <x:c r="A245" s="7" t="str">
        <x:v>自動化</x:v>
      </x:c>
      <x:c r="B245" s="7" t="str">
        <x:v>TM-2800：AMR・ロボット・加工機の統合</x:v>
      </x:c>
      <x:c r="C245" s="7" t="str">
        <x:v>FNS株式会社</x:v>
      </x:c>
      <x:c r="D245" s="7" t="str">
        <x:v>TM-2800：AMR・ロボット・加工機の統合</x:v>
      </x:c>
      <x:c r="E245" s="7" t="str">
        <x:v>E2034</x:v>
      </x:c>
      <x:c r="F245" s="7" t="str">
        <x:v>内容から分類（調査者・一次整理）</x:v>
      </x:c>
      <x:c r="G245" s="7" t="str">
        <x:v>出展説明に基づく一次分類。方式・実装権限・提供段階は個別確認</x:v>
      </x:c>
      <x:c t="str" r="H245" s="21">
        <x:f>HYPERLINK("#'展示詳細'!A"&amp;MATCH("AC039",'展示詳細'!$A$1:$A$340,0),"AC039")</x:f>
        <x:v>AC039</x:v>
      </x:c>
      <x:c r="I245" s="7" t="str">
        <x:v>2026の具体記述：あとは、TM-2800自身がAMRや協働ロボット、加工機を手足のように駆使し、効率のよい生産を行ってくれます。 / AMR、ロボット、加工機を統合・制御することで、極限まで省人化された生産現場が構築されます。 / 移動式ロボットシステム「RM-1000」</x:v>
      </x:c>
      <x:c r="J245" s="7" t="str">
        <x:v>EEX-EXH-2026-9022dcaec2b02dde
EDP-25</x:v>
      </x:c>
      <x:c r="K245" s="7" t="str">
        <x:v>https://www.jimtof.org/search/jp/ESdetails?e=_q_YetP8_og
https://www.fns-inc.jp/%E3%83%AD%E3%83%9C%E3%83%83%E3%83%88%E3%82%B7%E3%82%B9%E3%83%86%E3%83%A0</x:v>
      </x:c>
    </x:row>
    <x:row r="246" ht="84" customHeight="1">
      <x:c r="A246" s="7" t="str">
        <x:v>自動化</x:v>
      </x:c>
      <x:c r="B246" s="7" t="str">
        <x:v>新製品情報を公開：</x:v>
      </x:c>
      <x:c r="C246" s="7" t="str">
        <x:v>GROB Japan株式会社</x:v>
      </x:c>
      <x:c r="D246" s="7" t="str">
        <x:v>新製品情報を公開：</x:v>
      </x:c>
      <x:c r="E246" s="7" t="str">
        <x:v>S1059</x:v>
      </x:c>
      <x:c r="F246" s="7" t="str">
        <x:v>内容から分類（調査者・一次整理）</x:v>
      </x:c>
      <x:c r="G246" s="7" t="str">
        <x:v>出展説明に基づく一次分類。方式・実装権限・提供段階は個別確認</x:v>
      </x:c>
      <x:c t="str" r="H246" s="21">
        <x:f>HYPERLINK("#'展示詳細'!A"&amp;MATCH("AC069",'展示詳細'!$A$1:$A$340,0),"AC069")</x:f>
        <x:v>AC069</x:v>
      </x:c>
      <x:c r="I246" s="7" t="str">
        <x:v>2026の具体記述：GROBは今年で創立100周年を迎えた南ドイツのミンデルハイムに本社を持つ加工機、自動化・組立設備メーカーです。 / テーブルが180°反転した状態で加工できる横型同時5軸加工機のGシリーズから、GROB内製の多様な自動化設備、EV向けのモーター・バッテリーの組立設備まで幅広いソリューションを提供しています。</x:v>
      </x:c>
      <x:c r="J246" s="7" t="str">
        <x:v>EEX-EXH-2026-c73d489b393f8bc8</x:v>
      </x:c>
      <x:c r="K246" s="7" t="str">
        <x:v>https://www.jimtof.org/search/jp/ESdetails?e=1gMJ22MesEE</x:v>
      </x:c>
    </x:row>
    <x:row r="247" ht="84" customHeight="1">
      <x:c r="A247" s="7" t="str">
        <x:v>自動化</x:v>
      </x:c>
      <x:c r="B247" s="7" t="str">
        <x:v>周辺部品・機構</x:v>
      </x:c>
      <x:c r="C247" s="7" t="str">
        <x:v>Gifu Enterprise Co., Ltd</x:v>
      </x:c>
      <x:c r="D247" s="7" t="str">
        <x:v>低炭素・スマート・多機能 カルーセル式チェーンマガジン</x:v>
      </x:c>
      <x:c r="E247" s="7" t="str">
        <x:v>W3040</x:v>
      </x:c>
      <x:c r="F247" s="7" t="str">
        <x:v>内容から分類（調査者・一次整理）</x:v>
      </x:c>
      <x:c r="G247" s="7" t="str">
        <x:v>周辺要素・実装部品。システム全体のAI／自動動作の確認ではない</x:v>
      </x:c>
      <x:c t="str" r="H247" s="21">
        <x:f>HYPERLINK("#'展示詳細'!A"&amp;MATCH("AC262",'展示詳細'!$A$1:$A$340,0),"AC262")</x:f>
        <x:v>AC262</x:v>
      </x:c>
      <x:c r="I247" s="7" t="str">
        <x:v>2026の具体記述：部品標準化により調達コストを6%削減し、自動旋転式エアブロー・ブラシ洗浄装置による完全自動化と高精度な位置決めを実現。 / 3. M625648号 – ツールシャンク自動回転式エアブロー・ブラシ洗浄装置 / 1. 自動回転式エアブロー・ブラシ洗浄装置により、手動作業が不要となり、自動化された清掃で時間短縮と省エネを実現。</x:v>
      </x:c>
      <x:c r="J247" s="7" t="str">
        <x:v>EEX-EXH-2026-08801fc905a3c0c2</x:v>
      </x:c>
      <x:c r="K247" s="7" t="str">
        <x:v>https://www.jimtof.org/search/jp/ESdetails?e=KFThic8eDqA</x:v>
      </x:c>
    </x:row>
    <x:row r="248" ht="84" customHeight="1">
      <x:c r="A248" s="7" t="str">
        <x:v>自動化</x:v>
      </x:c>
      <x:c r="B248" s="7" t="str">
        <x:v>外観検査</x:v>
      </x:c>
      <x:c r="C248" s="7" t="str">
        <x:v>HACARUS</x:v>
      </x:c>
      <x:c r="D248" s="7" t="str">
        <x:v>HACARUS Check ZERO</x:v>
      </x:c>
      <x:c r="E248" s="7" t="str">
        <x:v>S1031</x:v>
      </x:c>
      <x:c r="F248" s="7" t="str">
        <x:v>内容から分類（調査者）</x:v>
      </x:c>
      <x:c r="G248" s="7" t="str">
        <x:v>固定手順・生成・判定・補正等の自動化／支援</x:v>
      </x:c>
      <x:c t="str" r="H248" s="21">
        <x:f>HYPERLINK("#'展示詳細'!A"&amp;MATCH("FC036",'展示詳細'!$A$1:$A$340,0),"FC036")</x:f>
        <x:v>FC036</x:v>
      </x:c>
      <x:c r="I248" s="7" t="str">
        <x:v>人が行っていた処理・作業を機械又はソフトで行う機能に分類。提案の採用や例外対応に人が残るものを含む。</x:v>
      </x:c>
      <x:c r="J248" s="7" t="str">
        <x:v>EOV-V021-2026-1
EDP-14
EDP-15
ERF-05</x:v>
      </x:c>
      <x:c r="K248" s="7" t="str">
        <x:v>https://www.jimtof.org/search/jp/ESdetails?e=oatArsOZ-Wc
https://hacarus.com/ja/press-release/20250707-news/
https://check.hacarus.com/ja/
https://check.hacarus.com/ja/aisoftware/</x:v>
      </x:c>
    </x:row>
    <x:row r="249" ht="84" customHeight="1">
      <x:c r="A249" s="7" t="str">
        <x:v>自動化</x:v>
      </x:c>
      <x:c r="B249" s="7" t="str">
        <x:v>周辺部品・機構</x:v>
      </x:c>
      <x:c r="C249" s="7" t="str">
        <x:v>HAWEジャパン株式会社</x:v>
      </x:c>
      <x:c r="D249" s="7" t="str">
        <x:v>当社は、油圧技術と電子制御技術を融合した省エネルギー・高機能ソリューションを提案します。切削用工作機械向けでは、インバータ技術により従来型油圧システム</x:v>
      </x:c>
      <x:c r="E249" s="7" t="str">
        <x:v>E3005</x:v>
      </x:c>
      <x:c r="F249" s="7" t="str">
        <x:v>内容から分類（調査者・一次整理）</x:v>
      </x:c>
      <x:c r="G249" s="7" t="str">
        <x:v>周辺要素・実装部品。システム全体のAI／自動動作の確認ではない</x:v>
      </x:c>
      <x:c t="str" r="H249" s="21">
        <x:f>HYPERLINK("#'展示詳細'!A"&amp;MATCH("AC185",'展示詳細'!$A$1:$A$340,0),"AC185")</x:f>
        <x:v>AC185</x:v>
      </x:c>
      <x:c r="I249" s="7" t="str">
        <x:v>2026の具体記述：生産に関わる工程を、「切削用工作機械」「治具クランプ」「マテリアルハンドリング」「新製品」の4分野に分け、それぞれの分野において、省エネおよびIoT対応を実現するシステム・製品をご提案いたします。 / 切削用工作機械向けでは、インバータ技術により従来型油圧システム比で約70～80％の消費電力削減を実現する省エネ油圧システムや、IoTを活用した予防保全・メンテナンス効率向上ソリューションを紹介します。 / 治具クランプ向けには、FA化に対</x:v>
      </x:c>
      <x:c r="J249" s="7" t="str">
        <x:v>EEX-EXH-2026-9f03016f633961ce</x:v>
      </x:c>
      <x:c r="K249" s="7" t="str">
        <x:v>https://www.jimtof.org/search/jp/ESdetails?e=uvRSrTznX5g</x:v>
      </x:c>
    </x:row>
    <x:row r="250" ht="84" customHeight="1">
      <x:c r="A250" s="7" t="str">
        <x:v>自動化</x:v>
      </x:c>
      <x:c r="B250" s="7" t="str">
        <x:v>工程設計</x:v>
      </x:c>
      <x:c r="C250" s="7" t="str">
        <x:v>Hexagon Manufacturing Intelligence</x:v>
      </x:c>
      <x:c r="D250" s="7" t="str">
        <x:v>ESPRIT EDGE ProPlanAI</x:v>
      </x:c>
      <x:c r="E250" s="7" t="str">
        <x:v>E2013</x:v>
      </x:c>
      <x:c r="F250" s="7" t="str">
        <x:v>内容から分類（調査者）</x:v>
      </x:c>
      <x:c r="G250" s="7" t="str">
        <x:v>固定手順・生成・判定・補正等の自動化／支援</x:v>
      </x:c>
      <x:c t="str" r="H250" s="21">
        <x:f>HYPERLINK("#'展示詳細'!A"&amp;MATCH("FC018",'展示詳細'!$A$1:$A$340,0),"FC018")</x:f>
        <x:v>FC018</x:v>
      </x:c>
      <x:c r="I250" s="7" t="str">
        <x:v>人が行っていた処理・作業を機械又はソフトで行う機能に分類。提案の採用や例外対応に人が残るものを含む。</x:v>
      </x:c>
      <x:c r="J250" s="7" t="str">
        <x:v>EOV-V007-2026-2
EOV-W02</x:v>
      </x:c>
      <x:c r="K250" s="7" t="str">
        <x:v>https://www.jimtof.org/search/jp/ESdetails?e=6l20Qo0pjl4
https://hexagon.com/products/esprit-edge/release-highlights</x:v>
      </x:c>
    </x:row>
    <x:row r="251" ht="84" customHeight="1">
      <x:c r="A251" s="7" t="str">
        <x:v>自動化</x:v>
      </x:c>
      <x:c r="B251" s="7" t="str">
        <x:v>寸法・形状計測</x:v>
      </x:c>
      <x:c r="C251" s="7" t="str">
        <x:v>Hexagon Manufacturing Intelligence</x:v>
      </x:c>
      <x:c r="D251" s="7" t="str">
        <x:v>MAESTRO／PRESTO／品質ソフト群</x:v>
      </x:c>
      <x:c r="E251" s="7" t="str">
        <x:v>E7035</x:v>
      </x:c>
      <x:c r="F251" s="7" t="str">
        <x:v>内容から分類（調査者）</x:v>
      </x:c>
      <x:c r="G251" s="7" t="str">
        <x:v>固定手順・生成・判定・補正等の自動化／支援</x:v>
      </x:c>
      <x:c t="str" r="H251" s="21">
        <x:f>HYPERLINK("#'展示詳細'!A"&amp;MATCH("FC019",'展示詳細'!$A$1:$A$340,0),"FC019")</x:f>
        <x:v>FC019</x:v>
      </x:c>
      <x:c r="I251" s="7" t="str">
        <x:v>人が行っていた処理・作業を機械又はソフトで行う機能に分類。提案の採用や例外対応に人が残るものを含む。</x:v>
      </x:c>
      <x:c r="J251" s="7" t="str">
        <x:v>EOV-V007-2026-1</x:v>
      </x:c>
      <x:c r="K251" s="7" t="str">
        <x:v>https://www.jimtof.org/search/jp/ESdetails?e=oUyVPjxvy-U</x:v>
      </x:c>
    </x:row>
    <x:row r="252" ht="84" customHeight="1">
      <x:c r="A252" s="7" t="str">
        <x:v>自動化</x:v>
      </x:c>
      <x:c r="B252" s="7" t="str">
        <x:v>周辺部品・機構</x:v>
      </x:c>
      <x:c r="C252" s="7" t="str">
        <x:v>IDEC株式会社</x:v>
      </x:c>
      <x:c r="D252" s="7" t="str">
        <x:v>IDECブースでは、「安全が支える止まらない現場」をテーマに、</x:v>
      </x:c>
      <x:c r="E252" s="7" t="str">
        <x:v>W4090</x:v>
      </x:c>
      <x:c r="F252" s="7" t="str">
        <x:v>内容から分類（調査者・一次整理）</x:v>
      </x:c>
      <x:c r="G252" s="7" t="str">
        <x:v>周辺要素・実装部品。システム全体のAI／自動動作の確認ではない</x:v>
      </x:c>
      <x:c t="str" r="H252" s="21">
        <x:f>HYPERLINK("#'展示詳細'!A"&amp;MATCH("AC002",'展示詳細'!$A$1:$A$340,0),"AC002")</x:f>
        <x:v>AC002</x:v>
      </x:c>
      <x:c r="I252" s="7" t="str">
        <x:v>2026の具体記述：近年、工作機械の現場では、自動化や無人運転の拡大に伴い、 / 非接触方式によるガード扉監視を実現し、高い耐久性と設置自由度で工作機械の安全性向上をサポートします。</x:v>
      </x:c>
      <x:c r="J252" s="7" t="str">
        <x:v>EEX-EXH-2026-7d2e05044c8b6788</x:v>
      </x:c>
      <x:c r="K252" s="7" t="str">
        <x:v>https://www.jimtof.org/search/jp/ESdetails?e=26-u-N6DHfQ</x:v>
      </x:c>
    </x:row>
    <x:row r="253" ht="84" customHeight="1">
      <x:c r="A253" s="7" t="str">
        <x:v>自動化</x:v>
      </x:c>
      <x:c r="B253" s="7" t="str">
        <x:v>タービンブレード研削盤（サンプル出展）</x:v>
      </x:c>
      <x:c r="C253" s="7" t="str">
        <x:v>IMM Maschinenbau GmbH</x:v>
      </x:c>
      <x:c r="D253" s="7" t="str">
        <x:v>タービンブレード研削盤（サンプル出展）</x:v>
      </x:c>
      <x:c r="E253" s="7" t="str">
        <x:v>E2026</x:v>
      </x:c>
      <x:c r="F253" s="7" t="str">
        <x:v>内容から分類（調査者・一次整理）</x:v>
      </x:c>
      <x:c r="G253" s="7" t="str">
        <x:v>出展説明に基づく一次分類。方式・実装権限・提供段階は個別確認</x:v>
      </x:c>
      <x:c t="str" r="H253" s="21">
        <x:f>HYPERLINK("#'展示詳細'!A"&amp;MATCH("AC264",'展示詳細'!$A$1:$A$340,0),"AC264")</x:f>
        <x:v>AC264</x:v>
      </x:c>
      <x:c r="I253" s="7" t="str">
        <x:v>2026の具体記述：【アイエムエム タービンブレードベルト研削盤】 / ～タービンブレード磨きの省力化、工程短縮、品質安定を実現～ / 磨き装置の専門メーカーであるアイエムエムのベルト研磨機は、発電機・航空機用ブレードの業界で広く認知され、高い評価を受けています。 / タービンブレード研削盤（サンプル出展）</x:v>
      </x:c>
      <x:c r="J253" s="7" t="str">
        <x:v>EEX-EXH-2026-763f74d6ac021fe7</x:v>
      </x:c>
      <x:c r="K253" s="7" t="str">
        <x:v>https://www.jimtof.org/search/jp/ESdetails?e=p1moNnspTGg</x:v>
      </x:c>
    </x:row>
    <x:row r="254" ht="84" customHeight="1">
      <x:c r="A254" s="7" t="str">
        <x:v>自動化</x:v>
      </x:c>
      <x:c r="B254" s="7" t="str">
        <x:v>boxcon：工具貸出・返却・在庫管理</x:v>
      </x:c>
      <x:c r="C254" s="7" t="str">
        <x:v>INCOS INC</x:v>
      </x:c>
      <x:c r="D254" s="7" t="str">
        <x:v>boxcon：工具貸出・返却・在庫管理</x:v>
      </x:c>
      <x:c r="E254" s="7" t="str">
        <x:v>S3006</x:v>
      </x:c>
      <x:c r="F254" s="7" t="str">
        <x:v>内容から分類（調査者・一次整理）</x:v>
      </x:c>
      <x:c r="G254" s="7" t="str">
        <x:v>出展説明に基づく一次分類。方式・実装権限・提供段階は個別確認</x:v>
      </x:c>
      <x:c t="str" r="H254" s="21">
        <x:f>HYPERLINK("#'展示詳細'!A"&amp;MATCH("AC265",'展示詳細'!$A$1:$A$340,0),"AC265")</x:f>
        <x:v>AC265</x:v>
      </x:c>
      <x:c r="I254" s="7" t="str">
        <x:v>2026の具体記述：ボックスコーン boxcon 自動販売機 / スマートツールキャビネット「boxcon」– インダストリー4.0時代を切り拓く自律製造対応Tool Management System / ボックスコーンは、インダストリー4.0と自律製造の実現に向けて開発された次世代Tool Management System（工具管理システム）です。 / 現場の工具管理を完全デジタル化し、デジタルファクトリー（デジタル工場）の構築を 支援します。 / </x:v>
      </x:c>
      <x:c r="J254" s="7" t="str">
        <x:v>EEX-EXH-2026-50a336f6fb27482a</x:v>
      </x:c>
      <x:c r="K254" s="7" t="str">
        <x:v>https://www.jimtof.org/search/jp/ESdetails?e=fAg9O7WHKh0</x:v>
      </x:c>
    </x:row>
    <x:row r="255" ht="84" customHeight="1">
      <x:c r="A255" s="7" t="str">
        <x:v>自動化</x:v>
      </x:c>
      <x:c r="B255" s="7" t="str">
        <x:v>寸法・形状計測</x:v>
      </x:c>
      <x:c r="C255" s="7" t="str">
        <x:v>Innovalia Metrology</x:v>
      </x:c>
      <x:c r="D255" s="7" t="str">
        <x:v>M3MH：既設機での機上計測</x:v>
      </x:c>
      <x:c r="E255" s="7" t="str">
        <x:v>S4001</x:v>
      </x:c>
      <x:c r="F255" s="7" t="str">
        <x:v>内容から分類（調査者）</x:v>
      </x:c>
      <x:c r="G255" s="7" t="str">
        <x:v>固定手順・生成・判定・補正等の自動化／支援</x:v>
      </x:c>
      <x:c t="str" r="H255" s="21">
        <x:f>HYPERLINK("#'展示詳細'!A"&amp;MATCH("FC056",'展示詳細'!$A$1:$A$340,0),"FC056")</x:f>
        <x:v>FC056</x:v>
      </x:c>
      <x:c r="I255" s="7" t="str">
        <x:v>人が行っていた処理・作業を機械又はソフトで行う機能に分類。提案の採用や例外対応に人が残るものを含む。</x:v>
      </x:c>
      <x:c r="J255" s="7" t="str">
        <x:v>EOV-V036-2026-1</x:v>
      </x:c>
      <x:c r="K255" s="7" t="str">
        <x:v>https://www.jimtof.org/search/jp/ESdetails?e=gvfw4D5z-qc</x:v>
      </x:c>
    </x:row>
    <x:row r="256" ht="84" customHeight="1">
      <x:c r="A256" s="7" t="str">
        <x:v>自動化</x:v>
      </x:c>
      <x:c r="B256" s="7" t="str">
        <x:v>ロータリートランスファーマシン 3Dモデル</x:v>
      </x:c>
      <x:c r="C256" s="7" t="str">
        <x:v>KAI HUNG MACHINERY CO., LTD.</x:v>
      </x:c>
      <x:c r="D256" s="7" t="str">
        <x:v>ロータリートランスファーマシン 3Dモデル</x:v>
      </x:c>
      <x:c r="E256" s="7" t="str">
        <x:v>E1009-5</x:v>
      </x:c>
      <x:c r="F256" s="7" t="str">
        <x:v>内容から分類（調査者・一次整理）</x:v>
      </x:c>
      <x:c r="G256" s="7" t="str">
        <x:v>出展説明に基づく一次分類。方式・実装権限・提供段階は個別確認</x:v>
      </x:c>
      <x:c t="str" r="H256" s="21">
        <x:f>HYPERLINK("#'展示詳細'!A"&amp;MATCH("AC268",'展示詳細'!$A$1:$A$340,0),"AC268")</x:f>
        <x:v>AC268</x:v>
      </x:c>
      <x:c r="I256" s="7" t="str">
        <x:v>2026の具体記述：2.Production efficiency is 5–12 times higher than the conventional machining equipment.The machine offers high precision, energy savings, reduced floor space requirements, and compatibility with automation systems, allow</x:v>
      </x:c>
      <x:c r="J256" s="7" t="str">
        <x:v>EEX-EXH-2026-eee5f5bb1b44f5c1</x:v>
      </x:c>
      <x:c r="K256" s="7" t="str">
        <x:v>https://www.jimtof.org/search/jp/ESdetails?e=8qrXuJ0N8KM</x:v>
      </x:c>
    </x:row>
    <x:row r="257" ht="84" customHeight="1">
      <x:c r="A257" s="7" t="str">
        <x:v>自動化</x:v>
      </x:c>
      <x:c r="B257" s="7" t="str">
        <x:v>周辺部品・機構</x:v>
      </x:c>
      <x:c r="C257" s="7" t="str">
        <x:v>LNS Management SA</x:v>
      </x:c>
      <x:c r="D257" s="7" t="str">
        <x:v>Turbo MH : 濾過機能付きヒンジコンベア</x:v>
      </x:c>
      <x:c r="E257" s="7" t="str">
        <x:v>S4016</x:v>
      </x:c>
      <x:c r="F257" s="7" t="str">
        <x:v>内容から分類（調査者・一次整理）</x:v>
      </x:c>
      <x:c r="G257" s="7" t="str">
        <x:v>周辺要素・実装部品。システム全体のAI／自動動作の確認ではない</x:v>
      </x:c>
      <x:c t="str" r="H257" s="21">
        <x:f>HYPERLINK("#'展示詳細'!A"&amp;MATCH("AC269",'展示詳細'!$A$1:$A$340,0),"AC269")</x:f>
        <x:v>AC269</x:v>
      </x:c>
      <x:c r="I257" s="7" t="str">
        <x:v>2026の具体記述：● GT 565（新製品）：材料径5～67mmまで対応可能な長尺材用のオイル式自動給材機 / ● EL 65：材料径5～65mmまで対応可能な短尺材用の自動給材機 / ● Turbo MH（スケルトンモデル）：自動清掃機能を備えた濾過機能付きヒンジコンベア / LNSの長年の経験に基づく独自技術を採用したこれらの製品は、工場の自動化、生産性向上、作業環境の改善などの課題解決に貢献します。 / ● GT 565: 小径～大径の長尺材に対応</x:v>
      </x:c>
      <x:c r="J257" s="7" t="str">
        <x:v>EEX-EXH-2026-ba7a51db7c150816</x:v>
      </x:c>
      <x:c r="K257" s="7" t="str">
        <x:v>https://www.jimtof.org/search/jp/ESdetails?e=MWu_r3zjcLw</x:v>
      </x:c>
    </x:row>
    <x:row r="258" ht="84" customHeight="1">
      <x:c r="A258" s="7" t="str">
        <x:v>自動化</x:v>
      </x:c>
      <x:c r="B258" s="7" t="str">
        <x:v>工作機械センシングの知能化による生産性向上：</x:v>
      </x:c>
      <x:c r="C258" s="7" t="str">
        <x:v>Masterlink</x:v>
      </x:c>
      <x:c r="D258" s="7" t="str">
        <x:v>工作機械センシングの知能化による生産性向上：</x:v>
      </x:c>
      <x:c r="E258" s="7" t="str">
        <x:v>E1050</x:v>
      </x:c>
      <x:c r="F258" s="7" t="str">
        <x:v>内容から分類（調査者・一次整理）</x:v>
      </x:c>
      <x:c r="G258" s="7" t="str">
        <x:v>出展説明に基づく一次分類。方式・実装権限・提供段階は個別確認</x:v>
      </x:c>
      <x:c t="str" r="H258" s="21">
        <x:f>HYPERLINK("#'展示詳細'!A"&amp;MATCH("AC271",'展示詳細'!$A$1:$A$340,0),"AC271")</x:f>
        <x:v>AC271</x:v>
      </x:c>
      <x:c r="I258" s="7" t="str">
        <x:v>2026の具体記述：工具監視システム： / 重荷重パレタイジングロボット： / インテリジェント IoT ゲートウェイ： / 工具監視システム： / 重荷重パレタイジングロボット： / インテリジェント IoT ゲートウェイ：</x:v>
      </x:c>
      <x:c r="J258" s="7" t="str">
        <x:v>EEX-EXH-2026-19ce238d137fe275</x:v>
      </x:c>
      <x:c r="K258" s="7" t="str">
        <x:v>https://www.jimtof.org/search/jp/ESdetails?e=kygm0UxJL-M</x:v>
      </x:c>
    </x:row>
    <x:row r="259" ht="84" customHeight="1">
      <x:c r="A259" s="7" t="str">
        <x:v>自動化</x:v>
      </x:c>
      <x:c r="B259" s="7" t="str">
        <x:v>CNC歯車創成研削盤 GVC-0260</x:v>
      </x:c>
      <x:c r="C259" s="7" t="str">
        <x:v>Matrix Precision Co., Ltd</x:v>
      </x:c>
      <x:c r="D259" s="7" t="str">
        <x:v>CNC歯車創成研削盤 GVC-0260</x:v>
      </x:c>
      <x:c r="E259" s="7" t="str">
        <x:v>S2019</x:v>
      </x:c>
      <x:c r="F259" s="7" t="str">
        <x:v>内容から分類（調査者・一次整理）</x:v>
      </x:c>
      <x:c r="G259" s="7" t="str">
        <x:v>出展説明に基づく一次分類。方式・実装権限・提供段階は個別確認</x:v>
      </x:c>
      <x:c t="str" r="H259" s="21">
        <x:f>HYPERLINK("#'展示詳細'!A"&amp;MATCH("AC272",'展示詳細'!$A$1:$A$340,0),"AC272")</x:f>
        <x:v>AC272</x:v>
      </x:c>
      <x:c r="I259" s="7" t="str">
        <x:v>2026の具体記述：高速・高能率な精密研削と自動化システムに対応する。</x:v>
      </x:c>
      <x:c r="J259" s="7" t="str">
        <x:v>EEX-EXH-2026-c4882a21138dab6c</x:v>
      </x:c>
      <x:c r="K259" s="7" t="str">
        <x:v>https://www.jimtof.org/search/jp/ESdetails?e=vvseLw_Wxp0</x:v>
      </x:c>
    </x:row>
    <x:row r="260" ht="84" customHeight="1">
      <x:c r="A260" s="7" t="str">
        <x:v>自動化</x:v>
      </x:c>
      <x:c r="B260" s="7" t="str">
        <x:v>周辺部品・機構</x:v>
      </x:c>
      <x:c r="C260" s="7" t="str">
        <x:v>NINGBO BLIN MACHINERY CO LTD</x:v>
      </x:c>
      <x:c r="D260" s="7" t="str">
        <x:v>傾斜ベッド型CNC旋盤／CNCターニングセンタ「S PRECISE」シリーズ</x:v>
      </x:c>
      <x:c r="E260" s="7" t="str">
        <x:v>S1073</x:v>
      </x:c>
      <x:c r="F260" s="7" t="str">
        <x:v>内容から分類（調査者・一次整理）</x:v>
      </x:c>
      <x:c r="G260" s="7" t="str">
        <x:v>周辺要素・実装部品。システム全体のAI／自動動作の確認ではない</x:v>
      </x:c>
      <x:c t="str" r="H260" s="21">
        <x:f>HYPERLINK("#'展示詳細'!A"&amp;MATCH("AC275",'展示詳細'!$A$1:$A$340,0),"AC275")</x:f>
        <x:v>AC275</x:v>
      </x:c>
      <x:c r="I260" s="7" t="str">
        <x:v>2026の具体記述：■ ツールセッター、パーツキャッチャー、ロボット等のオプションに対応したモジュール設計、独立タンクによる油・クーラント分離機能、主要部品には国際的に定評のあるブランド製品を採用</x:v>
      </x:c>
      <x:c r="J260" s="7" t="str">
        <x:v>EEX-EXH-2026-df9fd9e3f835e55a</x:v>
      </x:c>
      <x:c r="K260" s="7" t="str">
        <x:v>https://www.jimtof.org/search/jp/ESdetails?e=-DLoNC4r21w</x:v>
      </x:c>
    </x:row>
    <x:row r="261" ht="84" customHeight="1">
      <x:c r="A261" s="7" t="str">
        <x:v>自動化</x:v>
      </x:c>
      <x:c r="B261" s="7" t="str">
        <x:v>周辺部品・機構</x:v>
      </x:c>
      <x:c r="C261" s="7" t="str">
        <x:v>NKワークス株式会社</x:v>
      </x:c>
      <x:c r="D261" s="7" t="str">
        <x:v>「加工提案ゾーン」：空圧式ゼロポイントプレートプレート、ロボット用グリッパー、マニュアルバイス自動開閉装置、MQL装置、製造管理・工程管理システム、ク</x:v>
      </x:c>
      <x:c r="E261" s="7" t="str">
        <x:v>E3015</x:v>
      </x:c>
      <x:c r="F261" s="7" t="str">
        <x:v>内容から分類（調査者・一次整理）</x:v>
      </x:c>
      <x:c r="G261" s="7" t="str">
        <x:v>周辺要素・実装部品。システム全体のAI／自動動作の確認ではない</x:v>
      </x:c>
      <x:c t="str" r="H261" s="21">
        <x:f>HYPERLINK("#'展示詳細'!A"&amp;MATCH("AC037",'展示詳細'!$A$1:$A$340,0),"AC037")</x:f>
        <x:v>AC037</x:v>
      </x:c>
      <x:c r="I261" s="7" t="str">
        <x:v>2026の具体記述：「加工提案ゾーン」：空圧式ゼロポイントプレートプレート、ロボット用グリッパー、マニュアルバイス自動開閉装置、MQL装置、製造管理・工程管理システム、クーラントなど</x:v>
      </x:c>
      <x:c r="J261" s="7" t="str">
        <x:v>EEX-EXH-2026-9ac2eb87d29b1692</x:v>
      </x:c>
      <x:c r="K261" s="7" t="str">
        <x:v>https://www.jimtof.org/search/jp/ESdetails?e=UQBQ5yg2WIk</x:v>
      </x:c>
    </x:row>
    <x:row r="262" ht="84" customHeight="1">
      <x:c r="A262" s="7" t="str">
        <x:v>自動化</x:v>
      </x:c>
      <x:c r="B262" s="7" t="str">
        <x:v>TRINIX：CADから物理シミュレーション用データ生成</x:v>
      </x:c>
      <x:c r="C262" s="7" t="str">
        <x:v>NdotLight Co., Ltd.</x:v>
      </x:c>
      <x:c r="D262" s="7" t="str">
        <x:v>TRINIX：CADから物理シミュレーション用データ生成</x:v>
      </x:c>
      <x:c r="E262" s="7" t="str">
        <x:v>S4004</x:v>
      </x:c>
      <x:c r="F262" s="7" t="str">
        <x:v>内容から分類（調査者・一次整理）</x:v>
      </x:c>
      <x:c r="G262" s="7" t="str">
        <x:v>出展説明に基づく一次分類。方式・実装権限・提供段階は個別確認</x:v>
      </x:c>
      <x:c t="str" r="H262" s="21">
        <x:f>HYPERLINK("#'展示詳細'!A"&amp;MATCH("AC273",'展示詳細'!$A$1:$A$340,0),"AC273")</x:f>
        <x:v>AC273</x:v>
      </x:c>
      <x:c r="I262" s="7" t="str">
        <x:v>2026の具体記述：TRINIX is an AI-native platform that turns text, images and existing CAD or mesh data into simulation-ready 3D assets automatically. Describe what you need, or upload STEP, IGES or USD files. Then, TRINIX will generate f</x:v>
      </x:c>
      <x:c r="J262" s="7" t="str">
        <x:v>EEX-EXH-2026-016097f87d1914b2
EEX-WNDOT
ERF-06
ERF-07
ERF-08
ERF-09</x:v>
      </x:c>
      <x:c r="K262" s="7" t="str">
        <x:v>https://www.jimtof.org/search/jp/ESdetails?e=6Ds1v9hxvrY
https://ndotlight.com/newsroom/ndotlight-proposes-a-new-3d-data-standard-for-the-physical-ai-era-with-trinix
https://ndotlight.com/
https://docs.omniverse.nvidia.com/simready/latest/simready-faq.html
https://docs.omniverse.nvidia.com/simready/latest/simready-asset-creation/physics-best-practices.html
https://ndotlight.com/newsroom/ndotlight-to-co-develop-dexbench-a-global-standard-for-humanoid-evaluation-with-nvidia-and-rlwrld</x:v>
      </x:c>
    </x:row>
    <x:row r="263" ht="84" customHeight="1">
      <x:c r="A263" s="7" t="str">
        <x:v>自動化</x:v>
      </x:c>
      <x:c r="B263" s="7" t="str">
        <x:v>光干渉式内周面測定機OrbrayORBID</x:v>
      </x:c>
      <x:c r="C263" s="7" t="str">
        <x:v>Orbray株式会社</x:v>
      </x:c>
      <x:c r="D263" s="7" t="str">
        <x:v>光干渉式内周面測定機OrbrayORBID</x:v>
      </x:c>
      <x:c r="E263" s="7" t="str">
        <x:v>E7023</x:v>
      </x:c>
      <x:c r="F263" s="7" t="str">
        <x:v>内容から分類（調査者・一次整理）</x:v>
      </x:c>
      <x:c r="G263" s="7" t="str">
        <x:v>出展説明に基づく一次分類。方式・実装権限・提供段階は個別確認</x:v>
      </x:c>
      <x:c t="str" r="H263" s="21">
        <x:f>HYPERLINK("#'展示詳細'!A"&amp;MATCH("AC046",'展示詳細'!$A$1:$A$340,0),"AC046")</x:f>
        <x:v>AC046</x:v>
      </x:c>
      <x:c r="I263" s="7" t="str">
        <x:v>2026の具体記述：自動調心機能によりイージーセッティング。 / 内径、真円度、円筒度、3D形状、表面性状など内周面の各種測定を集約でき、OK/NG自動判定や測定値自動保存、点群データ出力により、全数測定やフィードバック加工等へも適用可能です。 / ●協働ロボットを活用した多姿勢自動測定デモを関東初出展! / 光プローブセパレートタイプ(協働ロボットによる自動測定デモ)</x:v>
      </x:c>
      <x:c r="J263" s="7" t="str">
        <x:v>EEX-EXH-2026-ba1fb022d9f4e67c</x:v>
      </x:c>
      <x:c r="K263" s="7" t="str">
        <x:v>https://www.jimtof.org/search/jp/ESdetails?e=sqqEKtPeqfw</x:v>
      </x:c>
    </x:row>
    <x:row r="264" ht="84" customHeight="1">
      <x:c r="A264" s="7" t="str">
        <x:v>自動化</x:v>
      </x:c>
      <x:c r="B264" s="7" t="str">
        <x:v>精密平面切削盤-コラム型PFG-50100DT</x:v>
      </x:c>
      <x:c r="C264" s="7" t="str">
        <x:v>PERFECT MACHINE CO., LTD.</x:v>
      </x:c>
      <x:c r="D264" s="7" t="str">
        <x:v>精密平面切削盤-コラム型PFG-50100DT</x:v>
      </x:c>
      <x:c r="E264" s="7" t="str">
        <x:v>S1081</x:v>
      </x:c>
      <x:c r="F264" s="7" t="str">
        <x:v>内容から分類（調査者・一次整理）</x:v>
      </x:c>
      <x:c r="G264" s="7" t="str">
        <x:v>出展説明に基づく一次分類。方式・実装権限・提供段階は個別確認</x:v>
      </x:c>
      <x:c t="str" r="H264" s="21">
        <x:f>HYPERLINK("#'展示詳細'!A"&amp;MATCH("AC276",'展示詳細'!$A$1:$A$340,0),"AC276")</x:f>
        <x:v>AC276</x:v>
      </x:c>
      <x:c r="I264" s="7" t="str">
        <x:v>2026の具体記述：自動砥石ドレッシングおよび補正機能により、作業員数を削減し、加工効率を向上させます。 / 静圧回転テーブルとの組み合わせにより、最適な安定性と高い剛性を実現し、半導体、航空宇宙、自動車産業における精密部品加工に最適な選択肢となります。 / 自動砥石ドレッシングおよび補正機能により、作業員数を削減し、加工効率を向上させます。 / 静圧回転テーブルとの組み合わせにより、最適な安定性と高い剛性を実現し、半導体、航空宇宙、自動車産業における精密</x:v>
      </x:c>
      <x:c r="J264" s="7" t="str">
        <x:v>EEX-EXH-2026-166eb1d478702025</x:v>
      </x:c>
      <x:c r="K264" s="7" t="str">
        <x:v>https://www.jimtof.org/search/jp/ESdetails?e=uL4EJoJ_Wco</x:v>
      </x:c>
    </x:row>
    <x:row r="265" ht="84" customHeight="1">
      <x:c r="A265" s="7" t="str">
        <x:v>自動化</x:v>
      </x:c>
      <x:c r="B265" s="7" t="str">
        <x:v>周辺部品・機構</x:v>
      </x:c>
      <x:c r="C265" s="7" t="str">
        <x:v>ProGrit GmbH</x:v>
      </x:c>
      <x:c r="D265" s="7" t="str">
        <x:v>クランピング・位置決めシステム</x:v>
      </x:c>
      <x:c r="E265" s="7" t="str">
        <x:v>E3014</x:v>
      </x:c>
      <x:c r="F265" s="7" t="str">
        <x:v>内容から分類（調査者・一次整理）</x:v>
      </x:c>
      <x:c r="G265" s="7" t="str">
        <x:v>周辺要素・実装部品。システム全体のAI／自動動作の確認ではない</x:v>
      </x:c>
      <x:c t="str" r="H265" s="21">
        <x:f>HYPERLINK("#'展示詳細'!A"&amp;MATCH("AC278",'展示詳細'!$A$1:$A$340,0),"AC278")</x:f>
        <x:v>AC278</x:v>
      </x:c>
      <x:c r="I265" s="7" t="str">
        <x:v>2026の具体記述：ProGrit社は、粉末成形における高精度・長寿命の圧縮金型技術と、成形工程の自動化・デジタル化を一貫して提供しています。 / 今回の展示会では、「Automatic Tool Change（自動金型交換）」と「Automated Filler Plate（自動フィラープレート）」を中心に、次世代のプレス技術をご紹介します。 / Automatic Tool Changeは、ロボットによる金型の自動交換に対応し、金型をブロック単位で交換</x:v>
      </x:c>
      <x:c r="J265" s="7" t="str">
        <x:v>EEX-EXH-2026-072d2f7215d2c5b5</x:v>
      </x:c>
      <x:c r="K265" s="7" t="str">
        <x:v>https://www.jimtof.org/search/jp/ESdetails?e=zPpO1BUr3Ws</x:v>
      </x:c>
    </x:row>
    <x:row r="266" ht="84" customHeight="1">
      <x:c r="A266" s="7" t="str">
        <x:v>自動化</x:v>
      </x:c>
      <x:c r="B266" s="7" t="str">
        <x:v>Rolling Machines:</x:v>
      </x:c>
      <x:c r="C266" s="7" t="str">
        <x:v>Profiroll Technologies GmbH</x:v>
      </x:c>
      <x:c r="D266" s="7" t="str">
        <x:v>Rolling Machines:</x:v>
      </x:c>
      <x:c r="E266" s="7" t="str">
        <x:v>S1055</x:v>
      </x:c>
      <x:c r="F266" s="7" t="str">
        <x:v>内容から分類（調査者・一次整理）</x:v>
      </x:c>
      <x:c r="G266" s="7" t="str">
        <x:v>出展説明に基づく一次分類。方式・実装権限・提供段階は個別確認</x:v>
      </x:c>
      <x:c t="str" r="H266" s="21">
        <x:f>HYPERLINK("#'展示詳細'!A"&amp;MATCH("AC277",'展示詳細'!$A$1:$A$340,0),"AC277")</x:f>
        <x:v>AC277</x:v>
      </x:c>
      <x:c r="I266" s="7" t="str">
        <x:v>2026の具体記述：The Profiroll business concept is strongly oriented on customers sophisticated technical requests for profiling rotationally symmetric parts using the most modern cold forming technology, leading finally in a development</x:v>
      </x:c>
      <x:c r="J266" s="7" t="str">
        <x:v>EEX-EXH-2026-b35ce23f501c1830</x:v>
      </x:c>
      <x:c r="K266" s="7" t="str">
        <x:v>https://www.jimtof.org/search/jp/ESdetails?e=zGmF-52RIcs</x:v>
      </x:c>
    </x:row>
    <x:row r="267" ht="84" customHeight="1">
      <x:c r="A267" s="7" t="str">
        <x:v>自動化</x:v>
      </x:c>
      <x:c r="B267" s="7" t="str">
        <x:v>マルチセンサ三次元測定機 OGP SmartScope SP463/M20/M7/Vantage250/E7</x:v>
      </x:c>
      <x:c r="C267" s="7" t="str">
        <x:v>Quality Vision International Inc</x:v>
      </x:c>
      <x:c r="D267" s="7" t="str">
        <x:v>マルチセンサ三次元測定機 OGP SmartScope SP463/M20/M7/Vantage250/E7</x:v>
      </x:c>
      <x:c r="E267" s="7" t="str">
        <x:v>E2026</x:v>
      </x:c>
      <x:c r="F267" s="7" t="str">
        <x:v>内容から分類（調査者・一次整理）</x:v>
      </x:c>
      <x:c r="G267" s="7" t="str">
        <x:v>出展説明に基づく一次分類。方式・実装権限・提供段階は個別確認</x:v>
      </x:c>
      <x:c t="str" r="H267" s="21">
        <x:f>HYPERLINK("#'展示詳細'!A"&amp;MATCH("AC279",'展示詳細'!$A$1:$A$340,0),"AC279")</x:f>
        <x:v>AC279</x:v>
      </x:c>
      <x:c r="I267" s="7" t="str">
        <x:v>2026の具体記述：～製造業に変革をもたらす製造工程管理ソリューション～ / 3D CAD・PMI情報を活用し、測定計画から測定結果の解析・可視化、工程管理までをデジタルでつなぐソフトウェアスイートです。 / 測定結果を製造工程へフィードバックすることで、品質向上や工程改善を支援し、MBD/MBEによるデジタルスレッドの構築に貢献します。 / 本展示会では、最新の協働ロボットとの連携デモも実演展示いたします。 / 自動化セル Multi-X / 統合製造工</x:v>
      </x:c>
      <x:c r="J267" s="7" t="str">
        <x:v>EEX-EXH-2026-ce095464035fb5f1</x:v>
      </x:c>
      <x:c r="K267" s="7" t="str">
        <x:v>https://www.jimtof.org/search/jp/ESdetails?e=i-C4iNMNRtM</x:v>
      </x:c>
    </x:row>
    <x:row r="268" ht="84" customHeight="1">
      <x:c r="A268" s="7" t="str">
        <x:v>自動化</x:v>
      </x:c>
      <x:c r="B268" s="7" t="str">
        <x:v>周辺部品・機構</x:v>
      </x:c>
      <x:c r="C268" s="7" t="str">
        <x:v>Quod6株式会社</x:v>
      </x:c>
      <x:c r="D268" s="7" t="str">
        <x:v>• Element SixのダイヤモンドおよびCBN</x:v>
      </x:c>
      <x:c r="E268" s="7" t="str">
        <x:v>W4017</x:v>
      </x:c>
      <x:c r="F268" s="7" t="str">
        <x:v>内容から分類（調査者・一次整理）</x:v>
      </x:c>
      <x:c r="G268" s="7" t="str">
        <x:v>周辺要素・実装部品。システム全体のAI／自動動作の確認ではない</x:v>
      </x:c>
      <x:c t="str" r="H268" s="21">
        <x:f>HYPERLINK("#'展示詳細'!A"&amp;MATCH("AC064",'展示詳細'!$A$1:$A$340,0),"AC064")</x:f>
        <x:v>AC064</x:v>
      </x:c>
      <x:c r="I268" s="7" t="str">
        <x:v>2026の具体記述：o 自動化された効率的な高品質ろう付け</x:v>
      </x:c>
      <x:c r="J268" s="7" t="str">
        <x:v>EEX-EXH-2026-7b1312c50474d3b9</x:v>
      </x:c>
      <x:c r="K268" s="7" t="str">
        <x:v>https://www.jimtof.org/search/jp/ESdetails?e=ecnhDTVp2uU</x:v>
      </x:c>
    </x:row>
    <x:row r="269" ht="84" customHeight="1">
      <x:c r="A269" s="7" t="str">
        <x:v>自動化</x:v>
      </x:c>
      <x:c r="B269" s="7" t="str">
        <x:v>Road to Automation：工具研削の自律性向上提案</x:v>
      </x:c>
      <x:c r="C269" s="7" t="str">
        <x:v>Rollomatic Japan株式会社</x:v>
      </x:c>
      <x:c r="D269" s="7" t="str">
        <x:v>Road to Automation：工具研削の自律性向上提案</x:v>
      </x:c>
      <x:c r="E269" s="7" t="str">
        <x:v>S2005</x:v>
      </x:c>
      <x:c r="F269" s="7" t="str">
        <x:v>内容から分類（調査者・一次整理）</x:v>
      </x:c>
      <x:c r="G269" s="7" t="str">
        <x:v>出展説明に基づく一次分類。方式・実装権限・提供段階は個別確認</x:v>
      </x:c>
      <x:c t="str" r="H269" s="21">
        <x:f>HYPERLINK("#'展示詳細'!A"&amp;MATCH("AC245",'展示詳細'!$A$1:$A$340,0),"AC245")</x:f>
        <x:v>AC245</x:v>
      </x:c>
      <x:c r="I269" s="7" t="str">
        <x:v>2026の具体記述：Road to Automation — 自動化への最短ルートを、あなたとともに。 / Rollomaticは、長年にわたる自動研削の専門知識と経験を活かし、あらゆる規模・業種のお客様に最適な自動化ソリューションをご提案します。 / 私たちの「Road to Automation」は6つのステップで構成されており、研削プロセスの高度化からトレーニング、導入後のサポートまで、すべての段階でお客様を力強くサポートします。 / ・機械の自律性</x:v>
      </x:c>
      <x:c r="J269" s="7" t="str">
        <x:v>EEX-EXH-2026-d26755a7bc74fe39</x:v>
      </x:c>
      <x:c r="K269" s="7" t="str">
        <x:v>https://www.jimtof.org/search/jp/ESdetails?e=9af8P2FUMY8</x:v>
      </x:c>
    </x:row>
    <x:row r="270" ht="84" customHeight="1">
      <x:c r="A270" s="7" t="str">
        <x:v>自動化</x:v>
      </x:c>
      <x:c r="B270" s="7" t="str">
        <x:v>ドイツ レダース社製ハイスピードミリング・グラインディングセンタ RXP601DS</x:v>
      </x:c>
      <x:c r="C270" s="7" t="str">
        <x:v>Röders GmbH</x:v>
      </x:c>
      <x:c r="D270" s="7" t="str">
        <x:v>ドイツ レダース社製ハイスピードミリング・グラインディングセンタ RXP601DS</x:v>
      </x:c>
      <x:c r="E270" s="7" t="str">
        <x:v>E3014</x:v>
      </x:c>
      <x:c r="F270" s="7" t="str">
        <x:v>内容から分類（調査者・一次整理）</x:v>
      </x:c>
      <x:c r="G270" s="7" t="str">
        <x:v>出展説明に基づく一次分類。方式・実装権限・提供段階は個別確認</x:v>
      </x:c>
      <x:c t="str" r="H270" s="21">
        <x:f>HYPERLINK("#'展示詳細'!A"&amp;MATCH("AC280",'展示詳細'!$A$1:$A$340,0),"AC280")</x:f>
        <x:v>AC280</x:v>
      </x:c>
      <x:c r="I270" s="7" t="str">
        <x:v>2026の具体記述：レダース社のハイスピードミリング・グラインディングセンタは、全軸リニアモーター＋ダイレクトドライブによる遊びのない高速・高精度な加工が特長です。 / 制御装置は自社製で、他社のコントローラーにはない処理速度0.1ms、先読みブロック10000ブロックにより高加速や高減速を可能にし、加工スピードを落とすことなく（プログラム待ち）加工が行えます。 / また、ハイスピードミリング加工後にジグ研削、機上測定をワンチャックで行えるため「加工時間短</x:v>
      </x:c>
      <x:c r="J270" s="7" t="str">
        <x:v>EEX-EXH-2026-8dbb00228000aa6c</x:v>
      </x:c>
      <x:c r="K270" s="7" t="str">
        <x:v>https://www.jimtof.org/search/jp/ESdetails?e=ZjA8l9ImAE8</x:v>
      </x:c>
    </x:row>
    <x:row r="271" ht="84" customHeight="1">
      <x:c r="A271" s="7" t="str">
        <x:v>自動化</x:v>
      </x:c>
      <x:c r="B271" s="7" t="str">
        <x:v>樹脂加工専用プレミアムNCルータ　PLANET CRYSTAL NCP5000</x:v>
      </x:c>
      <x:c r="C271" s="7" t="str">
        <x:v>SHODA株式会社</x:v>
      </x:c>
      <x:c r="D271" s="7" t="str">
        <x:v>樹脂加工専用プレミアムNCルータ　PLANET CRYSTAL NCP5000</x:v>
      </x:c>
      <x:c r="E271" s="7" t="str">
        <x:v>S1070</x:v>
      </x:c>
      <x:c r="F271" s="7" t="str">
        <x:v>内容から分類（調査者・一次整理）</x:v>
      </x:c>
      <x:c r="G271" s="7" t="str">
        <x:v>出展説明に基づく一次分類。方式・実装権限・提供段階は個別確認</x:v>
      </x:c>
      <x:c t="str" r="H271" s="21">
        <x:f>HYPERLINK("#'展示詳細'!A"&amp;MATCH("AC106",'展示詳細'!$A$1:$A$340,0),"AC106")</x:f>
        <x:v>AC106</x:v>
      </x:c>
      <x:c r="I271" s="7" t="str">
        <x:v>2026の具体記述：さらに、NCルータをインターネットに繋いで日々の加工個数や加工コスト、保守状況などを可視化できるIoTサービスも展示。</x:v>
      </x:c>
      <x:c r="J271" s="7" t="str">
        <x:v>EEX-EXH-2026-96430d6788c41c87</x:v>
      </x:c>
      <x:c r="K271" s="7" t="str">
        <x:v>https://www.jimtof.org/search/jp/ESdetails?e=BeXt5Rn6DGg</x:v>
      </x:c>
    </x:row>
    <x:row r="272" ht="84" customHeight="1">
      <x:c r="A272" s="7" t="str">
        <x:v>自動化</x:v>
      </x:c>
      <x:c r="B272" s="7" t="str">
        <x:v>出展物：　U軸システムKOMtronic</x:v>
      </x:c>
      <x:c r="C272" s="7" t="str">
        <x:v>Schwäbische Werkzeugmaschinen GmbH</x:v>
      </x:c>
      <x:c r="D272" s="7" t="str">
        <x:v>出展物：　U軸システムKOMtronic</x:v>
      </x:c>
      <x:c r="E272" s="7" t="str">
        <x:v>E3027</x:v>
      </x:c>
      <x:c r="F272" s="7" t="str">
        <x:v>内容から分類（調査者・一次整理）</x:v>
      </x:c>
      <x:c r="G272" s="7" t="str">
        <x:v>出展説明に基づく一次分類。方式・実装権限・提供段階は個別確認</x:v>
      </x:c>
      <x:c t="str" r="H272" s="21">
        <x:f>HYPERLINK("#'展示詳細'!A"&amp;MATCH("AC282",'展示詳細'!$A$1:$A$340,0),"AC282")</x:f>
        <x:v>AC282</x:v>
      </x:c>
      <x:c r="I272" s="7" t="str">
        <x:v>2026の具体記述：マルチスピンドル・マシニングセンタ市場で世界をリードし、自動車、EV、航空宇宙、ヒューマノイド、医療機器など幅広い産業向けに生産ソリューションを提供しています。 / SWは、同時５軸付きマルチスピンドル・マシニングセンタ、自動化システム、オンライン上でのデジタル化を組み合わせた「Smart manufacturing solution」を展開しています。</x:v>
      </x:c>
      <x:c r="J272" s="7" t="str">
        <x:v>EEX-EXH-2026-2ddab123ec038212</x:v>
      </x:c>
      <x:c r="K272" s="7" t="str">
        <x:v>https://www.jimtof.org/search/jp/ESdetails?e=kw9LLCnBLZI</x:v>
      </x:c>
    </x:row>
    <x:row r="273" ht="84" customHeight="1">
      <x:c r="A273" s="7" t="str">
        <x:v>自動化</x:v>
      </x:c>
      <x:c r="B273" s="7" t="str">
        <x:v>超高速フェムト秒レーザー3D加工機（LFS-Uシリーズ）</x:v>
      </x:c>
      <x:c r="C273" s="7" t="str">
        <x:v>Shenzhen JPT Opto-Electronics Co Ltd</x:v>
      </x:c>
      <x:c r="D273" s="7" t="str">
        <x:v>超高速フェムト秒レーザー3D加工機（LFS-Uシリーズ）</x:v>
      </x:c>
      <x:c r="E273" s="7" t="str">
        <x:v>S1046</x:v>
      </x:c>
      <x:c r="F273" s="7" t="str">
        <x:v>内容から分類（調査者・一次整理）</x:v>
      </x:c>
      <x:c r="G273" s="7" t="str">
        <x:v>出展説明に基づく一次分類。方式・実装権限・提供段階は個別確認</x:v>
      </x:c>
      <x:c t="str" r="H273" s="21">
        <x:f>HYPERLINK("#'展示詳細'!A"&amp;MATCH("AC284",'展示詳細'!$A$1:$A$340,0),"AC284")</x:f>
        <x:v>AC284</x:v>
      </x:c>
      <x:c r="I273" s="7" t="str">
        <x:v>2026の具体記述：5軸同時制御方式とレーザー3軸加工プロセスに、自社開発の3Dモデル解析対応CAMソフトウェアを融合することで、さまざまな材料に対する高精度・高品質な微細加工を実現します。</x:v>
      </x:c>
      <x:c r="J273" s="7" t="str">
        <x:v>EEX-EXH-2026-ef080b66b221230c</x:v>
      </x:c>
      <x:c r="K273" s="7" t="str">
        <x:v>https://www.jimtof.org/search/jp/ESdetails?e=KJTFo439UQQ</x:v>
      </x:c>
    </x:row>
    <x:row r="274" ht="84" customHeight="1">
      <x:c r="A274" s="7" t="str">
        <x:v>自動化</x:v>
      </x:c>
      <x:c r="B274" s="7" t="str">
        <x:v>協働ロボット・自律移動ロボットとツーリング</x:v>
      </x:c>
      <x:c r="C274" s="7" t="str">
        <x:v>System 3R International AB</x:v>
      </x:c>
      <x:c r="D274" s="7" t="str">
        <x:v>協働ロボット・自律移動ロボットとツーリング</x:v>
      </x:c>
      <x:c r="E274" s="7" t="str">
        <x:v>W2078</x:v>
      </x:c>
      <x:c r="F274" s="7" t="str">
        <x:v>内容から分類（調査者・一次整理）</x:v>
      </x:c>
      <x:c r="G274" s="7" t="str">
        <x:v>出展説明に基づく一次分類。方式・実装権限・提供段階は個別確認</x:v>
      </x:c>
      <x:c t="str" r="H274" s="21">
        <x:f>HYPERLINK("#'展示詳細'!A"&amp;MATCH("AC287",'展示詳細'!$A$1:$A$340,0),"AC287")</x:f>
        <x:v>AC287</x:v>
      </x:c>
      <x:c r="I274" s="7" t="str">
        <x:v>2026の具体記述：超高精度ゼロポイントツーリング、自動化、ソフトウェアシステム分野のエキスパートであるシステム3Rは、製造業全体に向けて包括的なソリューションを提供し、製造プロセスの合理化と効率向上を実現しています。 / ロータリーマガジン付協働型ロボット、自律移動ロボット、ツーリング</x:v>
      </x:c>
      <x:c r="J274" s="7" t="str">
        <x:v>EEX-EXH-2026-60afae6de145a809</x:v>
      </x:c>
      <x:c r="K274" s="7" t="str">
        <x:v>https://www.jimtof.org/search/jp/ESdetails?e=c7Q6gr0wYyY</x:v>
      </x:c>
    </x:row>
    <x:row r="275" ht="84" customHeight="1">
      <x:c r="A275" s="7" t="str">
        <x:v>自動化</x:v>
      </x:c>
      <x:c r="B275" s="7" t="str">
        <x:v>切粉処理</x:v>
      </x:c>
      <x:c r="C275" s="7" t="str">
        <x:v>TAKISAWA</x:v>
      </x:c>
      <x:c r="D275" s="7" t="str">
        <x:v>TR-20W：主軸の切粉除去</x:v>
      </x:c>
      <x:c r="E275" s="7" t="str">
        <x:v>E3013</x:v>
      </x:c>
      <x:c r="F275" s="7" t="str">
        <x:v>内容から分類（調査者）</x:v>
      </x:c>
      <x:c r="G275" s="7" t="str">
        <x:v>固定手順・生成・判定・補正等の自動化／支援</x:v>
      </x:c>
      <x:c t="str" r="H275" s="21">
        <x:f>HYPERLINK("#'展示詳細'!A"&amp;MATCH("FC049",'展示詳細'!$A$1:$A$340,0),"FC049")</x:f>
        <x:v>FC049</x:v>
      </x:c>
      <x:c r="I275" s="7" t="str">
        <x:v>人が行っていた処理・作業を機械又はソフトで行う機能に分類。提案の採用や例外対応に人が残るものを含む。</x:v>
      </x:c>
      <x:c r="J275" s="7" t="str">
        <x:v>EOV-V030-2026-1
EAT-N01
EAT-N02
ERF-13</x:v>
      </x:c>
      <x:c r="K275" s="7" t="str">
        <x:v>https://www.jimtof.org/search/jp/ESdetails?e=3dTDRAMwZpM
https://www.nidec.com/jp/products/machine-tools/contents/machine-tool-jimtof2026/
https://www.nidec.com/jp/product/news/2024/news1101-03/</x:v>
      </x:c>
    </x:row>
    <x:row r="276" ht="84" customHeight="1">
      <x:c r="A276" s="7" t="str">
        <x:v>自動化</x:v>
      </x:c>
      <x:c r="B276" s="7" t="str">
        <x:v>【高精度化・高速化・省人化】機械要素部品</x:v>
      </x:c>
      <x:c r="C276" s="7" t="str">
        <x:v>THK株式会社</x:v>
      </x:c>
      <x:c r="D276" s="7" t="str">
        <x:v>【高精度化・高速化・省人化】機械要素部品</x:v>
      </x:c>
      <x:c r="E276" s="7" t="str">
        <x:v>W2018</x:v>
      </x:c>
      <x:c r="F276" s="7" t="str">
        <x:v>内容から分類（調査者・一次整理）</x:v>
      </x:c>
      <x:c r="G276" s="7" t="str">
        <x:v>出展説明に基づく一次分類。方式・実装権限・提供段階は個別確認</x:v>
      </x:c>
      <x:c t="str" r="H276" s="21">
        <x:f>HYPERLINK("#'展示詳細'!A"&amp;MATCH("AC143",'展示詳細'!$A$1:$A$340,0),"AC143")</x:f>
        <x:v>AC143</x:v>
      </x:c>
      <x:c r="I276" s="7" t="str">
        <x:v>2026の具体記述：・人と一緒に働くヒト型ロボット「NEXTAGE」</x:v>
      </x:c>
      <x:c r="J276" s="7" t="str">
        <x:v>EEX-EXH-2026-45c22ca4a91150f4</x:v>
      </x:c>
      <x:c r="K276" s="7" t="str">
        <x:v>https://www.jimtof.org/search/jp/ESdetails?e=z-lVfqtvgVM</x:v>
      </x:c>
    </x:row>
    <x:row r="277" ht="84" customHeight="1">
      <x:c r="A277" s="7" t="str">
        <x:v>自動化</x:v>
      </x:c>
      <x:c r="B277" s="7" t="str">
        <x:v>出展する2台のCNC高精度歯車測定機が、次世代の検査工程を実演します。</x:v>
      </x:c>
      <x:c r="C277" s="7" t="str">
        <x:v>TPR大阪精密機械株式会社</x:v>
      </x:c>
      <x:c r="D277" s="7" t="str">
        <x:v>出展する2台のCNC高精度歯車測定機が、次世代の検査工程を実演します。</x:v>
      </x:c>
      <x:c r="E277" s="7" t="str">
        <x:v>E7033</x:v>
      </x:c>
      <x:c r="F277" s="7" t="str">
        <x:v>内容から分類（調査者・一次整理）</x:v>
      </x:c>
      <x:c r="G277" s="7" t="str">
        <x:v>出展説明に基づく一次分類。方式・実装権限・提供段階は個別確認</x:v>
      </x:c>
      <x:c t="str" r="H277" s="21">
        <x:f>HYPERLINK("#'展示詳細'!A"&amp;MATCH("AC142",'展示詳細'!$A$1:$A$340,0),"AC142")</x:f>
        <x:v>AC142</x:v>
      </x:c>
      <x:c r="I277" s="7" t="str">
        <x:v>2026の具体記述：コンセプトモデルである「自動化DDSF」では、ロボット搬送とセンシング技術の融合による完全無人化検査の未来像を提示。 / 1台目の「自動化DDSF」は、協働ロボットによるワーク自動着脱、カメラ判別、レーザー測定を統合した完全無人化測定システムです。 / 2台目の「多機能DDSF」は、歯車測定・歯面性状・幾何偏差（真円度・同軸度等）測定およびスタイラス自動交換機能を1台に集約した工程集約型モデルです。</x:v>
      </x:c>
      <x:c r="J277" s="7" t="str">
        <x:v>EEX-EXH-2026-8baabeaaaa69de49</x:v>
      </x:c>
      <x:c r="K277" s="7" t="str">
        <x:v>https://www.jimtof.org/search/jp/ESdetails?e=IUcHIycMLaI</x:v>
      </x:c>
    </x:row>
    <x:row r="278" ht="84" customHeight="1">
      <x:c r="A278" s="7" t="str">
        <x:v>自動化</x:v>
      </x:c>
      <x:c r="B278" s="7" t="str">
        <x:v>1.インテリジェント・ビルトインスピンドル（台湾精品賞受賞）</x:v>
      </x:c>
      <x:c r="C278" s="7" t="str">
        <x:v>Theta Precision Co., Ltd.</x:v>
      </x:c>
      <x:c r="D278" s="7" t="str">
        <x:v>1.インテリジェント・ビルトインスピンドル（台湾精品賞受賞）</x:v>
      </x:c>
      <x:c r="E278" s="7" t="str">
        <x:v>W3003</x:v>
      </x:c>
      <x:c r="F278" s="7" t="str">
        <x:v>内容から分類（調査者・一次整理）</x:v>
      </x:c>
      <x:c r="G278" s="7" t="str">
        <x:v>出展説明に基づく一次分類。方式・実装権限・提供段階は個別確認</x:v>
      </x:c>
      <x:c t="str" r="H278" s="21">
        <x:f>HYPERLINK("#'展示詳細'!A"&amp;MATCH("AC288",'展示詳細'!$A$1:$A$340,0),"AC288")</x:f>
        <x:v>AC288</x:v>
      </x:c>
      <x:c r="I278" s="7" t="str">
        <x:v>2026の具体記述：1.スマート製造を加速する監視システム：独自技術で振動・温度・ベアリング安全係数をリアルタイム検知。 / 2.半導体・精密研削市場への高度なカスタム性：AI産業向け高要求スピンドル市場へ本格参入。 / 振動、温度、熱変位をリアルタイム監視。</x:v>
      </x:c>
      <x:c r="J278" s="7" t="str">
        <x:v>EEX-EXH-2026-b8cf89f9a09c5a9c</x:v>
      </x:c>
      <x:c r="K278" s="7" t="str">
        <x:v>https://www.jimtof.org/search/jp/ESdetails?e=-qpqVRprqhs</x:v>
      </x:c>
    </x:row>
    <x:row r="279" ht="84" customHeight="1">
      <x:c r="A279" s="7" t="str">
        <x:v>自動化</x:v>
      </x:c>
      <x:c r="B279" s="7" t="str">
        <x:v>本展では、半導体、EV、航空宇宙、精密金型分野に向けた「硬脆材料加工ソリューション」をご提案いたします。メイン展示となる超音波援用マシニングセンタ「V</x:v>
      </x:c>
      <x:c r="C279" s="7" t="str">
        <x:v>Tongtai Machine Tool Co., Ltd.</x:v>
      </x:c>
      <x:c r="D279" s="7" t="str">
        <x:v>本展では、半導体、EV、航空宇宙、精密金型分野に向けた「硬脆材料加工ソリューション」をご提案いたします。メイン展示となる超音波援用マシニングセンタ「V</x:v>
      </x:c>
      <x:c r="E279" s="7" t="str">
        <x:v>E1009-3</x:v>
      </x:c>
      <x:c r="F279" s="7" t="str">
        <x:v>内容から分類（調査者・一次整理）</x:v>
      </x:c>
      <x:c r="G279" s="7" t="str">
        <x:v>出展説明に基づく一次分類。方式・実装権限・提供段階は個別確認</x:v>
      </x:c>
      <x:c t="str" r="H279" s="21">
        <x:f>HYPERLINK("#'展示詳細'!A"&amp;MATCH("AC289",'展示詳細'!$A$1:$A$340,0),"AC289")</x:f>
        <x:v>AC289</x:v>
      </x:c>
      <x:c r="I279" s="7" t="str">
        <x:v>2026の具体記述：最大の特長である「自動周波数追従システム」は、材料特性に応じて振幅と周波数をリアルタイムで最適化。</x:v>
      </x:c>
      <x:c r="J279" s="7" t="str">
        <x:v>EEX-EXH-2026-bf72a60018da6e7c</x:v>
      </x:c>
      <x:c r="K279" s="7" t="str">
        <x:v>https://www.jimtof.org/search/jp/ESdetails?e=DIbCyaCMEL8</x:v>
      </x:c>
    </x:row>
    <x:row r="280" ht="84" customHeight="1">
      <x:c r="A280" s="7" t="str">
        <x:v>自動化</x:v>
      </x:c>
      <x:c r="B280" s="7" t="str">
        <x:v>治具設計</x:v>
      </x:c>
      <x:c r="C280" s="7" t="str">
        <x:v>UEL</x:v>
      </x:c>
      <x:c r="D280" s="7" t="str">
        <x:v>BreylSimulator</x:v>
      </x:c>
      <x:c r="E280" s="7" t="str">
        <x:v>S1024</x:v>
      </x:c>
      <x:c r="F280" s="7" t="str">
        <x:v>内容から分類（調査者）</x:v>
      </x:c>
      <x:c r="G280" s="7" t="str">
        <x:v>固定手順・生成・判定・補正等の自動化／支援</x:v>
      </x:c>
      <x:c t="str" r="H280" s="21">
        <x:f>HYPERLINK("#'展示詳細'!A"&amp;MATCH("FC060",'展示詳細'!$A$1:$A$340,0),"FC060")</x:f>
        <x:v>FC060</x:v>
      </x:c>
      <x:c r="I280" s="7" t="str">
        <x:v>人が行っていた処理・作業を機械又はソフトで行う機能に分類。提案の採用や例外対応に人が残るものを含む。</x:v>
      </x:c>
      <x:c r="J280" s="7" t="str">
        <x:v>EOV-V039-2026-1</x:v>
      </x:c>
      <x:c r="K280" s="7" t="str">
        <x:v>https://www.jimtof.org/search/jp/ESdetails?e=dBv-8tktfaE</x:v>
      </x:c>
    </x:row>
    <x:row r="281" ht="84" customHeight="1">
      <x:c r="A281" s="7" t="str">
        <x:v>自動化</x:v>
      </x:c>
      <x:c r="B281" s="7" t="str">
        <x:v>高い動的精度と自由曲面加工における優れた精度で高く評価されており、自動化に対応し拡張性を備えた生産セル展開可能な機械構成は、他にはない独自性を誇ります</x:v>
      </x:c>
      <x:c r="C281" s="7" t="str">
        <x:v>United Machining Mill AG - MIKRON MILL</x:v>
      </x:c>
      <x:c r="D281" s="7" t="str">
        <x:v>高い動的精度と自由曲面加工における優れた精度で高く評価されており、自動化に対応し拡張性を備えた生産セル展開可能な機械構成は、他にはない独自性を誇ります</x:v>
      </x:c>
      <x:c r="E281" s="7" t="str">
        <x:v>E8001</x:v>
      </x:c>
      <x:c r="F281" s="7" t="str">
        <x:v>内容から分類（調査者・一次整理）</x:v>
      </x:c>
      <x:c r="G281" s="7" t="str">
        <x:v>出展説明に基づく一次分類。方式・実装権限・提供段階は個別確認</x:v>
      </x:c>
      <x:c t="str" r="H281" s="21">
        <x:f>HYPERLINK("#'展示詳細'!A"&amp;MATCH("AC291",'展示詳細'!$A$1:$A$340,0),"AC291")</x:f>
        <x:v>AC291</x:v>
      </x:c>
      <x:c r="I281" s="7" t="str">
        <x:v>2026の具体記述：高い動的精度と自由曲面加工における優れた精度で高く評価されており、自動化に対応し拡張性を備えた生産セル展開可能な機械構成は、他にはない独自性を誇ります。</x:v>
      </x:c>
      <x:c r="J281" s="7" t="str">
        <x:v>EEX-EXH-2026-66bd137625ce375b</x:v>
      </x:c>
      <x:c r="K281" s="7" t="str">
        <x:v>https://www.jimtof.org/search/jp/ESdetails?e=YixMbmW6WD0</x:v>
      </x:c>
    </x:row>
    <x:row r="282" ht="84" customHeight="1">
      <x:c r="A282" s="7" t="str">
        <x:v>自動化</x:v>
      </x:c>
      <x:c r="B282" s="7" t="str">
        <x:v>UNITED GRINDING GROUP</x:v>
      </x:c>
      <x:c r="C282" s="7" t="str">
        <x:v>United Machining Solutions Management AG</x:v>
      </x:c>
      <x:c r="D282" s="7" t="str">
        <x:v>UNITED GRINDING GROUP</x:v>
      </x:c>
      <x:c r="E282" s="7" t="str">
        <x:v>E8001</x:v>
      </x:c>
      <x:c r="F282" s="7" t="str">
        <x:v>内容から分類（調査者・一次整理）</x:v>
      </x:c>
      <x:c r="G282" s="7" t="str">
        <x:v>出展説明に基づく一次分類。方式・実装権限・提供段階は個別確認</x:v>
      </x:c>
      <x:c t="str" r="H282" s="21">
        <x:f>HYPERLINK("#'展示詳細'!A"&amp;MATCH("AC292",'展示詳細'!$A$1:$A$340,0),"AC292")</x:f>
        <x:v>AC292</x:v>
      </x:c>
      <x:c r="I282" s="7" t="str">
        <x:v>2026の具体記述：さらに、UNITED MACHININGからは、AGIE CHARMILLES | CHARMILLES | MIKRON MILL | LIECHTI | STEP TEC | SYSTEM 3Rが加わり、切削加工、放電加工、レーザ加工、自動化分野における幅広いソリューションをご提案します。 / 本展示では、高精度部品加工、金型製作、切削工具製造など幅広い製造現場に向けて、生産性向上、高精度化、自動化、省人化を実現するソリューションを</x:v>
      </x:c>
      <x:c r="J282" s="7" t="str">
        <x:v>EEX-EXH-2026-2109c0e318b1202c</x:v>
      </x:c>
      <x:c r="K282" s="7" t="str">
        <x:v>https://www.jimtof.org/search/jp/ESdetails?e=_thCHqnMq9s</x:v>
      </x:c>
    </x:row>
    <x:row r="283" ht="84" customHeight="1">
      <x:c r="A283" s="7" t="str">
        <x:v>自動化</x:v>
      </x:c>
      <x:c r="B283" s="7" t="str">
        <x:v>周辺部品・機構</x:v>
      </x:c>
      <x:c r="C283" s="7" t="str">
        <x:v>WALRUS PUMP Co., Ltd.</x:v>
      </x:c>
      <x:c r="D283" s="7" t="str">
        <x:v>• ポンプ運転、可変速制御、冷却、切りくず除去、フラッシング、潤滑の実演。</x:v>
      </x:c>
      <x:c r="E283" s="7" t="str">
        <x:v>W4075</x:v>
      </x:c>
      <x:c r="F283" s="7" t="str">
        <x:v>内容から分類（調査者・一次整理）</x:v>
      </x:c>
      <x:c r="G283" s="7" t="str">
        <x:v>周辺要素・実装部品。システム全体のAI／自動動作の確認ではない</x:v>
      </x:c>
      <x:c t="str" r="H283" s="21">
        <x:f>HYPERLINK("#'展示詳細'!A"&amp;MATCH("AC293",'展示詳細'!$A$1:$A$340,0),"AC293")</x:f>
        <x:v>AC293</x:v>
      </x:c>
      <x:c r="I283" s="7" t="str">
        <x:v>2026の具体記述：• 特許取得のドレンバックタンク設計により、漏れた液体をタンクへ自動的に戻し、プロセスを止めずに運転可能。</x:v>
      </x:c>
      <x:c r="J283" s="7" t="str">
        <x:v>EEX-EXH-2026-703ff3fd652e4672</x:v>
      </x:c>
      <x:c r="K283" s="7" t="str">
        <x:v>https://www.jimtof.org/search/jp/ESdetails?e=WiKj9N3VZzI</x:v>
      </x:c>
    </x:row>
    <x:row r="284" ht="84" customHeight="1">
      <x:c r="A284" s="7" t="str">
        <x:v>自動化</x:v>
      </x:c>
      <x:c r="B284" s="7" t="str">
        <x:v>精密デジタル水準器 BlueLEVEL・BlueLEVEL 2D</x:v>
      </x:c>
      <x:c r="C284" s="7" t="str">
        <x:v>WYLER AG</x:v>
      </x:c>
      <x:c r="D284" s="7" t="str">
        <x:v>精密デジタル水準器 BlueLEVEL・BlueLEVEL 2D</x:v>
      </x:c>
      <x:c r="E284" s="7" t="str">
        <x:v>E2026</x:v>
      </x:c>
      <x:c r="F284" s="7" t="str">
        <x:v>内容から分類（調査者・一次整理）</x:v>
      </x:c>
      <x:c r="G284" s="7" t="str">
        <x:v>出展説明に基づく一次分類。方式・実装権限・提供段階は個別確認</x:v>
      </x:c>
      <x:c t="str" r="H284" s="21">
        <x:f>HYPERLINK("#'展示詳細'!A"&amp;MATCH("AC297",'展示詳細'!$A$1:$A$340,0),"AC297")</x:f>
        <x:v>AC297</x:v>
      </x:c>
      <x:c r="I284" s="7" t="str">
        <x:v>2026の具体記述：【ワイラー デジタル水準器】 / ～耐衝撃性に優れた精密デジタル水準器とワイヤレスデータ通信で精密測定をサポート～ / 耐衝撃性に優れた独自のセンサと、温度自動補正機能による信頼性の高い測定結果が、市場で高く評価されています。 / 精密デジタル水準器 BlueLEVEL・BlueLEVEL 2D / デジタル角度センサ ZEROTRONIC / データ転送機能付き角形デジタル水準器 WylerCLINO Frame 60・Clinotr</x:v>
      </x:c>
      <x:c r="J284" s="7" t="str">
        <x:v>EEX-EXH-2026-8b48ce9818506160</x:v>
      </x:c>
      <x:c r="K284" s="7" t="str">
        <x:v>https://www.jimtof.org/search/jp/ESdetails?e=skJOsZ3QJkQ</x:v>
      </x:c>
    </x:row>
    <x:row r="285" ht="84" customHeight="1">
      <x:c r="A285" s="7" t="str">
        <x:v>自動化</x:v>
      </x:c>
      <x:c r="B285" s="7" t="str">
        <x:v>工場内搬送</x:v>
      </x:c>
      <x:c r="C285" s="7" t="str">
        <x:v>Walter Maschinenbau</x:v>
      </x:c>
      <x:c r="D285" s="7" t="str">
        <x:v>ATP：工具製造の工程間搬送</x:v>
      </x:c>
      <x:c r="E285" s="7" t="str">
        <x:v>E8001</x:v>
      </x:c>
      <x:c r="F285" s="7" t="str">
        <x:v>内容から分類（調査者）</x:v>
      </x:c>
      <x:c r="G285" s="7" t="str">
        <x:v>固定手順・生成・判定・補正等の自動化／支援</x:v>
      </x:c>
      <x:c t="str" r="H285" s="21">
        <x:f>HYPERLINK("#'展示詳細'!A"&amp;MATCH("FC055",'展示詳細'!$A$1:$A$340,0),"FC055")</x:f>
        <x:v>FC055</x:v>
      </x:c>
      <x:c r="I285" s="7" t="str">
        <x:v>人が行っていた処理・作業を機械又はソフトで行う機能に分類。提案の採用や例外対応に人が残るものを含む。</x:v>
      </x:c>
      <x:c r="J285" s="7" t="str">
        <x:v>EOV-V035-2026-1</x:v>
      </x:c>
      <x:c r="K285" s="7" t="str">
        <x:v>https://www.jimtof.org/search/jp/ESdetails?e=roSu2EMRXwk</x:v>
      </x:c>
    </x:row>
    <x:row r="286" ht="84" customHeight="1">
      <x:c r="A286" s="7" t="str">
        <x:v>自動化</x:v>
      </x:c>
      <x:c r="B286" s="7" t="str">
        <x:v>WinTool：工具情報と現物・工程資源の連携</x:v>
      </x:c>
      <x:c r="C286" s="7" t="str">
        <x:v>WinTool AG</x:v>
      </x:c>
      <x:c r="D286" s="7" t="str">
        <x:v>WinTool：工具情報と現物・工程資源の連携</x:v>
      </x:c>
      <x:c r="E286" s="7" t="str">
        <x:v>E1049</x:v>
      </x:c>
      <x:c r="F286" s="7" t="str">
        <x:v>内容から分類（調査者・一次整理）</x:v>
      </x:c>
      <x:c r="G286" s="7" t="str">
        <x:v>出展説明に基づく一次分類。方式・実装権限・提供段階は個別確認</x:v>
      </x:c>
      <x:c t="str" r="H286" s="21">
        <x:f>HYPERLINK("#'展示詳細'!A"&amp;MATCH("AC295",'展示詳細'!$A$1:$A$340,0),"AC295")</x:f>
        <x:v>AC295</x:v>
      </x:c>
      <x:c r="I286" s="7" t="str">
        <x:v>2026の具体記述：CAMやNCシミュレーションシステムに工具データを展開することも可能。 / また、加工現場の工具収納システム・ツールプリセッタ・自動加工システムとも連携。 / WinToolは、生産管理システムやERP、MES、PLMで管理しきれない業務領域をカバー。 / BOP(工程管理表)の生産資源を「より現実」に落とし込み、生産技術と加工現場の架け橋の役割を担います。 / ・WinTool CAMシステム連携</x:v>
      </x:c>
      <x:c r="J286" s="7" t="str">
        <x:v>EEX-EXH-2026-4fb92ba6b82546d7
EDP-18
EDP-19</x:v>
      </x:c>
      <x:c r="K286" s="7" t="str">
        <x:v>https://www.jimtof.org/search/jp/ESdetails?e=sSFZV23clJo
https://www.wintool.com/en/tool-management-software/cnc-inventory-manager/erp-integration
https://www.wintool.com/software/cnc-prozessverwaltung</x:v>
      </x:c>
    </x:row>
    <x:row r="287" ht="84" customHeight="1">
      <x:c r="A287" s="7" t="str">
        <x:v>自動化</x:v>
      </x:c>
      <x:c r="B287" s="7" t="str">
        <x:v>測定から加工へ補正</x:v>
      </x:c>
      <x:c r="C287" s="7" t="str">
        <x:v>Wintech Automation</x:v>
      </x:c>
      <x:c r="D287" s="7" t="str">
        <x:v>HGM-DX：測定フィードバック研削</x:v>
      </x:c>
      <x:c r="E287" s="7" t="str">
        <x:v>W3051</x:v>
      </x:c>
      <x:c r="F287" s="7" t="str">
        <x:v>内容から分類（調査者）</x:v>
      </x:c>
      <x:c r="G287" s="7" t="str">
        <x:v>固定手順・生成・判定・補正等の自動化／支援</x:v>
      </x:c>
      <x:c t="str" r="H287" s="21">
        <x:f>HYPERLINK("#'展示詳細'!A"&amp;MATCH("FC054",'展示詳細'!$A$1:$A$340,0),"FC054")</x:f>
        <x:v>FC054</x:v>
      </x:c>
      <x:c r="I287" s="7" t="str">
        <x:v>人が行っていた処理・作業を機械又はソフトで行う機能に分類。提案の採用や例外対応に人が残るものを含む。</x:v>
      </x:c>
      <x:c r="J287" s="7" t="str">
        <x:v>EOV-V034-2026-1</x:v>
      </x:c>
      <x:c r="K287" s="7" t="str">
        <x:v>https://www.jimtof.org/search/jp/ESdetails?e=lMk3zNvQJbg</x:v>
      </x:c>
    </x:row>
    <x:row r="288" ht="84" customHeight="1">
      <x:c r="A288" s="7" t="str">
        <x:v>自動化</x:v>
      </x:c>
      <x:c r="B288" s="7" t="str">
        <x:v>さらに、YADONは、トランスファーライン、多ステーションプレスライン、多機ラインを含む自動化スタンピングソリューションの提供においても業界をリードし</x:v>
      </x:c>
      <x:c r="C288" s="7" t="str">
        <x:v>YANGZHOU METALFORMING MACHINE TOOL CO.,LTD</x:v>
      </x:c>
      <x:c r="D288" s="7" t="str">
        <x:v>さらに、YADONは、トランスファーライン、多ステーションプレスライン、多機ラインを含む自動化スタンピングソリューションの提供においても業界をリードし</x:v>
      </x:c>
      <x:c r="E288" s="7" t="str">
        <x:v>S1088</x:v>
      </x:c>
      <x:c r="F288" s="7" t="str">
        <x:v>内容から分類（調査者・一次整理）</x:v>
      </x:c>
      <x:c r="G288" s="7" t="str">
        <x:v>出展説明に基づく一次分類。方式・実装権限・提供段階は個別確認</x:v>
      </x:c>
      <x:c t="str" r="H288" s="21">
        <x:f>HYPERLINK("#'展示詳細'!A"&amp;MATCH("AC298",'展示詳細'!$A$1:$A$340,0),"AC298")</x:f>
        <x:v>AC298</x:v>
      </x:c>
      <x:c r="I288" s="7" t="str">
        <x:v>2026の具体記述：さらに、YADONは、トランスファーライン、多ステーションプレスライン、多機ラインを含む自動化スタンピングソリューションの提供においても業界をリードしております。</x:v>
      </x:c>
      <x:c r="J288" s="7" t="str">
        <x:v>EEX-EXH-2026-6e4fdf8d0532940b</x:v>
      </x:c>
      <x:c r="K288" s="7" t="str">
        <x:v>https://www.jimtof.org/search/jp/ESdetails?e=IP8LxjVq_vg</x:v>
      </x:c>
    </x:row>
    <x:row r="289" ht="84" customHeight="1">
      <x:c r="A289" s="7" t="str">
        <x:v>自動化</x:v>
      </x:c>
      <x:c r="B289" s="7" t="str">
        <x:v>【実機出展】</x:v>
      </x:c>
      <x:c r="C289" s="7" t="str">
        <x:v>YKT株式会社</x:v>
      </x:c>
      <x:c r="D289" s="7" t="str">
        <x:v>【実機出展】</x:v>
      </x:c>
      <x:c r="E289" s="7" t="str">
        <x:v>E2026</x:v>
      </x:c>
      <x:c r="F289" s="7" t="str">
        <x:v>内容から分類（調査者・一次整理）</x:v>
      </x:c>
      <x:c r="G289" s="7" t="str">
        <x:v>出展説明に基づく一次分類。方式・実装権限・提供段階は個別確認</x:v>
      </x:c>
      <x:c t="str" r="H289" s="21">
        <x:f>HYPERLINK("#'展示詳細'!A"&amp;MATCH("AC246",'展示詳細'!$A$1:$A$340,0),"AC246")</x:f>
        <x:v>AC246</x:v>
      </x:c>
      <x:c r="I289" s="7" t="str">
        <x:v>2026の具体記述：創業102年を迎える当社は、工具研削盤、切削工具表面処理工程の自動化ソリューション、マルチセンサ三次元測定機などを中心に、製造現場の課題解決を支援しています。 / 今回のJIMTOFでは、自動化・測定・データ活用を組み合わせたスマートファクトリを提案し、生産性の向上と持続的な競争力の強化に貢献します。 / ■NAVIEDGE / ナビエッジ 自律搬送ロボット Smart Grasper・Smart 250TRS、自動測定セル Multi</x:v>
      </x:c>
      <x:c r="J289" s="7" t="str">
        <x:v>EEX-EXH-2026-28ad6ce1ddaebaa7</x:v>
      </x:c>
      <x:c r="K289" s="7" t="str">
        <x:v>https://www.jimtof.org/search/jp/ESdetails?e=nYvFR1vpbuE</x:v>
      </x:c>
    </x:row>
    <x:row r="290" ht="84" customHeight="1">
      <x:c r="A290" s="7" t="str">
        <x:v>自動化</x:v>
      </x:c>
      <x:c r="B290" s="7" t="str">
        <x:v>genius</x:v>
      </x:c>
      <x:c r="C290" s="7" t="str">
        <x:v>ZOLLER Japan株式会社</x:v>
      </x:c>
      <x:c r="D290" s="7" t="str">
        <x:v>genius</x:v>
      </x:c>
      <x:c r="E290" s="7" t="str">
        <x:v>S1002</x:v>
      </x:c>
      <x:c r="F290" s="7" t="str">
        <x:v>内容から分類（調査者・一次整理）</x:v>
      </x:c>
      <x:c r="G290" s="7" t="str">
        <x:v>出展説明に基づく一次分類。方式・実装権限・提供段階は個別確認</x:v>
      </x:c>
      <x:c t="str" r="H290" s="21">
        <x:f>HYPERLINK("#'展示詳細'!A"&amp;MATCH("AC138",'展示詳細'!$A$1:$A$340,0),"AC138")</x:f>
        <x:v>AC138</x:v>
      </x:c>
      <x:c r="I290" s="7" t="str">
        <x:v>2026の具体記述：急騰する切削工具を如何に管理し、コストダウンするか、を主なテーマとした製品展示を行う。 / 「管理」する意味は様々だが、工具測定機、ツールプリセッター、ツールバランサーの高精度と高機能、工具管理システムの仕組み等により、最適な「管理」を提案する。 / genius / venturion / smile / toolBalancer / pomBasic / toolOrganizer / zidCode</x:v>
      </x:c>
      <x:c r="J290" s="7" t="str">
        <x:v>EEX-EXH-2026-3828f130cd66f8e7</x:v>
      </x:c>
      <x:c r="K290" s="7" t="str">
        <x:v>https://www.jimtof.org/search/jp/ESdetails?e=jOy4EwAr6xI</x:v>
      </x:c>
    </x:row>
    <x:row r="291" ht="84" customHeight="1">
      <x:c r="A291" s="7" t="str">
        <x:v>自動化</x:v>
      </x:c>
      <x:c r="B291" s="7" t="str">
        <x:v>計画変更・負荷調整</x:v>
      </x:c>
      <x:c r="C291" s="7" t="str">
        <x:v>ものレボ</x:v>
      </x:c>
      <x:c r="D291" s="7" t="str">
        <x:v>MonoRevo：工程計画・スケジューリング</x:v>
      </x:c>
      <x:c r="E291" s="7" t="str">
        <x:v>W3042</x:v>
      </x:c>
      <x:c r="F291" s="7" t="str">
        <x:v>内容から分類（調査者）</x:v>
      </x:c>
      <x:c r="G291" s="7" t="str">
        <x:v>固定手順・生成・判定・補正等の自動化／支援</x:v>
      </x:c>
      <x:c t="str" r="H291" s="21">
        <x:f>HYPERLINK("#'展示詳細'!A"&amp;MATCH("FC027",'展示詳細'!$A$1:$A$340,0),"FC027")</x:f>
        <x:v>FC027</x:v>
      </x:c>
      <x:c r="I291" s="7" t="str">
        <x:v>人が行っていた処理・作業を機械又はソフトで行う機能に分類。提案の採用や例外対応に人が残るものを含む。</x:v>
      </x:c>
      <x:c r="J291" s="7" t="str">
        <x:v>EOV-V014-2026-1</x:v>
      </x:c>
      <x:c r="K291" s="7" t="str">
        <x:v>https://www.jimtof.org/search/jp/ESdetails?e=sccKfxE4bYo</x:v>
      </x:c>
    </x:row>
    <x:row r="292" ht="84" customHeight="1">
      <x:c r="A292" s="7" t="str">
        <x:v>自動化</x:v>
      </x:c>
      <x:c r="B292" s="7" t="str">
        <x:v>図面検索・見積・調達</x:v>
      </x:c>
      <x:c r="C292" s="7" t="str">
        <x:v>ものレボ</x:v>
      </x:c>
      <x:c r="D292" s="7" t="str">
        <x:v>MonoRevo：類似図面検索・自動見積</x:v>
      </x:c>
      <x:c r="E292" s="7" t="str">
        <x:v>W3042</x:v>
      </x:c>
      <x:c r="F292" s="7" t="str">
        <x:v>内容から分類（調査者）</x:v>
      </x:c>
      <x:c r="G292" s="7" t="str">
        <x:v>固定手順・生成・判定・補正等の自動化／支援</x:v>
      </x:c>
      <x:c t="str" r="H292" s="21">
        <x:f>HYPERLINK("#'展示詳細'!A"&amp;MATCH("FC028",'展示詳細'!$A$1:$A$340,0),"FC028")</x:f>
        <x:v>FC028</x:v>
      </x:c>
      <x:c r="I292" s="7" t="str">
        <x:v>人が行っていた処理・作業を機械又はソフトで行う機能に分類。提案の採用や例外対応に人が残るものを含む。</x:v>
      </x:c>
      <x:c r="J292" s="7" t="str">
        <x:v>EOV-V014-2026-1</x:v>
      </x:c>
      <x:c r="K292" s="7" t="str">
        <x:v>https://www.jimtof.org/search/jp/ESdetails?e=sccKfxE4bYo</x:v>
      </x:c>
    </x:row>
    <x:row r="293" ht="84" customHeight="1">
      <x:c r="A293" s="7" t="str">
        <x:v>自動化</x:v>
      </x:c>
      <x:c r="B293" s="7" t="str">
        <x:v>ワーク固定</x:v>
      </x:c>
      <x:c r="C293" s="7" t="str">
        <x:v>イマオコーポレーション</x:v>
      </x:c>
      <x:c r="D293" s="7" t="str">
        <x:v>ナットランナー治具</x:v>
      </x:c>
      <x:c r="E293" s="7" t="str">
        <x:v>W2001</x:v>
      </x:c>
      <x:c r="F293" s="7" t="str">
        <x:v>内容から分類（調査者）</x:v>
      </x:c>
      <x:c r="G293" s="7" t="str">
        <x:v>固定手順・生成・判定・補正等の自動化／支援</x:v>
      </x:c>
      <x:c t="str" r="H293" s="21">
        <x:f>HYPERLINK("#'展示詳細'!A"&amp;MATCH("FC042",'展示詳細'!$A$1:$A$340,0),"FC042")</x:f>
        <x:v>FC042</x:v>
      </x:c>
      <x:c r="I293" s="7" t="str">
        <x:v>人が行っていた処理・作業を機械又はソフトで行う機能に分類。提案の採用や例外対応に人が残るものを含む。</x:v>
      </x:c>
      <x:c r="J293" s="7" t="str">
        <x:v>EOV-V025-2026-1
EDP-30
EDP-32</x:v>
      </x:c>
      <x:c r="K293" s="7" t="str">
        <x:v>https://www.jimtof.org/search/jp/ESdetails?e=shuDpJLDn-A
https://www.imao.co.jp/products/nutrunnerclamp.html
https://www.imao.co.jp/event-20241105-1110-jimtof/jimtof.pdf</x:v>
      </x:c>
    </x:row>
    <x:row r="294" ht="84" customHeight="1">
      <x:c r="A294" s="7" t="str">
        <x:v>自動化</x:v>
      </x:c>
      <x:c r="B294" s="7" t="str">
        <x:v>指・ハンド交換</x:v>
      </x:c>
      <x:c r="C294" s="7" t="str">
        <x:v>イマオコーポレーション</x:v>
      </x:c>
      <x:c r="D294" s="7" t="str">
        <x:v>メカ式フィンガー交換</x:v>
      </x:c>
      <x:c r="E294" s="7" t="str">
        <x:v>W2001</x:v>
      </x:c>
      <x:c r="F294" s="7" t="str">
        <x:v>内容から分類（調査者）</x:v>
      </x:c>
      <x:c r="G294" s="7" t="str">
        <x:v>固定手順・生成・判定・補正等の自動化／支援</x:v>
      </x:c>
      <x:c t="str" r="H294" s="21">
        <x:f>HYPERLINK("#'展示詳細'!A"&amp;MATCH("FC043",'展示詳細'!$A$1:$A$340,0),"FC043")</x:f>
        <x:v>FC043</x:v>
      </x:c>
      <x:c r="I294" s="7" t="str">
        <x:v>人が行っていた処理・作業を機械又はソフトで行う機能に分類。提案の採用や例外対応に人が残るものを含む。</x:v>
      </x:c>
      <x:c r="J294" s="7" t="str">
        <x:v>EOV-V025-2026-1
EDP-31</x:v>
      </x:c>
      <x:c r="K294" s="7" t="str">
        <x:v>https://www.jimtof.org/search/jp/ESdetails?e=shuDpJLDn-A
https://www.imao.co.jp/products/tsume-changer.html</x:v>
      </x:c>
    </x:row>
    <x:row r="295" ht="84" customHeight="1">
      <x:c r="A295" s="7" t="str">
        <x:v>自動化</x:v>
      </x:c>
      <x:c r="B295" s="7" t="str">
        <x:v>周辺部品・機構</x:v>
      </x:c>
      <x:c r="C295" s="7" t="str">
        <x:v>エスエムダブリューオートブロック株式会社</x:v>
      </x:c>
      <x:c r="D295" s="7" t="str">
        <x:v>クイックジョーチェンジチャック「KNCS-N」</x:v>
      </x:c>
      <x:c r="E295" s="7" t="str">
        <x:v>W2074</x:v>
      </x:c>
      <x:c r="F295" s="7" t="str">
        <x:v>内容から分類（調査者・一次整理）</x:v>
      </x:c>
      <x:c r="G295" s="7" t="str">
        <x:v>周辺要素・実装部品。システム全体のAI／自動動作の確認ではない</x:v>
      </x:c>
      <x:c t="str" r="H295" s="21">
        <x:f>HYPERLINK("#'展示詳細'!A"&amp;MATCH("AC033",'展示詳細'!$A$1:$A$340,0),"AC033")</x:f>
        <x:v>AC033</x:v>
      </x:c>
      <x:c r="I295" s="7" t="str">
        <x:v>2026の具体記述：当社製品は「段取り替え時間の短縮」・「ワークを歪ませにくい遠心力補正機構」・「完全密閉型でメンテナンスが容易で高精度で長寿命」・「ボディ総焼き入れ（12インチ相当まで）」などの多くの特長があります。 / また、旋盤用製品・マシニングセンタ用製品どちらも需要が増えている自動化（ロボットでの段取り替え等）に対応した製品も取り揃えており、製品を展示します。 / 密閉タイプの「KNCS-2G」、ロボットでの爪交換に対応した「KNCSN-mati</x:v>
      </x:c>
      <x:c r="J295" s="7" t="str">
        <x:v>EEX-EXH-2026-d32f9a2c2a12af7a</x:v>
      </x:c>
      <x:c r="K295" s="7" t="str">
        <x:v>https://www.jimtof.org/search/jp/ESdetails?e=AKC0LsfHQI4</x:v>
      </x:c>
    </x:row>
    <x:row r="296" ht="84" customHeight="1">
      <x:c r="A296" s="7" t="str">
        <x:v>自動化</x:v>
      </x:c>
      <x:c r="B296" s="7" t="str">
        <x:v>ワーク搬入出</x:v>
      </x:c>
      <x:c r="C296" s="7" t="str">
        <x:v>エヌティーツール</x:v>
      </x:c>
      <x:c r="D296" s="7" t="str">
        <x:v>マテハンホルダ</x:v>
      </x:c>
      <x:c r="E296" s="7" t="str">
        <x:v>W2019</x:v>
      </x:c>
      <x:c r="F296" s="7" t="str">
        <x:v>内容から分類（調査者）</x:v>
      </x:c>
      <x:c r="G296" s="7" t="str">
        <x:v>固定手順・生成・判定・補正等の自動化／支援</x:v>
      </x:c>
      <x:c t="str" r="H296" s="21">
        <x:f>HYPERLINK("#'展示詳細'!A"&amp;MATCH("FC044",'展示詳細'!$A$1:$A$340,0),"FC044")</x:f>
        <x:v>FC044</x:v>
      </x:c>
      <x:c r="I296" s="7" t="str">
        <x:v>人が行っていた処理・作業を機械又はソフトで行う機能に分類。提案の採用や例外対応に人が残るものを含む。</x:v>
      </x:c>
      <x:c r="J296" s="7" t="str">
        <x:v>EOV-V026-2026-1</x:v>
      </x:c>
      <x:c r="K296" s="7" t="str">
        <x:v>https://www.jimtof.org/search/jp/ESdetails?e=iW3vesxy4DU</x:v>
      </x:c>
    </x:row>
    <x:row r="297" ht="84" customHeight="1">
      <x:c r="A297" s="7" t="str">
        <x:v>自動化</x:v>
      </x:c>
      <x:c r="B297" s="7" t="str">
        <x:v>切粉処理</x:v>
      </x:c>
      <x:c r="C297" s="7" t="str">
        <x:v>エヌティーツール</x:v>
      </x:c>
      <x:c r="D297" s="7" t="str">
        <x:v>BoostMaster</x:v>
      </x:c>
      <x:c r="E297" s="7" t="str">
        <x:v>W2019</x:v>
      </x:c>
      <x:c r="F297" s="7" t="str">
        <x:v>内容から分類（調査者）</x:v>
      </x:c>
      <x:c r="G297" s="7" t="str">
        <x:v>固定手順・生成・判定・補正等の自動化／支援</x:v>
      </x:c>
      <x:c t="str" r="H297" s="21">
        <x:f>HYPERLINK("#'展示詳細'!A"&amp;MATCH("FC045",'展示詳細'!$A$1:$A$340,0),"FC045")</x:f>
        <x:v>FC045</x:v>
      </x:c>
      <x:c r="I297" s="7" t="str">
        <x:v>人が行っていた処理・作業を機械又はソフトで行う機能に分類。提案の採用や例外対応に人が残るものを含む。</x:v>
      </x:c>
      <x:c r="J297" s="7" t="str">
        <x:v>EOV-V026-2026-1</x:v>
      </x:c>
      <x:c r="K297" s="7" t="str">
        <x:v>https://www.jimtof.org/search/jp/ESdetails?e=iW3vesxy4DU</x:v>
      </x:c>
    </x:row>
    <x:row r="298" ht="84" customHeight="1">
      <x:c r="A298" s="7" t="str">
        <x:v>自動化</x:v>
      </x:c>
      <x:c r="B298" s="7" t="str">
        <x:v>タワー型ツールストッカー</x:v>
      </x:c>
      <x:c r="C298" s="7" t="str">
        <x:v>エバ工業株式会社</x:v>
      </x:c>
      <x:c r="D298" s="7" t="str">
        <x:v>タワー型ツールストッカー</x:v>
      </x:c>
      <x:c r="E298" s="7" t="str">
        <x:v>E7065</x:v>
      </x:c>
      <x:c r="F298" s="7" t="str">
        <x:v>内容から分類（調査者・一次整理）</x:v>
      </x:c>
      <x:c r="G298" s="7" t="str">
        <x:v>出展説明に基づく一次分類。方式・実装権限・提供段階は個別確認</x:v>
      </x:c>
      <x:c t="str" r="H298" s="21">
        <x:f>HYPERLINK("#'展示詳細'!A"&amp;MATCH("AC038",'展示詳細'!$A$1:$A$340,0),"AC038")</x:f>
        <x:v>AC038</x:v>
      </x:c>
      <x:c r="I298" s="7" t="str">
        <x:v>2026の具体記述：ツール管理の課題を解決する、タワー型ツールストッカー「VTS（Vertical Tool Stocker System）」をご紹介します。 / わずか約2.3m×2.3mの設置面積に、最大約600本の工具を高密度に収納。 / 工具を探す・取りに行く工数や、分散保管によるムダ、重複発注の削減に貢献します。 / 複列型の収納構造に加え、取出予約などの運用にも対応。 / 走行軸を廃し、NC可動範囲を効率よく活用した機構により、省スペース・大容</x:v>
      </x:c>
      <x:c r="J298" s="7" t="str">
        <x:v>EEX-EXH-2026-82c1d23abea2ae6d</x:v>
      </x:c>
      <x:c r="K298" s="7" t="str">
        <x:v>https://www.jimtof.org/search/jp/ESdetails?e=BQDEsiMInIU</x:v>
      </x:c>
    </x:row>
    <x:row r="299" ht="84" customHeight="1">
      <x:c r="A299" s="7" t="str">
        <x:v>自動化</x:v>
      </x:c>
      <x:c r="B299" s="7" t="str">
        <x:v>「3つの技術の融合」をテーマに、エンシュウは「工作機械メーカー × SIer × 量産部品加工メーカー」の3つの技術と機能を融合し、製造現場が直面する</x:v>
      </x:c>
      <x:c r="C299" s="7" t="str">
        <x:v>エンシュウ株式会社</x:v>
      </x:c>
      <x:c r="D299" s="7" t="str">
        <x:v>「3つの技術の融合」をテーマに、エンシュウは「工作機械メーカー × SIer × 量産部品加工メーカー」の3つの技術と機能を融合し、製造現場が直面する</x:v>
      </x:c>
      <x:c r="E299" s="7" t="str">
        <x:v>E3027</x:v>
      </x:c>
      <x:c r="F299" s="7" t="str">
        <x:v>内容から分類（調査者・一次整理）</x:v>
      </x:c>
      <x:c r="G299" s="7" t="str">
        <x:v>出展説明に基づく一次分類。方式・実装権限・提供段階は個別確認</x:v>
      </x:c>
      <x:c t="str" r="H299" s="21">
        <x:f>HYPERLINK("#'展示詳細'!A"&amp;MATCH("AC041",'展示詳細'!$A$1:$A$340,0),"AC041")</x:f>
        <x:v>AC041</x:v>
      </x:c>
      <x:c r="I299" s="7" t="str">
        <x:v>2026の具体記述：「3つの技術の融合」をテーマに、エンシュウは「工作機械メーカー × SIer × 量産部品加工メーカー」の3つの技術と機能を融合し、製造現場が直面する「自動化」「デジタル化」「省エネ」の課題に新たな価値を提案します。 / 今回の展示では、①横形マシニングセンタJE50Sコンセプトモデルによる「工作機械×デジタル」、②Mobile Robotによるモノと情報をつなぐ物流自動化、③量産部品加工で培った生産性と品質を両立する“実践技術”をご紹</x:v>
      </x:c>
      <x:c r="J299" s="7" t="str">
        <x:v>EEX-EXH-2026-0e942b9436bf5d6c</x:v>
      </x:c>
      <x:c r="K299" s="7" t="str">
        <x:v>https://www.jimtof.org/search/jp/ESdetails?e=fPfTIEegDHY</x:v>
      </x:c>
    </x:row>
    <x:row r="300" ht="84" customHeight="1">
      <x:c r="A300" s="7" t="str">
        <x:v>自動化</x:v>
      </x:c>
      <x:c r="B300" s="7" t="str">
        <x:v>オーエスジーの最新技術を結集し、さまざまな被削材や加工環境に対応する</x:v>
      </x:c>
      <x:c r="C300" s="7" t="str">
        <x:v>オーエスジー株式会社</x:v>
      </x:c>
      <x:c r="D300" s="7" t="str">
        <x:v>オーエスジーの最新技術を結集し、さまざまな被削材や加工環境に対応する</x:v>
      </x:c>
      <x:c r="E300" s="7" t="str">
        <x:v>W1070</x:v>
      </x:c>
      <x:c r="F300" s="7" t="str">
        <x:v>内容から分類（調査者・一次整理）</x:v>
      </x:c>
      <x:c r="G300" s="7" t="str">
        <x:v>出展説明に基づく一次分類。方式・実装権限・提供段階は個別確認</x:v>
      </x:c>
      <x:c t="str" r="H300" s="21">
        <x:f>HYPERLINK("#'展示詳細'!A"&amp;MATCH("AC042",'展示詳細'!$A$1:$A$340,0),"AC042")</x:f>
        <x:v>AC042</x:v>
      </x:c>
      <x:c r="I300" s="7" t="str">
        <x:v>2026の具体記述：オーエスジーは、自動化、省人化を通じ、環境配慮につながる製品を提案します。 / 硬脆材加工用工具「６ＣｘＯＳＧ」、工具管理DX「ＭＯＮＯｌｉｔｈｂｏｘ（モノリスボックス）」、環境配慮型工具、精密・微細工具、ダイヤモンド工具、転造工具</x:v>
      </x:c>
      <x:c r="J300" s="7" t="str">
        <x:v>EEX-EXH-2026-89ee86275a54f434</x:v>
      </x:c>
      <x:c r="K300" s="7" t="str">
        <x:v>https://www.jimtof.org/search/jp/ESdetails?e=AooPnMJlHW4</x:v>
      </x:c>
    </x:row>
    <x:row r="301" ht="84" customHeight="1">
      <x:c r="A301" s="7" t="str">
        <x:v>自動化</x:v>
      </x:c>
      <x:c r="B301" s="7" t="str">
        <x:v>ワーク搬入出</x:v>
      </x:c>
      <x:c r="C301" s="7" t="str">
        <x:v>オークマ</x:v>
      </x:c>
      <x:c r="D301" s="7" t="str">
        <x:v>ARMROID／OMR20</x:v>
      </x:c>
      <x:c r="E301" s="7" t="str">
        <x:v>E3028</x:v>
      </x:c>
      <x:c r="F301" s="7" t="str">
        <x:v>内容から分類（調査者）</x:v>
      </x:c>
      <x:c r="G301" s="7" t="str">
        <x:v>固定手順・生成・判定・補正等の自動化／支援</x:v>
      </x:c>
      <x:c t="str" r="H301" s="21">
        <x:f>HYPERLINK("#'展示詳細'!A"&amp;MATCH("FC008",'展示詳細'!$A$1:$A$340,0),"FC008")</x:f>
        <x:v>FC008</x:v>
      </x:c>
      <x:c r="I301" s="7" t="str">
        <x:v>人が行っていた処理・作業を機械又はソフトで行う機能に分類。提案の採用や例外対応に人が残るものを含む。</x:v>
      </x:c>
      <x:c r="J301" s="7" t="str">
        <x:v>EOV-V003-2026-1</x:v>
      </x:c>
      <x:c r="K301" s="7" t="str">
        <x:v>https://www.jimtof.org/search/jp/ESdetails?e=30li0vWcseI</x:v>
      </x:c>
    </x:row>
    <x:row r="302" ht="84" customHeight="1">
      <x:c r="A302" s="7" t="str">
        <x:v>自動化</x:v>
      </x:c>
      <x:c r="B302" s="7" t="str">
        <x:v>熱変位補正</x:v>
      </x:c>
      <x:c r="C302" s="7" t="str">
        <x:v>オークマ</x:v>
      </x:c>
      <x:c r="D302" s="7" t="str">
        <x:v>熱変位制御・AI知能化</x:v>
      </x:c>
      <x:c r="E302" s="7" t="str">
        <x:v>E3028</x:v>
      </x:c>
      <x:c r="F302" s="7" t="str">
        <x:v>内容から分類（調査者）</x:v>
      </x:c>
      <x:c r="G302" s="7" t="str">
        <x:v>固定手順・生成・判定・補正等の自動化／支援</x:v>
      </x:c>
      <x:c t="str" r="H302" s="21">
        <x:f>HYPERLINK("#'展示詳細'!A"&amp;MATCH("FC009",'展示詳細'!$A$1:$A$340,0),"FC009")</x:f>
        <x:v>FC009</x:v>
      </x:c>
      <x:c r="I302" s="7" t="str">
        <x:v>人が行っていた処理・作業を機械又はソフトで行う機能に分類。提案の採用や例外対応に人が残るものを含む。</x:v>
      </x:c>
      <x:c r="J302" s="7" t="str">
        <x:v>EOV-V003-2026-1</x:v>
      </x:c>
      <x:c r="K302" s="7" t="str">
        <x:v>https://www.jimtof.org/search/jp/ESdetails?e=30li0vWcseI</x:v>
      </x:c>
    </x:row>
    <x:row r="303" ht="84" customHeight="1">
      <x:c r="A303" s="7" t="str">
        <x:v>自動化</x:v>
      </x:c>
      <x:c r="B303" s="7" t="str">
        <x:v>設計製造データ連携</x:v>
      </x:c>
      <x:c r="C303" s="7" t="str">
        <x:v>オートデスク</x:v>
      </x:c>
      <x:c r="D303" s="7" t="str">
        <x:v>Fusion／FeatureCAM／PLM連携</x:v>
      </x:c>
      <x:c r="E303" s="7" t="str">
        <x:v>S3019</x:v>
      </x:c>
      <x:c r="F303" s="7" t="str">
        <x:v>内容から分類（調査者）</x:v>
      </x:c>
      <x:c r="G303" s="7" t="str">
        <x:v>固定手順・生成・判定・補正等の自動化／支援</x:v>
      </x:c>
      <x:c t="str" r="H303" s="21">
        <x:f>HYPERLINK("#'展示詳細'!A"&amp;MATCH("FC023",'展示詳細'!$A$1:$A$340,0),"FC023")</x:f>
        <x:v>FC023</x:v>
      </x:c>
      <x:c r="I303" s="7" t="str">
        <x:v>人が行っていた処理・作業を機械又はソフトで行う機能に分類。提案の採用や例外対応に人が残るものを含む。</x:v>
      </x:c>
      <x:c r="J303" s="7" t="str">
        <x:v>EOV-V010-2026-1</x:v>
      </x:c>
      <x:c r="K303" s="7" t="str">
        <x:v>https://www.jimtof.org/search/jp/ESdetails?e=Y_kC6hMTghk</x:v>
      </x:c>
    </x:row>
    <x:row r="304" ht="84" customHeight="1">
      <x:c r="A304" s="7" t="str">
        <x:v>自動化</x:v>
      </x:c>
      <x:c r="B304" s="7" t="str">
        <x:v>hyperMILL CAD/CAM</x:v>
      </x:c>
      <x:c r="C304" s="7" t="str">
        <x:v>オープン・マインド・テクノロジーズ・ジャパン株式会社</x:v>
      </x:c>
      <x:c r="D304" s="7" t="str">
        <x:v>hyperMILL CAD/CAM</x:v>
      </x:c>
      <x:c r="E304" s="7" t="str">
        <x:v>S4007</x:v>
      </x:c>
      <x:c r="F304" s="7" t="str">
        <x:v>内容から分類（調査者・一次整理）</x:v>
      </x:c>
      <x:c r="G304" s="7" t="str">
        <x:v>出展説明に基づく一次分類。方式・実装権限・提供段階は個別確認</x:v>
      </x:c>
      <x:c t="str" r="H304" s="21">
        <x:f>HYPERLINK("#'展示詳細'!A"&amp;MATCH("AC047",'展示詳細'!$A$1:$A$340,0),"AC047")</x:f>
        <x:v>AC047</x:v>
      </x:c>
      <x:c r="I304" s="7" t="str">
        <x:v>2026の具体記述：プログラミングの自動化にも力を入れており、他社とは一線を画すOPEN MINDが考える自動化のコンセプトも紹介します。 / hyperMILL CAD/CAM</x:v>
      </x:c>
      <x:c r="J304" s="7" t="str">
        <x:v>EEX-EXH-2026-f3eec5560e813e09</x:v>
      </x:c>
      <x:c r="K304" s="7" t="str">
        <x:v>https://www.jimtof.org/search/jp/ESdetails?e=A5CG9Q83cis</x:v>
      </x:c>
    </x:row>
    <x:row r="305" ht="84" customHeight="1">
      <x:c r="A305" s="7" t="str">
        <x:v>自動化</x:v>
      </x:c>
      <x:c r="B305" s="7" t="str">
        <x:v>周辺部品・機構</x:v>
      </x:c>
      <x:c r="C305" s="7" t="str">
        <x:v>カトウ工機株式会社</x:v>
      </x:c>
      <x:c r="D305" s="7" t="str">
        <x:v>［リタップ専用ホルダ］</x:v>
      </x:c>
      <x:c r="E305" s="7" t="str">
        <x:v>W2038</x:v>
      </x:c>
      <x:c r="F305" s="7" t="str">
        <x:v>内容から分類（調査者・一次整理）</x:v>
      </x:c>
      <x:c r="G305" s="7" t="str">
        <x:v>周辺要素・実装部品。システム全体のAI／自動動作の確認ではない</x:v>
      </x:c>
      <x:c t="str" r="H305" s="21">
        <x:f>HYPERLINK("#'展示詳細'!A"&amp;MATCH("AC050",'展示詳細'!$A$1:$A$340,0),"AC050")</x:f>
        <x:v>AC050</x:v>
      </x:c>
      <x:c r="I305" s="7" t="str">
        <x:v>2026の具体記述：［バリ取り自動化］手作業のバリ取り工程の自動化を提案いたします。 / 鋳造品や鍛造品など、寸法にバラつきのあるワークのバリ取り工程を自動化します。 / マシニングセンタ用・ロボット用をご用意しております。 / 自動供給ホルダもご用意しております。</x:v>
      </x:c>
      <x:c r="J305" s="7" t="str">
        <x:v>EEX-EXH-2026-024be58bd1c7d46f</x:v>
      </x:c>
      <x:c r="K305" s="7" t="str">
        <x:v>https://www.jimtof.org/search/jp/ESdetails?e=36Mstb-jm5Q</x:v>
      </x:c>
    </x:row>
    <x:row r="306" ht="84" customHeight="1">
      <x:c r="A306" s="7" t="str">
        <x:v>自動化</x:v>
      </x:c>
      <x:c r="B306" s="7" t="str">
        <x:v>マグネットピンセット：AI・2Dカメラ・協働ロボット</x:v>
      </x:c>
      <x:c r="C306" s="7" t="str">
        <x:v>カネテック株式会社</x:v>
      </x:c>
      <x:c r="D306" s="7" t="str">
        <x:v>マグネットピンセット：AI・2Dカメラ・協働ロボット</x:v>
      </x:c>
      <x:c r="E306" s="7" t="str">
        <x:v>W2013</x:v>
      </x:c>
      <x:c r="F306" s="7" t="str">
        <x:v>内容から分類（調査者・一次整理）</x:v>
      </x:c>
      <x:c r="G306" s="7" t="str">
        <x:v>出展説明に基づく一次分類。方式・実装権限・提供段階は個別確認</x:v>
      </x:c>
      <x:c t="str" r="H306" s="21">
        <x:f>HYPERLINK("#'展示詳細'!A"&amp;MATCH("AC051",'展示詳細'!$A$1:$A$340,0),"AC051")</x:f>
        <x:v>AC051</x:v>
      </x:c>
      <x:c r="I306" s="7" t="str">
        <x:v>2026の具体記述：また、小径ネジや小部品のバラ積みピッキング自動化を実現する、エンドエフェクタ「マグネットピンセット」は 磁気制御技術と2Dカメラ・AI、協働ロボットの連携により、省力化・自動化に向けた具体的な提案を展開する。 / 自動化・ワークの多様化に応えるラインアップで、幅広い業界のモノづくりを支える出展品の数々を、この機会に是非ご覧いただきたい。 / [バラ積みピッキング自動化]</x:v>
      </x:c>
      <x:c r="J306" s="7" t="str">
        <x:v>EEX-EXH-2026-30b70a74241de123
EDP-01</x:v>
      </x:c>
      <x:c r="K306" s="7" t="str">
        <x:v>https://www.jimtof.org/search/jp/ESdetails?e=ekM3exgIAtc
https://kanetec.co.jp/lp/MagnetPinset%40LP.html</x:v>
      </x:c>
    </x:row>
    <x:row r="307" ht="84" customHeight="1">
      <x:c r="A307" s="7" t="str">
        <x:v>自動化</x:v>
      </x:c>
      <x:c r="B307" s="7" t="str">
        <x:v>ミストコレクター,オイルスキマー,自動洗浄機,簡易部品洗浄機</x:v>
      </x:c>
      <x:c r="C307" s="7" t="str">
        <x:v>キソー株式会社</x:v>
      </x:c>
      <x:c r="D307" s="7" t="str">
        <x:v>ミストコレクター,オイルスキマー,自動洗浄機,簡易部品洗浄機</x:v>
      </x:c>
      <x:c r="E307" s="7" t="str">
        <x:v>S3092</x:v>
      </x:c>
      <x:c r="F307" s="7" t="str">
        <x:v>内容から分類（調査者・一次整理）</x:v>
      </x:c>
      <x:c r="G307" s="7" t="str">
        <x:v>出展説明に基づく一次分類。方式・実装権限・提供段階は個別確認</x:v>
      </x:c>
      <x:c t="str" r="H307" s="21">
        <x:f>HYPERLINK("#'展示詳細'!A"&amp;MATCH("AC056",'展示詳細'!$A$1:$A$340,0),"AC056")</x:f>
        <x:v>AC056</x:v>
      </x:c>
      <x:c r="I307" s="7" t="str">
        <x:v>2026の具体記述：工作機械から発生したミストを回収するミストコレクター、悪臭発生の原因となるクーラントタンクの浮上油を回収するベルト式オイルスキマー、水溶性洗剤を使用する自動洗浄機、エアーの力で水を噴射する / ミストコレクター,オイルスキマー,自動洗浄機,簡易部品洗浄機</x:v>
      </x:c>
      <x:c r="J307" s="7" t="str">
        <x:v>EEX-EXH-2026-4064c0e9220721ee</x:v>
      </x:c>
      <x:c r="K307" s="7" t="str">
        <x:v>https://www.jimtof.org/search/jp/ESdetails?e=q16UKMJlnLI</x:v>
      </x:c>
    </x:row>
    <x:row r="308" ht="84" customHeight="1">
      <x:c r="A308" s="7" t="str">
        <x:v>自動化</x:v>
      </x:c>
      <x:c r="B308" s="7" t="str">
        <x:v>同時5軸制御横形マシニングセンタ SUPERCELL-400Gα 12面パレットチェンジャー</x:v>
      </x:c>
      <x:c r="C308" s="7" t="str">
        <x:v>キタムラ機械株式会社</x:v>
      </x:c>
      <x:c r="D308" s="7" t="str">
        <x:v>同時5軸制御横形マシニングセンタ SUPERCELL-400Gα 12面パレットチェンジャー</x:v>
      </x:c>
      <x:c r="E308" s="7" t="str">
        <x:v>E2030</x:v>
      </x:c>
      <x:c r="F308" s="7" t="str">
        <x:v>内容から分類（調査者・一次整理）</x:v>
      </x:c>
      <x:c r="G308" s="7" t="str">
        <x:v>出展説明に基づく一次分類。方式・実装権限・提供段階は個別確認</x:v>
      </x:c>
      <x:c t="str" r="H308" s="21">
        <x:f>HYPERLINK("#'展示詳細'!A"&amp;MATCH("AC058",'展示詳細'!$A$1:$A$340,0),"AC058")</x:f>
        <x:v>AC058</x:v>
      </x:c>
      <x:c r="I308" s="7" t="str">
        <x:v>2026の具体記述：「Machining Challenges-Simplified」をスローガンに掲げ、自動化機能と拡張性を兼ね備えた最新鋭機を出品致します。 / 顧客の投資負担を軽減し、当社最大の特徴である高剛性・高精度・長寿命による付加価値を最大化し、標準機で使い慣れた後に、必要な機能を追加する「失敗しない自動化投資」をアピールします。</x:v>
      </x:c>
      <x:c r="J308" s="7" t="str">
        <x:v>EEX-EXH-2026-8dc74bc2bb78626e</x:v>
      </x:c>
      <x:c r="K308" s="7" t="str">
        <x:v>https://www.jimtof.org/search/jp/ESdetails?e=8B2MeaGChjg</x:v>
      </x:c>
    </x:row>
    <x:row r="309" ht="84" customHeight="1">
      <x:c r="A309" s="7" t="str">
        <x:v>自動化</x:v>
      </x:c>
      <x:c r="B309" s="7" t="str">
        <x:v>周辺部品・機構</x:v>
      </x:c>
      <x:c r="C309" s="7" t="str">
        <x:v>コアーテック株式会社</x:v>
      </x:c>
      <x:c r="D309" s="7" t="str">
        <x:v>電動ねじ式多段伸縮ポール『ロボポール』は新開発の特許製品です。今まで世の中に無かった電動モータによるねじ駆動方式です。</x:v>
      </x:c>
      <x:c r="E309" s="7" t="str">
        <x:v>E7018</x:v>
      </x:c>
      <x:c r="F309" s="7" t="str">
        <x:v>内容から分類（調査者・一次整理）</x:v>
      </x:c>
      <x:c r="G309" s="7" t="str">
        <x:v>周辺要素・実装部品。システム全体のAI／自動動作の確認ではない</x:v>
      </x:c>
      <x:c t="str" r="H309" s="21">
        <x:f>HYPERLINK("#'展示詳細'!A"&amp;MATCH("AC072",'展示詳細'!$A$1:$A$340,0),"AC072")</x:f>
        <x:v>AC072</x:v>
      </x:c>
      <x:c r="I309" s="7" t="str">
        <x:v>2026の具体記述：・エルゴ社、ボーゲン社、プレシジカ社のリニアエンコーダ，回転エンコーダ，電池電源位置測定表示器、長尺ノギス，デジタル巻き尺（10ｍ）を展示いたします。 / パラレルリンク、ＸZθ軸ロボットへの応用が可能です。</x:v>
      </x:c>
      <x:c r="J309" s="7" t="str">
        <x:v>EEX-EXH-2026-01761b7d0056c58f</x:v>
      </x:c>
      <x:c r="K309" s="7" t="str">
        <x:v>https://www.jimtof.org/search/jp/ESdetails?e=TfkhiNP60VQ</x:v>
      </x:c>
    </x:row>
    <x:row r="310" ht="84" customHeight="1">
      <x:c r="A310" s="7" t="str">
        <x:v>自動化</x:v>
      </x:c>
      <x:c r="B310" s="7" t="str">
        <x:v>3次元ソリッドCAD/CAMシステム TopSolid'Cam</x:v>
      </x:c>
      <x:c r="C310" s="7" t="str">
        <x:v>コダマコーポレーション株式会社</x:v>
      </x:c>
      <x:c r="D310" s="7" t="str">
        <x:v>3次元ソリッドCAD/CAMシステム TopSolid'Cam</x:v>
      </x:c>
      <x:c r="E310" s="7" t="str">
        <x:v>S3066</x:v>
      </x:c>
      <x:c r="F310" s="7" t="str">
        <x:v>内容から分類（調査者・一次整理）</x:v>
      </x:c>
      <x:c r="G310" s="7" t="str">
        <x:v>出展説明に基づく一次分類。方式・実装権限・提供段階は個別確認</x:v>
      </x:c>
      <x:c t="str" r="H310" s="21">
        <x:f>HYPERLINK("#'展示詳細'!A"&amp;MATCH("AC076",'展示詳細'!$A$1:$A$340,0),"AC076")</x:f>
        <x:v>AC076</x:v>
      </x:c>
      <x:c r="I310" s="7" t="str">
        <x:v>2026の具体記述：コダマコーポレーションは、設計から加工までの一気通貫のデジタル製造環境を実現する「TopSolid」シリーズを展示する。 / 主力製品である「TopSolid'Cam 7」は、穴あけ、2軸、3軸から同時4・5軸加工、旋盤加工、複合加工までを1システムで対応し、CAD/CAM統合による効率的なNCプログラム作成を支援する。 / さらに、スイス式自動旋盤向け専用モジュール「Swiss Turn」、牧野フライス製作所のリアルタイム干渉防止機能</x:v>
      </x:c>
      <x:c r="J310" s="7" t="str">
        <x:v>EEX-EXH-2026-d7ec640627a22b17</x:v>
      </x:c>
      <x:c r="K310" s="7" t="str">
        <x:v>https://www.jimtof.org/search/jp/ESdetails?e=w3OCd-Yb-pM</x:v>
      </x:c>
    </x:row>
    <x:row r="311" ht="84" customHeight="1">
      <x:c r="A311" s="7" t="str">
        <x:v>自動化</x:v>
      </x:c>
      <x:c r="B311" s="7" t="str">
        <x:v>5軸加工には、段取から加工までをワンストップで実施できる環境と設備が必要です。横形5軸マシニングセンタ「CX500」に無人運転向けパレットを搭載し、長</x:v>
      </x:c>
      <x:c r="C311" s="7" t="str">
        <x:v>コマツNTC株式会社</x:v>
      </x:c>
      <x:c r="D311" s="7" t="str">
        <x:v>5軸加工には、段取から加工までをワンストップで実施できる環境と設備が必要です。横形5軸マシニングセンタ「CX500」に無人運転向けパレットを搭載し、長</x:v>
      </x:c>
      <x:c r="E311" s="7" t="str">
        <x:v>E1058</x:v>
      </x:c>
      <x:c r="F311" s="7" t="str">
        <x:v>内容から分類（調査者・一次整理）</x:v>
      </x:c>
      <x:c r="G311" s="7" t="str">
        <x:v>出展説明に基づく一次分類。方式・実装権限・提供段階は個別確認</x:v>
      </x:c>
      <x:c t="str" r="H311" s="21">
        <x:f>HYPERLINK("#'展示詳細'!A"&amp;MATCH("AC077",'展示詳細'!$A$1:$A$340,0),"AC077")</x:f>
        <x:v>AC077</x:v>
      </x:c>
      <x:c r="I311" s="7" t="str">
        <x:v>2026の具体記述：さらに「夜間自動計測を可能とする計測システム」をパレットシステムに融合しコンセプト展示します。 / またDXソリューション機器ほか展示致します。 / またDXツールのKomtas＆KOM-MICSも標準装備し長時間運転をサポート。</x:v>
      </x:c>
      <x:c r="J311" s="7" t="str">
        <x:v>EEX-EXH-2026-8970f2d69919d770</x:v>
      </x:c>
      <x:c r="K311" s="7" t="str">
        <x:v>https://www.jimtof.org/search/jp/ESdetails?e=juRUHcsXGOk</x:v>
      </x:c>
    </x:row>
    <x:row r="312" ht="84" customHeight="1">
      <x:c r="A312" s="7" t="str">
        <x:v>自動化</x:v>
      </x:c>
      <x:c r="B312" s="7" t="str">
        <x:v>NewVista　ロボット用ネジ検査ユニット</x:v>
      </x:c>
      <x:c r="C312" s="7" t="str">
        <x:v>サンゲン株式会社</x:v>
      </x:c>
      <x:c r="D312" s="7" t="str">
        <x:v>NewVista　ロボット用ネジ検査ユニット</x:v>
      </x:c>
      <x:c r="E312" s="7" t="str">
        <x:v>S4032</x:v>
      </x:c>
      <x:c r="F312" s="7" t="str">
        <x:v>内容から分類（調査者・一次整理）</x:v>
      </x:c>
      <x:c r="G312" s="7" t="str">
        <x:v>出展説明に基づく一次分類。方式・実装権限・提供段階は個別確認</x:v>
      </x:c>
      <x:c t="str" r="H312" s="21">
        <x:f>HYPERLINK("#'展示詳細'!A"&amp;MATCH("AC088",'展示詳細'!$A$1:$A$340,0),"AC088")</x:f>
        <x:v>AC088</x:v>
      </x:c>
      <x:c r="I312" s="7" t="str">
        <x:v>2026の具体記述：ロボットを使用した自動ネジ検査システムの実演と、小型ワークの表裏・側面の6面を高速度で検査する画像外観検査装置『ガラミちゃん6面タイプ』を出展しています。 / 自動化しにくいネジ検査の問題解決のヒントがあります。 / NewVista　ロボット用ネジ検査ユニット / Kassow Robots 7軸協働ロボット / Ovit　自動外観画像検査装置</x:v>
      </x:c>
      <x:c r="J312" s="7" t="str">
        <x:v>EEX-EXH-2026-5c08ccfcdfa12bac</x:v>
      </x:c>
      <x:c r="K312" s="7" t="str">
        <x:v>https://www.jimtof.org/search/jp/ESdetails?e=I2fW30uvRgk</x:v>
      </x:c>
    </x:row>
    <x:row r="313" ht="84" customHeight="1">
      <x:c r="A313" s="7" t="str">
        <x:v>自動化</x:v>
      </x:c>
      <x:c r="B313" s="7" t="str">
        <x:v>工場の重量物搬送に革命を！オートチルト搭載の新型電動牽引機「新型SM200+」登場</x:v>
      </x:c>
      <x:c r="C313" s="7" t="str">
        <x:v>サンワ産業株式会社</x:v>
      </x:c>
      <x:c r="D313" s="7" t="str">
        <x:v>工場の重量物搬送に革命を！オートチルト搭載の新型電動牽引機「新型SM200+」登場</x:v>
      </x:c>
      <x:c r="E313" s="7" t="str">
        <x:v>W3100</x:v>
      </x:c>
      <x:c r="F313" s="7" t="str">
        <x:v>内容から分類（調査者・一次整理）</x:v>
      </x:c>
      <x:c r="G313" s="7" t="str">
        <x:v>出展説明に基づく一次分類。方式・実装権限・提供段階は個別確認</x:v>
      </x:c>
      <x:c t="str" r="H313" s="21">
        <x:f>HYPERLINK("#'展示詳細'!A"&amp;MATCH("AC093",'展示詳細'!$A$1:$A$340,0),"AC093")</x:f>
        <x:v>AC093</x:v>
      </x:c>
      <x:c r="I313" s="7" t="str">
        <x:v>2026の具体記述：従来は接続時にオペレーターの力作業が必要だったマシンの傾き操作が、手元のボタン操作ひとつで完全に自動化されました。</x:v>
      </x:c>
      <x:c r="J313" s="7" t="str">
        <x:v>EEX-EXH-2026-888a1f50fa3f30c8</x:v>
      </x:c>
      <x:c r="K313" s="7" t="str">
        <x:v>https://www.jimtof.org/search/jp/ESdetails?e=KqvVyzLYaL0</x:v>
      </x:c>
    </x:row>
    <x:row r="314" ht="84" customHeight="1">
      <x:c r="A314" s="7" t="str">
        <x:v>自動化</x:v>
      </x:c>
      <x:c r="B314" s="7" t="str">
        <x:v>主軸台移動型CNC自動旋盤　M32Ⅷ　L32ⅫB5　L20ⅫB5　Ⅼ12Ⅹ　R04</x:v>
      </x:c>
      <x:c r="C314" s="7" t="str">
        <x:v>シチズンマシナリー株式会社</x:v>
      </x:c>
      <x:c r="D314" s="7" t="str">
        <x:v>主軸台移動型CNC自動旋盤　M32Ⅷ　L32ⅫB5　L20ⅫB5　Ⅼ12Ⅹ　R04</x:v>
      </x:c>
      <x:c r="E314" s="7" t="str">
        <x:v>S2002</x:v>
      </x:c>
      <x:c r="F314" s="7" t="str">
        <x:v>内容から分類（調査者・一次整理）</x:v>
      </x:c>
      <x:c r="G314" s="7" t="str">
        <x:v>出展説明に基づく一次分類。方式・実装権限・提供段階は個別確認</x:v>
      </x:c>
      <x:c t="str" r="H314" s="21">
        <x:f>HYPERLINK("#'展示詳細'!A"&amp;MATCH("AC102",'展示詳細'!$A$1:$A$340,0),"AC102")</x:f>
        <x:v>AC102</x:v>
      </x:c>
      <x:c r="I314" s="7" t="str">
        <x:v>2026の具体記述：」をテーマに、シチズンマシナリーは自動盤の可能性をさらに拡張するソリューションを提案します。 / 今回の展示では、複合加工、マシニング領域への展開、LFV（低周波振動切削）、レーザー加工、ATC、自動計測、FA連携など、多彩な技術を融合。 / 機械単体ではなく、生産現場全体の価値向上を目指した提案を通じて、自動盤でここまでできる――その驚きと可能性を、ぜひ会場でご体感ください。 / 主軸台移動型CNC自動旋盤　M32Ⅷ　L32ⅫB5　L</x:v>
      </x:c>
      <x:c r="J314" s="7" t="str">
        <x:v>EEX-EXH-2026-02147c6f37a0a824</x:v>
      </x:c>
      <x:c r="K314" s="7" t="str">
        <x:v>https://www.jimtof.org/search/jp/ESdetails?e=sqCigr-Fu70</x:v>
      </x:c>
    </x:row>
    <x:row r="315" ht="84" customHeight="1">
      <x:c r="A315" s="7" t="str">
        <x:v>自動化</x:v>
      </x:c>
      <x:c r="B315" s="7" t="str">
        <x:v>ワーク搬入出</x:v>
      </x:c>
      <x:c r="C315" s="7" t="str">
        <x:v>シマダマシンツール</x:v>
      </x:c>
      <x:c r="D315" s="7" t="str">
        <x:v>HS4200＋レール走行ロボット</x:v>
      </x:c>
      <x:c r="E315" s="7" t="str">
        <x:v>E2018</x:v>
      </x:c>
      <x:c r="F315" s="7" t="str">
        <x:v>内容から分類（調査者）</x:v>
      </x:c>
      <x:c r="G315" s="7" t="str">
        <x:v>固定手順・生成・判定・補正等の自動化／支援</x:v>
      </x:c>
      <x:c t="str" r="H315" s="21">
        <x:f>HYPERLINK("#'展示詳細'!A"&amp;MATCH("FC050",'展示詳細'!$A$1:$A$340,0),"FC050")</x:f>
        <x:v>FC050</x:v>
      </x:c>
      <x:c r="I315" s="7" t="str">
        <x:v>人が行っていた処理・作業を機械又はソフトで行う機能に分類。提案の採用や例外対応に人が残るものを含む。</x:v>
      </x:c>
      <x:c r="J315" s="7" t="str">
        <x:v>EOV-V031-2026-1</x:v>
      </x:c>
      <x:c r="K315" s="7" t="str">
        <x:v>https://www.jimtof.org/search/jp/ESdetails?e=xntdeqgs_F4</x:v>
      </x:c>
    </x:row>
    <x:row r="316" ht="84" customHeight="1">
      <x:c r="A316" s="7" t="str">
        <x:v>自動化</x:v>
      </x:c>
      <x:c r="B316" s="7" t="str">
        <x:v>教示・位置合わせ</x:v>
      </x:c>
      <x:c r="C316" s="7" t="str">
        <x:v>シマダマシンツール</x:v>
      </x:c>
      <x:c r="D316" s="7" t="str">
        <x:v>HS4200：フィジカルAI自動段取り替え</x:v>
      </x:c>
      <x:c r="E316" s="7" t="str">
        <x:v>E2018</x:v>
      </x:c>
      <x:c r="F316" s="7" t="str">
        <x:v>内容から分類（調査者）</x:v>
      </x:c>
      <x:c r="G316" s="7" t="str">
        <x:v>固定手順・生成・判定・補正等の自動化／支援</x:v>
      </x:c>
      <x:c t="str" r="H316" s="21">
        <x:f>HYPERLINK("#'展示詳細'!A"&amp;MATCH("FC051",'展示詳細'!$A$1:$A$340,0),"FC051")</x:f>
        <x:v>FC051</x:v>
      </x:c>
      <x:c r="I316" s="7" t="str">
        <x:v>人が行っていた処理・作業を機械又はソフトで行う機能に分類。提案の採用や例外対応に人が残るものを含む。</x:v>
      </x:c>
      <x:c r="J316" s="7" t="str">
        <x:v>EOV-V031-2026-1</x:v>
      </x:c>
      <x:c r="K316" s="7" t="str">
        <x:v>https://www.jimtof.org/search/jp/ESdetails?e=xntdeqgs_F4</x:v>
      </x:c>
    </x:row>
    <x:row r="317" ht="84" customHeight="1">
      <x:c r="A317" s="7" t="str">
        <x:v>自動化</x:v>
      </x:c>
      <x:c r="B317" s="7" t="str">
        <x:v>周辺部品・機構</x:v>
      </x:c>
      <x:c r="C317" s="7" t="str">
        <x:v>シュンク・ジャパン株式会社</x:v>
      </x:c>
      <x:c r="D317" s="7" t="str">
        <x:v>バイスオートメーション、ジョーツールチェンジシステム、ワーク＆パレットオートメーション、マグネットチャック、クイックチェンジパレットシステム、電動クラ</x:v>
      </x:c>
      <x:c r="E317" s="7" t="str">
        <x:v>S2024</x:v>
      </x:c>
      <x:c r="F317" s="7" t="str">
        <x:v>内容から分類（調査者・一次整理）</x:v>
      </x:c>
      <x:c r="G317" s="7" t="str">
        <x:v>周辺要素・実装部品。システム全体のAI／自動動作の確認ではない</x:v>
      </x:c>
      <x:c t="str" r="H317" s="21">
        <x:f>HYPERLINK("#'展示詳細'!A"&amp;MATCH("AC105",'展示詳細'!$A$1:$A$340,0),"AC105")</x:f>
        <x:v>AC105</x:v>
      </x:c>
      <x:c r="I317" s="7" t="str">
        <x:v>2026の具体記述：「マシンテンディング ― SCHUNKが実現する工作機械の自動化」をテーマに、ドイツで培われた最新の自動化技術をご紹介します。 / 工作機械の自動化・省人化・生産性向上に貢献する、SCHUNKならではのトータルソリューションをご提案します。 / バイスオートメーション、ジョーツールチェンジシステム、ワーク＆パレットオートメーション、マグネットチャック、クイックチェンジパレットシステム、電動クランピングシステム、旋盤用チャック、ツールホル</x:v>
      </x:c>
      <x:c r="J317" s="7" t="str">
        <x:v>EEX-EXH-2026-a1b1c81b9862bd22</x:v>
      </x:c>
      <x:c r="K317" s="7" t="str">
        <x:v>https://www.jimtof.org/search/jp/ESdetails?e=2D3NykNxU4o</x:v>
      </x:c>
    </x:row>
    <x:row r="318" ht="84" customHeight="1">
      <x:c r="A318" s="7" t="str">
        <x:v>自動化</x:v>
      </x:c>
      <x:c r="B318" s="7" t="str">
        <x:v>NCVIEW Neo</x:v>
      </x:c>
      <x:c r="C318" s="7" t="str">
        <x:v>シンプルテック株式会社</x:v>
      </x:c>
      <x:c r="D318" s="7" t="str">
        <x:v>NCVIEW Neo</x:v>
      </x:c>
      <x:c r="E318" s="7" t="str">
        <x:v>E2022</x:v>
      </x:c>
      <x:c r="F318" s="7" t="str">
        <x:v>内容から分類（調査者・一次整理）</x:v>
      </x:c>
      <x:c r="G318" s="7" t="str">
        <x:v>出展説明に基づく一次分類。方式・実装権限・提供段階は個別確認</x:v>
      </x:c>
      <x:c t="str" r="H318" s="21">
        <x:f>HYPERLINK("#'展示詳細'!A"&amp;MATCH("AC111",'展示詳細'!$A$1:$A$340,0),"AC111")</x:f>
        <x:v>AC111</x:v>
      </x:c>
      <x:c r="I318" s="7" t="str">
        <x:v>2026の具体記述：仮想刃先でノーズR補正対応 2軸旋削シミュレーションソフト</x:v>
      </x:c>
      <x:c r="J318" s="7" t="str">
        <x:v>EEX-EXH-2026-7bf0d464b165a8be</x:v>
      </x:c>
      <x:c r="K318" s="7" t="str">
        <x:v>https://www.jimtof.org/search/jp/ESdetails?e=ERhED8Spe2Q</x:v>
      </x:c>
    </x:row>
    <x:row r="319" ht="84" customHeight="1">
      <x:c r="A319" s="7" t="str">
        <x:v>自動化</x:v>
      </x:c>
      <x:c r="B319" s="7" t="str">
        <x:v>Digital Thread：工作機械ツイン・工程内品質保証</x:v>
      </x:c>
      <x:c r="C319" s="7" t="str">
        <x:v>シーメンス株式会社</x:v>
      </x:c>
      <x:c r="D319" s="7" t="str">
        <x:v>Digital Thread：工作機械ツイン・工程内品質保証</x:v>
      </x:c>
      <x:c r="E319" s="7" t="str">
        <x:v>E3006</x:v>
      </x:c>
      <x:c r="F319" s="7" t="str">
        <x:v>内容から分類（調査者・一次整理）</x:v>
      </x:c>
      <x:c r="G319" s="7" t="str">
        <x:v>出展説明に基づく一次分類。方式・実装権限・提供段階は個別確認</x:v>
      </x:c>
      <x:c t="str" r="H319" s="21">
        <x:f>HYPERLINK("#'展示詳細'!A"&amp;MATCH("AC098",'展示詳細'!$A$1:$A$340,0),"AC098")</x:f>
        <x:v>AC098</x:v>
      </x:c>
      <x:c r="I319" s="7" t="str">
        <x:v>2026の具体記述：シーメンスは、Siemens Xceleratorプラットフォームを活用し、企業のデジタル・トランスフォーメーションを支援します。 / 今回の展示では「Digital Thread for Machine Engineering」をテーマに、設計から生産準備、積層造形、加工、品質保証までをつなぐデジタル・スレッドをご紹介します。 / SINUMERIK ONEを搭載したHeller Toknによる工作機械デジタルツインや、Renisha</x:v>
      </x:c>
      <x:c r="J319" s="7" t="str">
        <x:v>EEX-EXH-2026-9b991dd8132f51dc
EDP-16
EDP-17</x:v>
      </x:c>
      <x:c r="K319" s="7" t="str">
        <x:v>https://www.jimtof.org/search/jp/ESdetails?e=EBIotJu7lrg
https://references.siemens.com/en/reference/heller-tokn-digital-twin?id=41137
https://press.siemens.com/jp/ja/pressrelease/pr-20260416</x:v>
      </x:c>
    </x:row>
    <x:row r="320" ht="84" customHeight="1">
      <x:c r="A320" s="7" t="str">
        <x:v>自動化</x:v>
      </x:c>
      <x:c r="B320" s="7" t="str">
        <x:v>CAM・NC作成</x:v>
      </x:c>
      <x:c r="C320" s="7" t="str">
        <x:v>ジェービーエムエンジニアリング</x:v>
      </x:c>
      <x:c r="D320" s="7" t="str">
        <x:v>Mastercam＋CAMAssist</x:v>
      </x:c>
      <x:c r="E320" s="7" t="str">
        <x:v>E2002</x:v>
      </x:c>
      <x:c r="F320" s="7" t="str">
        <x:v>内容から分類（調査者）</x:v>
      </x:c>
      <x:c r="G320" s="7" t="str">
        <x:v>固定手順・生成・判定・補正等の自動化／支援</x:v>
      </x:c>
      <x:c t="str" r="H320" s="21">
        <x:f>HYPERLINK("#'展示詳細'!A"&amp;MATCH("FC020",'展示詳細'!$A$1:$A$340,0),"FC020")</x:f>
        <x:v>FC020</x:v>
      </x:c>
      <x:c r="I320" s="7" t="str">
        <x:v>人が行っていた処理・作業を機械又はソフトで行う機能に分類。提案の採用や例外対応に人が残るものを含む。</x:v>
      </x:c>
      <x:c r="J320" s="7" t="str">
        <x:v>EOV-V008-2026-1
EDP-09
EDP-10
ERF-03</x:v>
      </x:c>
      <x:c r="K320" s="7" t="str">
        <x:v>https://www.jimtof.org/search/jp/ESdetails?e=VrAjMTKmxdw
https://www.cloudnc.com/ja/mastercam
https://www.cloudnc.com/news-room/cam-assist-the-first-ai-plug-in-for-cam-is-now-available-for-mastercam</x:v>
      </x:c>
    </x:row>
    <x:row r="321" ht="84" customHeight="1">
      <x:c r="A321" s="7" t="str">
        <x:v>自動化</x:v>
      </x:c>
      <x:c r="B321" s="7" t="str">
        <x:v>スイス型ＣＮＣ自動旋盤　ＳＢ－１２ＲＩＩ</x:v>
      </x:c>
      <x:c r="C321" s="7" t="str">
        <x:v>スター精密株式会社</x:v>
      </x:c>
      <x:c r="D321" s="7" t="str">
        <x:v>スイス型ＣＮＣ自動旋盤　ＳＢ－１２ＲＩＩ</x:v>
      </x:c>
      <x:c r="E321" s="7" t="str">
        <x:v>S1003</x:v>
      </x:c>
      <x:c r="F321" s="7" t="str">
        <x:v>内容から分類（調査者・一次整理）</x:v>
      </x:c>
      <x:c r="G321" s="7" t="str">
        <x:v>出展説明に基づく一次分類。方式・実装権限・提供段階は個別確認</x:v>
      </x:c>
      <x:c t="str" r="H321" s="21">
        <x:f>HYPERLINK("#'展示詳細'!A"&amp;MATCH("AC112",'展示詳細'!$A$1:$A$340,0),"AC112")</x:f>
        <x:v>AC112</x:v>
      </x:c>
      <x:c r="I321" s="7" t="str">
        <x:v>2026の具体記述：今回は「ヒューマノイドロボット」「医療」「ドローン」「自動車」の４分野にフォーカスし、 / スイス型ＣＮＣ自動旋盤　ＳＢ－１２ＲＩＩ / スターモーションコントロールシステム搭載スイス型自動旋盤　ＳＸ－３８Ｒ ｔｙｐｅ Ｂ / スイス型ＣＮＣ自動旋盤　ＳＰ－３２ / スイス型ＣＮＣ自動旋盤　ＳＬ－１０</x:v>
      </x:c>
      <x:c r="J321" s="7" t="str">
        <x:v>EEX-EXH-2026-0a5e5a2628606f5f</x:v>
      </x:c>
      <x:c r="K321" s="7" t="str">
        <x:v>https://www.jimtof.org/search/jp/ESdetails?e=uGFHKigy2ag</x:v>
      </x:c>
    </x:row>
    <x:row r="322" ht="84" customHeight="1">
      <x:c r="A322" s="7" t="str">
        <x:v>自動化</x:v>
      </x:c>
      <x:c r="B322" s="7" t="str">
        <x:v>CNC内面研削盤　STGシリーズ</x:v>
      </x:c>
      <x:c r="C322" s="7" t="str">
        <x:v>セイコーインスツル株式会社</x:v>
      </x:c>
      <x:c r="D322" s="7" t="str">
        <x:v>CNC内面研削盤　STGシリーズ</x:v>
      </x:c>
      <x:c r="E322" s="7" t="str">
        <x:v>E7078</x:v>
      </x:c>
      <x:c r="F322" s="7" t="str">
        <x:v>内容から分類（調査者・一次整理）</x:v>
      </x:c>
      <x:c r="G322" s="7" t="str">
        <x:v>出展説明に基づく一次分類。方式・実装権限・提供段階は個別確認</x:v>
      </x:c>
      <x:c t="str" r="H322" s="21">
        <x:f>HYPERLINK("#'展示詳細'!A"&amp;MATCH("AC114",'展示詳細'!$A$1:$A$340,0),"AC114")</x:f>
        <x:v>AC114</x:v>
      </x:c>
      <x:c r="I322" s="7" t="str">
        <x:v>2026の具体記述：また、全自動小型内面研削盤「SG1」を展示します。 / 自動化による生産効率向上に貢献します。 / 小径内面研削加工の高精度化、高能率化、自動化でお困りごとがございましたら、ぜひ弊社ブースへお立ち寄りください。 / ・全自動小型内面研削盤　SG1-IB</x:v>
      </x:c>
      <x:c r="J322" s="7" t="str">
        <x:v>EEX-EXH-2026-a0fa658c78f270cd</x:v>
      </x:c>
      <x:c r="K322" s="7" t="str">
        <x:v>https://www.jimtof.org/search/jp/ESdetails?e=rlHRPwmg5sk</x:v>
      </x:c>
    </x:row>
    <x:row r="323" ht="84" customHeight="1">
      <x:c r="A323" s="7" t="str">
        <x:v>自動化</x:v>
      </x:c>
      <x:c r="B323" s="7" t="str">
        <x:v>異機種・旧設備の接続</x:v>
      </x:c>
      <x:c r="C323" s="7" t="str">
        <x:v>ソフィックス</x:v>
      </x:c>
      <x:c r="D323" s="7" t="str">
        <x:v>SOFIXCAN Ω Eye</x:v>
      </x:c>
      <x:c r="E323" s="7" t="str">
        <x:v>E1067</x:v>
      </x:c>
      <x:c r="F323" s="7" t="str">
        <x:v>内容から分類（調査者）</x:v>
      </x:c>
      <x:c r="G323" s="7" t="str">
        <x:v>固定手順・生成・判定・補正等の自動化／支援</x:v>
      </x:c>
      <x:c t="str" r="H323" s="21">
        <x:f>HYPERLINK("#'展示詳細'!A"&amp;MATCH("FC029",'展示詳細'!$A$1:$A$340,0),"FC029")</x:f>
        <x:v>FC029</x:v>
      </x:c>
      <x:c r="I323" s="7" t="str">
        <x:v>人が行っていた処理・作業を機械又はソフトで行う機能に分類。提案の採用や例外対応に人が残るものを含む。</x:v>
      </x:c>
      <x:c r="J323" s="7" t="str">
        <x:v>EOV-V015-2026-1</x:v>
      </x:c>
      <x:c r="K323" s="7" t="str">
        <x:v>https://www.jimtof.org/search/jp/ESdetails?e=rYRhOM0muPQ</x:v>
      </x:c>
    </x:row>
    <x:row r="324" ht="84" customHeight="1">
      <x:c r="A324" s="7" t="str">
        <x:v>自動化</x:v>
      </x:c>
      <x:c r="B324" s="7" t="str">
        <x:v>工場内搬送</x:v>
      </x:c>
      <x:c r="C324" s="7" t="str">
        <x:v>ソフィックス</x:v>
      </x:c>
      <x:c r="D324" s="7" t="str">
        <x:v>SOFIXCAN Fleeter＋AI Forecast：ミニ工場</x:v>
      </x:c>
      <x:c r="E324" s="7" t="str">
        <x:v>E1067</x:v>
      </x:c>
      <x:c r="F324" s="7" t="str">
        <x:v>内容から分類（調査者）</x:v>
      </x:c>
      <x:c r="G324" s="7" t="str">
        <x:v>固定手順・生成・判定・補正等の自動化／支援</x:v>
      </x:c>
      <x:c t="str" r="H324" s="21">
        <x:f>HYPERLINK("#'展示詳細'!A"&amp;MATCH("FC030",'展示詳細'!$A$1:$A$340,0),"FC030")</x:f>
        <x:v>FC030</x:v>
      </x:c>
      <x:c r="I324" s="7" t="str">
        <x:v>人が行っていた処理・作業を機械又はソフトで行う機能に分類。提案の採用や例外対応に人が残るものを含む。</x:v>
      </x:c>
      <x:c r="J324" s="7" t="str">
        <x:v>EOV-V015-2026-1
EDP-21
EDP-22
EDP-23</x:v>
      </x:c>
      <x:c r="K324" s="7" t="str">
        <x:v>https://www.jimtof.org/search/jp/ESdetails?e=rYRhOM0muPQ
https://www.sofix.co.jp/products/sofixcan_ai_forecast/
https://www.sofix.co.jp/products/sofixcan_fleeter/
https://www.sofix.co.jp/</x:v>
      </x:c>
    </x:row>
    <x:row r="325" ht="84" customHeight="1">
      <x:c r="A325" s="7" t="str">
        <x:v>自動化</x:v>
      </x:c>
      <x:c r="B325" s="7" t="str">
        <x:v>CAM Assist for SolidCAM／SolidShop</x:v>
      </x:c>
      <x:c r="C325" s="7" t="str">
        <x:v>タクテックス株式会社</x:v>
      </x:c>
      <x:c r="D325" s="7" t="str">
        <x:v>CAM Assist for SolidCAM／SolidShop</x:v>
      </x:c>
      <x:c r="E325" s="7" t="str">
        <x:v>S1016</x:v>
      </x:c>
      <x:c r="F325" s="7" t="str">
        <x:v>内容から分類（調査者・一次整理）</x:v>
      </x:c>
      <x:c r="G325" s="7" t="str">
        <x:v>出展説明に基づく一次分類。方式・実装権限・提供段階は個別確認</x:v>
      </x:c>
      <x:c t="str" r="H325" s="21">
        <x:f>HYPERLINK("#'展示詳細'!A"&amp;MATCH("AC131",'展示詳細'!$A$1:$A$340,0),"AC131")</x:f>
        <x:v>AC131</x:v>
      </x:c>
      <x:c r="I325" s="7" t="str">
        <x:v>2026の具体記述：「この課題」CAMで突破！ / 人手不足や技術継承、多品種少量生産など、製造現場の課題をSolidCAMが解決します。 / 工作機械とネットワーク接続し、稼働状況の見える化による製造DX「SolidShop」を展示。 / ３. 次世代のものづくりを支える！最新CAM活用法 / 「複合加工機対応」「生成AIでCAM自動化」「自動旋盤」をテーマに、最新のCAM活用法をセミナーで解説。 / ４．「見る・聞く・相談する」で、CAMをもっと身近に</x:v>
      </x:c>
      <x:c r="J325" s="7" t="str">
        <x:v>EEX-EXH-2026-0436fc7b61f51a8e
EDP-07
EDP-08
ERF-04</x:v>
      </x:c>
      <x:c r="K325" s="7" t="str">
        <x:v>https://www.jimtof.org/search/jp/ESdetails?e=2TVzwvOqLxI
https://www.cloudnc.com/ja/solidcam
https://help.solidcam.com/topics/solutions/cloudnc-cam-assist.htm</x:v>
      </x:c>
    </x:row>
    <x:row r="326" ht="84" customHeight="1">
      <x:c r="A326" s="7" t="str">
        <x:v>自動化</x:v>
      </x:c>
      <x:c r="B326" s="7" t="str">
        <x:v>【ダイナミックツール社】</x:v>
      </x:c>
      <x:c r="C326" s="7" t="str">
        <x:v>ダイナミックツール株式会社</x:v>
      </x:c>
      <x:c r="D326" s="7" t="str">
        <x:v>【ダイナミックツール社】</x:v>
      </x:c>
      <x:c r="E326" s="7" t="str">
        <x:v>S2009</x:v>
      </x:c>
      <x:c r="F326" s="7" t="str">
        <x:v>内容から分類（調査者・一次整理）</x:v>
      </x:c>
      <x:c r="G326" s="7" t="str">
        <x:v>出展説明に基づく一次分類。方式・実装権限・提供段階は個別確認</x:v>
      </x:c>
      <x:c t="str" r="H326" s="21">
        <x:f>HYPERLINK("#'展示詳細'!A"&amp;MATCH("AC127",'展示詳細'!$A$1:$A$340,0),"AC127")</x:f>
        <x:v>AC127</x:v>
      </x:c>
      <x:c r="I326" s="7" t="str">
        <x:v>2026の具体記述：注目の新製品をはじめ、「掴む」「加工・回転」「自動化・搬送」「環境保全」「クーラント・冷却」の5つのソリューションで、モノづくりの課題を解決します。 / 【自動化・搬送】 / 生産現場に、止まらない“流れと自動化”を。 / 磁気浮上式搬送やバリ取り自動化で、省人化と生産性向上を支援。 / 高圧ノズル、ノズル自動制御、ウルトラファインバブルなどで、加工品質と生産性を高める。 / 熟練工の技を自動化 / リニアモータ式自動ドア</x:v>
      </x:c>
      <x:c r="J326" s="7" t="str">
        <x:v>EEX-EXH-2026-d32daa7543b852bd</x:v>
      </x:c>
      <x:c r="K326" s="7" t="str">
        <x:v>https://www.jimtof.org/search/jp/ESdetails?e=wAurYrCTgOs</x:v>
      </x:c>
    </x:row>
    <x:row r="327" ht="84" customHeight="1">
      <x:c r="A327" s="7" t="str">
        <x:v>自動化</x:v>
      </x:c>
      <x:c r="B327" s="7" t="str">
        <x:v>周辺部品・機構</x:v>
      </x:c>
      <x:c r="C327" s="7" t="str">
        <x:v>ツールドインターナショナル株式会社</x:v>
      </x:c>
      <x:c r="D327" s="7" t="str">
        <x:v>7leaders</x:v>
      </x:c>
      <x:c r="E327" s="7" t="str">
        <x:v>W1101</x:v>
      </x:c>
      <x:c r="F327" s="7" t="str">
        <x:v>内容から分類（調査者・一次整理）</x:v>
      </x:c>
      <x:c r="G327" s="7" t="str">
        <x:v>周辺要素・実装部品。システム全体のAI／自動動作の確認ではない</x:v>
      </x:c>
      <x:c t="str" r="H327" s="21">
        <x:f>HYPERLINK("#'展示詳細'!A"&amp;MATCH("AC137",'展示詳細'!$A$1:$A$340,0),"AC137")</x:f>
        <x:v>AC137</x:v>
      </x:c>
      <x:c r="I327" s="7" t="str">
        <x:v>2026の具体記述：◆ロボット化・自動化ラインに最適！画期的な工具ソリューション / ◆自動車大手の量産ラインも採用！切粉を除去する最新クーラントテクノロジー / 自動化・省人化・生産性向上に貢献します。</x:v>
      </x:c>
      <x:c r="J327" s="7" t="str">
        <x:v>EEX-EXH-2026-fa987a1ed1bcec86</x:v>
      </x:c>
      <x:c r="K327" s="7" t="str">
        <x:v>https://www.jimtof.org/search/jp/ESdetails?e=UcTucUP9Fb4</x:v>
      </x:c>
    </x:row>
    <x:row r="328" ht="84" customHeight="1">
      <x:c r="A328" s="7" t="str">
        <x:v>自動化</x:v>
      </x:c>
      <x:c r="B328" s="7" t="str">
        <x:v>生産・品質・在庫管理</x:v>
      </x:c>
      <x:c r="C328" s="7" t="str">
        <x:v>テクノア</x:v>
      </x:c>
      <x:c r="D328" s="7" t="str">
        <x:v>TECHS系：スマホ実績・購買API</x:v>
      </x:c>
      <x:c r="E328" s="7" t="str">
        <x:v>S3009</x:v>
      </x:c>
      <x:c r="F328" s="7" t="str">
        <x:v>内容から分類（調査者）</x:v>
      </x:c>
      <x:c r="G328" s="7" t="str">
        <x:v>固定手順・生成・判定・補正等の自動化／支援</x:v>
      </x:c>
      <x:c t="str" r="H328" s="21">
        <x:f>HYPERLINK("#'展示詳細'!A"&amp;MATCH("FC061",'展示詳細'!$A$1:$A$340,0),"FC061")</x:f>
        <x:v>FC061</x:v>
      </x:c>
      <x:c r="I328" s="7" t="str">
        <x:v>人が行っていた処理・作業を機械又はソフトで行う機能に分類。提案の採用や例外対応に人が残るものを含む。</x:v>
      </x:c>
      <x:c r="J328" s="7" t="str">
        <x:v>EOV-V040-2026-1</x:v>
      </x:c>
      <x:c r="K328" s="7" t="str">
        <x:v>https://www.jimtof.org/search/jp/ESdetails?e=sSRmH-KuV8U</x:v>
      </x:c>
    </x:row>
    <x:row r="329" ht="84" customHeight="1">
      <x:c r="A329" s="7" t="str">
        <x:v>自動化</x:v>
      </x:c>
      <x:c r="B329" s="7" t="str">
        <x:v>出展物① 電子式オートコリメータ TriAngle（角度・真直度・平行度測定）</x:v>
      </x:c>
      <x:c r="C329" s="7" t="str">
        <x:v>トライオプティクス・ジャパン株式会社</x:v>
      </x:c>
      <x:c r="D329" s="7" t="str">
        <x:v>出展物① 電子式オートコリメータ TriAngle（角度・真直度・平行度測定）</x:v>
      </x:c>
      <x:c r="E329" s="7" t="str">
        <x:v>S3080</x:v>
      </x:c>
      <x:c r="F329" s="7" t="str">
        <x:v>内容から分類（調査者・一次整理）</x:v>
      </x:c>
      <x:c r="G329" s="7" t="str">
        <x:v>出展説明に基づく一次分類。方式・実装権限・提供段階は個別確認</x:v>
      </x:c>
      <x:c t="str" r="H329" s="21">
        <x:f>HYPERLINK("#'展示詳細'!A"&amp;MATCH("AC155",'展示詳細'!$A$1:$A$340,0),"AC155")</x:f>
        <x:v>AC155</x:v>
      </x:c>
      <x:c r="I329" s="7" t="str">
        <x:v>2026の具体記述：『精密加工を支える高精度光学測定』 / 近年、半導体製造装置、精密機械、光学部品分野では、製品の高性能化に伴い、品質保証に求められる測定精度がますます高まっています。 / 一方で、生産現場では検査工程の効率化や省人化への対応も重要な課題となっています。 / 当社ブースでは、「高精度測定による品質向上と生産性向上」をテーマに、実機展示を通じて測定ソリューションをご紹介します。 / 測定精度の向上、測定時間の短縮、検査結果の再現性向上など、</x:v>
      </x:c>
      <x:c r="J329" s="7" t="str">
        <x:v>EEX-EXH-2026-7d4cf088451b04c9</x:v>
      </x:c>
      <x:c r="K329" s="7" t="str">
        <x:v>https://www.jimtof.org/search/jp/ESdetails?e=lV077Duzq6g</x:v>
      </x:c>
    </x:row>
    <x:row r="330" ht="84" customHeight="1">
      <x:c r="A330" s="7" t="str">
        <x:v>自動化</x:v>
      </x:c>
      <x:c r="B330" s="7" t="str">
        <x:v>開先加工サンプル展示：2Dレーザ加工機「TruLaser3000シリーズ」</x:v>
      </x:c>
      <x:c r="C330" s="7" t="str">
        <x:v>トルンプ株式会社</x:v>
      </x:c>
      <x:c r="D330" s="7" t="str">
        <x:v>開先加工サンプル展示：2Dレーザ加工機「TruLaser3000シリーズ」</x:v>
      </x:c>
      <x:c r="E330" s="7" t="str">
        <x:v>E1044</x:v>
      </x:c>
      <x:c r="F330" s="7" t="str">
        <x:v>内容から分類（調査者・一次整理）</x:v>
      </x:c>
      <x:c r="G330" s="7" t="str">
        <x:v>出展説明に基づく一次分類。方式・実装権限・提供段階は個別確認</x:v>
      </x:c>
      <x:c t="str" r="H330" s="21">
        <x:f>HYPERLINK("#'展示詳細'!A"&amp;MATCH("AC156",'展示詳細'!$A$1:$A$340,0),"AC156")</x:f>
        <x:v>AC156</x:v>
      </x:c>
      <x:c r="I330" s="7" t="str">
        <x:v>2026の具体記述：「生産現場の自動化をかなえるトルンプの板金加工技術とソリューション」 / 【注目２】スマートファクトリーソリューション：現場のボトルネックを「DX」で突破する / 人手不足や多品種少量生産に対応するための課題を、トルンプの機械・ソフトウェア・自動化技術 / をつなぐワークフロー『Oseon』『Trutops Boost』がDXで解決。</x:v>
      </x:c>
      <x:c r="J330" s="7" t="str">
        <x:v>EEX-EXH-2026-e520f1cac56a6424</x:v>
      </x:c>
      <x:c r="K330" s="7" t="str">
        <x:v>https://www.jimtof.org/search/jp/ESdetails?e=P89ltew0qg0</x:v>
      </x:c>
    </x:row>
    <x:row r="331" ht="84" customHeight="1">
      <x:c r="A331" s="7" t="str">
        <x:v>自動化</x:v>
      </x:c>
      <x:c r="B331" s="7" t="str">
        <x:v>電磁式ドット刻印機「MarkinBOX MB3シリーズ」、ポータブル刻印機「Patmark2」、レーザーマーカー「HubLASER」など、最新のマーキ</x:v>
      </x:c>
      <x:c r="C331" s="7" t="str">
        <x:v>トーチョーマーキングシステムズ株式会社</x:v>
      </x:c>
      <x:c r="D331" s="7" t="str">
        <x:v>電磁式ドット刻印機「MarkinBOX MB3シリーズ」、ポータブル刻印機「Patmark2」、レーザーマーカー「HubLASER」など、最新のマーキ</x:v>
      </x:c>
      <x:c r="E331" s="7" t="str">
        <x:v>W1036</x:v>
      </x:c>
      <x:c r="F331" s="7" t="str">
        <x:v>内容から分類（調査者・一次整理）</x:v>
      </x:c>
      <x:c r="G331" s="7" t="str">
        <x:v>出展説明に基づく一次分類。方式・実装権限・提供段階は個別確認</x:v>
      </x:c>
      <x:c t="str" r="H331" s="21">
        <x:f>HYPERLINK("#'展示詳細'!A"&amp;MATCH("AC152",'展示詳細'!$A$1:$A$340,0),"AC152")</x:f>
        <x:v>AC152</x:v>
      </x:c>
      <x:c r="I331" s="7" t="str">
        <x:v>2026の具体記述：刻印の自動化、省人化、品質向上をご検討の方は、ぜひ会場で実際の性能をご体感ください。 / 実機によるマーキングデモンストレーションを通じて、高品質な刻印、省人化・自動化、トレーサビリティに対応したマーキングソリューションをご紹介します。</x:v>
      </x:c>
      <x:c r="J331" s="7" t="str">
        <x:v>EEX-EXH-2026-f38414a11a6afb7b</x:v>
      </x:c>
      <x:c r="K331" s="7" t="str">
        <x:v>https://www.jimtof.org/search/jp/ESdetails?e=QF9JlOzN9Gk</x:v>
      </x:c>
    </x:row>
    <x:row r="332" ht="84" customHeight="1">
      <x:c r="A332" s="7" t="str">
        <x:v>自動化</x:v>
      </x:c>
      <x:c r="B332" s="7" t="str">
        <x:v>横形内面研削盤 THG-10Cd</x:v>
      </x:c>
      <x:c r="C332" s="7" t="str">
        <x:v>トーヨーエイテック株式会社</x:v>
      </x:c>
      <x:c r="D332" s="7" t="str">
        <x:v>横形内面研削盤 THG-10Cd</x:v>
      </x:c>
      <x:c r="E332" s="7" t="str">
        <x:v>E7045</x:v>
      </x:c>
      <x:c r="F332" s="7" t="str">
        <x:v>内容から分類（調査者・一次整理）</x:v>
      </x:c>
      <x:c r="G332" s="7" t="str">
        <x:v>出展説明に基づく一次分類。方式・実装権限・提供段階は個別確認</x:v>
      </x:c>
      <x:c t="str" r="H332" s="21">
        <x:f>HYPERLINK("#'展示詳細'!A"&amp;MATCH("AC153",'展示詳細'!$A$1:$A$340,0),"AC153")</x:f>
        <x:v>AC153</x:v>
      </x:c>
      <x:c r="I332" s="7" t="str">
        <x:v>2026の具体記述：加工時間や段替え時間の短縮、設備の安定稼働を実現する最新の研削盤と状態監視システムを展示します。 / ・自動芯出しシステム（TACS）によりワーク専用部品の製作・管理負担を軽減 / ■状態監視システム TOYO Smart Doctor / 機械状態を常時監視し、設備の安定稼働に貢献します。 / ■状態監視システム TOYO Smart Doctor</x:v>
      </x:c>
      <x:c r="J332" s="7" t="str">
        <x:v>EEX-EXH-2026-bcc9173d97e5998d</x:v>
      </x:c>
      <x:c r="K332" s="7" t="str">
        <x:v>https://www.jimtof.org/search/jp/ESdetails?e=Rs5bSq_a5Nk</x:v>
      </x:c>
    </x:row>
    <x:row r="333" ht="84" customHeight="1">
      <x:c r="A333" s="7" t="str">
        <x:v>自動化</x:v>
      </x:c>
      <x:c r="B333" s="7" t="str">
        <x:v>寸法・形状計測</x:v>
      </x:c>
      <x:c r="C333" s="7" t="str">
        <x:v>ニコン</x:v>
      </x:c>
      <x:c r="D333" s="7" t="str">
        <x:v>NEXIV・CT・ロボットビジョン等</x:v>
      </x:c>
      <x:c r="E333" s="7" t="str">
        <x:v>E7001</x:v>
      </x:c>
      <x:c r="F333" s="7" t="str">
        <x:v>内容から分類（調査者）</x:v>
      </x:c>
      <x:c r="G333" s="7" t="str">
        <x:v>固定手順・生成・判定・補正等の自動化／支援</x:v>
      </x:c>
      <x:c t="str" r="H333" s="21">
        <x:f>HYPERLINK("#'展示詳細'!A"&amp;MATCH("FC057",'展示詳細'!$A$1:$A$340,0),"FC057")</x:f>
        <x:v>FC057</x:v>
      </x:c>
      <x:c r="I333" s="7" t="str">
        <x:v>人が行っていた処理・作業を機械又はソフトで行う機能に分類。提案の採用や例外対応に人が残るものを含む。</x:v>
      </x:c>
      <x:c r="J333" s="7" t="str">
        <x:v>EOV-V037-2026-1</x:v>
      </x:c>
      <x:c r="K333" s="7" t="str">
        <x:v>https://www.jimtof.org/search/jp/ESdetails?e=lmqsWTyiVAY</x:v>
      </x:c>
    </x:row>
    <x:row r="334" ht="84" customHeight="1">
      <x:c r="A334" s="7" t="str">
        <x:v>自動化</x:v>
      </x:c>
      <x:c r="B334" s="7" t="str">
        <x:v>①５軸制御立形マシニングセンタ　VB-X650</x:v>
      </x:c>
      <x:c r="C334" s="7" t="str">
        <x:v>ニデックオーケーケー株式会社</x:v>
      </x:c>
      <x:c r="D334" s="7" t="str">
        <x:v>①５軸制御立形マシニングセンタ　VB-X650</x:v>
      </x:c>
      <x:c r="E334" s="7" t="str">
        <x:v>E3012</x:v>
      </x:c>
      <x:c r="F334" s="7" t="str">
        <x:v>内容から分類（調査者・一次整理）</x:v>
      </x:c>
      <x:c r="G334" s="7" t="str">
        <x:v>出展説明に基づく一次分類。方式・実装権限・提供段階は個別確認</x:v>
      </x:c>
      <x:c t="str" r="H334" s="21">
        <x:f>HYPERLINK("#'展示詳細'!A"&amp;MATCH("AC171",'展示詳細'!$A$1:$A$340,0),"AC171")</x:f>
        <x:v>AC171</x:v>
      </x:c>
      <x:c r="I334" s="7" t="str">
        <x:v>2026の具体記述：大容量パレットストッカや拡張マガジンなどの豊富なオプションをご用意し、お客様の自動化・省力化に貢献するソリューションをご提案します。 / 砥石の自動工具交換機能やNC機能により、研削加工の自動化と高能率・高精度化を実現します。 / お客様の自動化・省力化に貢献します。</x:v>
      </x:c>
      <x:c r="J334" s="7" t="str">
        <x:v>EEX-EXH-2026-3211cafa924b2f84</x:v>
      </x:c>
      <x:c r="K334" s="7" t="str">
        <x:v>https://www.jimtof.org/search/jp/ESdetails?e=cIGcLA71ub0</x:v>
      </x:c>
    </x:row>
    <x:row r="335" ht="84" customHeight="1">
      <x:c r="A335" s="7" t="str">
        <x:v>自動化</x:v>
      </x:c>
      <x:c r="B335" s="7" t="str">
        <x:v>①門形五面加工機　MVR-Hx</x:v>
      </x:c>
      <x:c r="C335" s="7" t="str">
        <x:v>ニデックマシンツール株式会社</x:v>
      </x:c>
      <x:c r="D335" s="7" t="str">
        <x:v>①門形五面加工機　MVR-Hx</x:v>
      </x:c>
      <x:c r="E335" s="7" t="str">
        <x:v>E3011</x:v>
      </x:c>
      <x:c r="F335" s="7" t="str">
        <x:v>内容から分類（調査者・一次整理）</x:v>
      </x:c>
      <x:c r="G335" s="7" t="str">
        <x:v>出展説明に基づく一次分類。方式・実装権限・提供段階は個別確認</x:v>
      </x:c>
      <x:c t="str" r="H335" s="21">
        <x:f>HYPERLINK("#'展示詳細'!A"&amp;MATCH("AC172",'展示詳細'!$A$1:$A$340,0),"AC172")</x:f>
        <x:v>AC172</x:v>
      </x:c>
      <x:c r="I335" s="7" t="str">
        <x:v>2026の具体記述：「NIDECギヤ加工ソリューション」として、荒加工～仕上げ加工、量産～少量多品種・工程集約まで、ロボットや自動車に対応した最新の歯車加工ソリューションをご提案します。 / デジタルツインの活用により、加工前のシミュレーションから検証までを仮想空間で行い、効率化・省人化を実現する『未来の生産のあり方』をご提案します。 / 新開発「NC2軸アタッチメント」によるデモと、デジタルツインプラットフォーム「Nidec NC Twin」も紹介。</x:v>
      </x:c>
      <x:c r="J335" s="7" t="str">
        <x:v>EEX-EXH-2026-d31a435d31c2b6eb</x:v>
      </x:c>
      <x:c r="K335" s="7" t="str">
        <x:v>https://www.jimtof.org/search/jp/ESdetails?e=oS1WYTzqdvg</x:v>
      </x:c>
    </x:row>
    <x:row r="336" ht="84" customHeight="1">
      <x:c r="A336" s="7" t="str">
        <x:v>自動化</x:v>
      </x:c>
      <x:c r="B336" s="7" t="str">
        <x:v>研削ロボットシステム,ブルーセラックオフセットタイプ,シグマジェイド,空気式グラインダ空神100,空気式ミニグラインダ空神ミニ,電気式ミニグダインダ雷</x:v>
      </x:c>
      <x:c r="C336" s="7" t="str">
        <x:v>ニューレジストン株式会社</x:v>
      </x:c>
      <x:c r="D336" s="7" t="str">
        <x:v>研削ロボットシステム,ブルーセラックオフセットタイプ,シグマジェイド,空気式グラインダ空神100,空気式ミニグラインダ空神ミニ,電気式ミニグダインダ雷</x:v>
      </x:c>
      <x:c r="E336" s="7" t="str">
        <x:v>W4039</x:v>
      </x:c>
      <x:c r="F336" s="7" t="str">
        <x:v>内容から分類（調査者・一次整理）</x:v>
      </x:c>
      <x:c r="G336" s="7" t="str">
        <x:v>出展説明に基づく一次分類。方式・実装権限・提供段階は個別確認</x:v>
      </x:c>
      <x:c t="str" r="H336" s="21">
        <x:f>HYPERLINK("#'展示詳細'!A"&amp;MATCH("AC181",'展示詳細'!$A$1:$A$340,0),"AC181")</x:f>
        <x:v>AC181</x:v>
      </x:c>
      <x:c r="I336" s="7" t="str">
        <x:v>2026の具体記述：また自動化・省人化をご提案できる研削ロボットシステムの実演展示も行いますので、ぜひブースまでお越しください。 / 研削ロボットシステム,ブルーセラックオフセットタイプ,シグマジェイド,空気式グラインダ空神100,空気式ミニグラインダ空神ミニ,電気式ミニグダインダ雷神スリムⅡ,空気式ストレートグラインダ空神ストレート,NRS超硬バー,電気式グラインダ安全グラインダ180,シェル ジェイドタイプ</x:v>
      </x:c>
      <x:c r="J336" s="7" t="str">
        <x:v>EEX-EXH-2026-66d65480e2017d11</x:v>
      </x:c>
      <x:c r="K336" s="7" t="str">
        <x:v>https://www.jimtof.org/search/jp/ESdetails?e=IUHezG5Z4xQ</x:v>
      </x:c>
    </x:row>
    <x:row r="337" ht="84" customHeight="1">
      <x:c r="A337" s="7" t="str">
        <x:v>自動化</x:v>
      </x:c>
      <x:c r="B337" s="7" t="str">
        <x:v>ゼロバックラッシュ・DD方式【トルクモーターロータリーテーブル】</x:v>
      </x:c>
      <x:c r="C337" s="7" t="str">
        <x:v>ハイウィン株式会社</x:v>
      </x:c>
      <x:c r="D337" s="7" t="str">
        <x:v>ゼロバックラッシュ・DD方式【トルクモーターロータリーテーブル】</x:v>
      </x:c>
      <x:c r="E337" s="7" t="str">
        <x:v>W2072</x:v>
      </x:c>
      <x:c r="F337" s="7" t="str">
        <x:v>内容から分類（調査者・一次整理）</x:v>
      </x:c>
      <x:c r="G337" s="7" t="str">
        <x:v>出展説明に基づく一次分類。方式・実装権限・提供段階は個別確認</x:v>
      </x:c>
      <x:c t="str" r="H337" s="21">
        <x:f>HYPERLINK("#'展示詳細'!A"&amp;MATCH("AC183",'展示詳細'!$A$1:$A$340,0),"AC183")</x:f>
        <x:v>AC183</x:v>
      </x:c>
      <x:c r="I337" s="7" t="str">
        <x:v>2026の具体記述：最高回転速度1000min⁻¹の2軸同時駆動高速ロータリーテーブルや放電加工機向け水中用DDロータリーテーブル、予知保全に貢献するi4.0シリーズ、高速・高可搬・長尺搬送を実現する単軸ロボット「KHシリーズ」をご紹介します。 / 高精度加工、重荷重搬送、多軸システム構築に対応し、工作機械の高精度化、自動化、省人化をサポートします。 / 当社では各種自動化のPoC（概念検証）から導入までのサポートなど、手厚いビフォー＆アフターサービスも日</x:v>
      </x:c>
      <x:c r="J337" s="7" t="str">
        <x:v>EEX-EXH-2026-af31f3db6da43220</x:v>
      </x:c>
      <x:c r="K337" s="7" t="str">
        <x:v>https://www.jimtof.org/search/jp/ESdetails?e=t1osgdfU2Dk</x:v>
      </x:c>
    </x:row>
    <x:row r="338" ht="84" customHeight="1">
      <x:c r="A338" s="7" t="str">
        <x:v>自動化</x:v>
      </x:c>
      <x:c r="B338" s="7" t="str">
        <x:v>刃先・摩耗判定</x:v>
      </x:c>
      <x:c r="C338" s="7" t="str">
        <x:v>ハイデンハイン</x:v>
      </x:c>
      <x:c r="D338" s="7" t="str">
        <x:v>VT122＋VTC 6.0</x:v>
      </x:c>
      <x:c r="E338" s="7" t="str">
        <x:v>E7043</x:v>
      </x:c>
      <x:c r="F338" s="7" t="str">
        <x:v>内容から分類（調査者）</x:v>
      </x:c>
      <x:c r="G338" s="7" t="str">
        <x:v>固定手順・生成・判定・補正等の自動化／支援</x:v>
      </x:c>
      <x:c t="str" r="H338" s="21">
        <x:f>HYPERLINK("#'展示詳細'!A"&amp;MATCH("FC038",'展示詳細'!$A$1:$A$340,0),"FC038")</x:f>
        <x:v>FC038</x:v>
      </x:c>
      <x:c r="I338" s="7" t="str">
        <x:v>人が行っていた処理・作業を機械又はソフトで行う機能に分類。提案の採用や例外対応に人が残るものを含む。</x:v>
      </x:c>
      <x:c r="J338" s="7" t="str">
        <x:v>EOV-V023-2026-1</x:v>
      </x:c>
      <x:c r="K338" s="7" t="str">
        <x:v>https://www.jimtof.org/search/jp/ESdetails?e=iohDR5yR9VA</x:v>
      </x:c>
    </x:row>
    <x:row r="339" ht="84" customHeight="1">
      <x:c r="A339" s="7" t="str">
        <x:v>自動化</x:v>
      </x:c>
      <x:c r="B339" s="7" t="str">
        <x:v>セントロテックス S4 チャック交換システム</x:v>
      </x:c>
      <x:c r="C339" s="7" t="str">
        <x:v>ハインブッフ・ジャパン株式会社</x:v>
      </x:c>
      <x:c r="D339" s="7" t="str">
        <x:v>セントロテックス S4 チャック交換システム</x:v>
      </x:c>
      <x:c r="E339" s="7" t="str">
        <x:v>S2018</x:v>
      </x:c>
      <x:c r="F339" s="7" t="str">
        <x:v>内容から分類（調査者・一次整理）</x:v>
      </x:c>
      <x:c r="G339" s="7" t="str">
        <x:v>出展説明に基づく一次分類。方式・実装権限・提供段階は個別確認</x:v>
      </x:c>
      <x:c t="str" r="H339" s="21">
        <x:f>HYPERLINK("#'展示詳細'!A"&amp;MATCH("AC184",'展示詳細'!$A$1:$A$340,0),"AC184")</x:f>
        <x:v>AC184</x:v>
      </x:c>
      <x:c r="I339" s="7" t="str">
        <x:v>2026の具体記述：今回は新たに、ロボットによるコレット自動交換デモを実施し、自動化による段取り作業の短縮と安定した加工品質をご覧いただけます。</x:v>
      </x:c>
      <x:c r="J339" s="7" t="str">
        <x:v>EEX-EXH-2026-4d2afbc1f254e0f7</x:v>
      </x:c>
      <x:c r="K339" s="7" t="str">
        <x:v>https://www.jimtof.org/search/jp/ESdetails?e=zOoraplih0o</x:v>
      </x:c>
    </x:row>
    <x:row r="340" ht="84" customHeight="1">
      <x:c r="A340" s="7" t="str">
        <x:v>自動化</x:v>
      </x:c>
      <x:c r="B340" s="7" t="str">
        <x:v>周辺部品・機構</x:v>
      </x:c>
      <x:c r="C340" s="7" t="str">
        <x:v>パスカル株式会社</x:v>
      </x:c>
      <x:c r="D340" s="7" t="str">
        <x:v>パレットグリッパ</x:v>
      </x:c>
      <x:c r="E340" s="7" t="str">
        <x:v>W2047</x:v>
      </x:c>
      <x:c r="F340" s="7" t="str">
        <x:v>内容から分類（調査者・一次整理）</x:v>
      </x:c>
      <x:c r="G340" s="7" t="str">
        <x:v>周辺要素・実装部品。システム全体のAI／自動動作の確認ではない</x:v>
      </x:c>
      <x:c t="str" r="H340" s="21">
        <x:f>HYPERLINK("#'展示詳細'!A"&amp;MATCH("AC187",'展示詳細'!$A$1:$A$340,0),"AC187")</x:f>
        <x:v>AC187</x:v>
      </x:c>
      <x:c r="I340" s="7" t="str">
        <x:v>2026の具体記述：さらに、ロボットとの組合せに最適なセンサ付きクランプやワークを自動交換するために必要な周辺機器など、自動化を推進する機器を提案します。 / エアパレットグリッパ（model RPG）を用いた自動パレット交換システムは、独自の構造によりロボットが高速で旋回する際の強烈な慣性モーメントにも耐え、優れた位置再現精度を長期間維持します。 / ストッカと工作機械の間でジグやワークの搬送を完全自動化し、夜間無人運転や多品種変量生産の効率を極限まで高</x:v>
      </x:c>
      <x:c r="J340" s="7" t="str">
        <x:v>EEX-EXH-2026-56d3111fc27b5344</x:v>
      </x:c>
      <x:c r="K340" s="7" t="str">
        <x:v>https://www.jimtof.org/search/jp/ESdetails?e=e-bUm2EYnJU</x:v>
      </x:c>
    </x:row>
    <x:row r="341" ht="84" customHeight="1">
      <x:c r="A341" s="7" t="str">
        <x:v>自動化</x:v>
      </x:c>
      <x:c r="B341" s="7" t="str">
        <x:v>NC・干渉検証</x:v>
      </x:c>
      <x:c r="C341" s="7" t="str">
        <x:v>ファナック</x:v>
      </x:c>
      <x:c r="D341" s="7" t="str">
        <x:v>FANUC Smart Digital Twin</x:v>
      </x:c>
      <x:c r="E341" s="7" t="str">
        <x:v>S2001</x:v>
      </x:c>
      <x:c r="F341" s="7" t="str">
        <x:v>内容から分類（調査者）</x:v>
      </x:c>
      <x:c r="G341" s="7" t="str">
        <x:v>固定手順・生成・判定・補正等の自動化／支援</x:v>
      </x:c>
      <x:c t="str" r="H341" s="21">
        <x:f>HYPERLINK("#'展示詳細'!A"&amp;MATCH("FC007",'展示詳細'!$A$1:$A$340,0),"FC007")</x:f>
        <x:v>FC007</x:v>
      </x:c>
      <x:c r="I341" s="7" t="str">
        <x:v>人が行っていた処理・作業を機械又はソフトで行う機能に分類。提案の採用や例外対応に人が残るものを含む。</x:v>
      </x:c>
      <x:c r="J341" s="7" t="str">
        <x:v>EOV-V002-2026-1</x:v>
      </x:c>
      <x:c r="K341" s="7" t="str">
        <x:v>https://www.jimtof.org/search/jp/ESdetails?e=q0OrZBKM3uQ</x:v>
      </x:c>
    </x:row>
    <x:row r="342" ht="84" customHeight="1">
      <x:c r="A342" s="7" t="str">
        <x:v>自動化</x:v>
      </x:c>
      <x:c r="B342" s="7" t="str">
        <x:v>VGrind infinityは、直径0.2mmから200mmまでの工具加工に対応あらゆるサ イズを卓越した精度でカバーし、全円筒形状の工具も直径最大</x:v>
      </x:c>
      <x:c r="C342" s="7" t="str">
        <x:v>フォルマー・ジャパン株式会社</x:v>
      </x:c>
      <x:c r="D342" s="7" t="str">
        <x:v>VGrind infinityは、直径0.2mmから200mmまでの工具加工に対応あらゆるサ イズを卓越した精度でカバーし、全円筒形状の工具も直径最大</x:v>
      </x:c>
      <x:c r="E342" s="7" t="str">
        <x:v>E2010</x:v>
      </x:c>
      <x:c r="F342" s="7" t="str">
        <x:v>内容から分類（調査者・一次整理）</x:v>
      </x:c>
      <x:c r="G342" s="7" t="str">
        <x:v>出展説明に基づく一次分類。方式・実装権限・提供段階は個別確認</x:v>
      </x:c>
      <x:c t="str" r="H342" s="21">
        <x:f>HYPERLINK("#'展示詳細'!A"&amp;MATCH("AC197",'展示詳細'!$A$1:$A$340,0),"AC197")</x:f>
        <x:v>AC197</x:v>
      </x:c>
      <x:c r="I342" s="7" t="str">
        <x:v>2026の具体記述：独自のマシンコンセプトと最適化された自動化ソリューションにより、単なる研削盤ではなくまさに万能の存在。 / また、2本のスピンドルと研磨砥石および放電電極の自動交換によるVOLLMERの革新的な多面加工が可能なVHybrid260は、工具加工における2つの重要なプロセスを完全に統合するための鍵となる。 / また、自動化の真のオールラウンダーとして、あらゆる生 産ニーズに対応する多彩なオプションを提供。</x:v>
      </x:c>
      <x:c r="J342" s="7" t="str">
        <x:v>EEX-EXH-2026-7f8b2de5917f117e</x:v>
      </x:c>
      <x:c r="K342" s="7" t="str">
        <x:v>https://www.jimtof.org/search/jp/ESdetails?e=WUN4zdX-bpQ</x:v>
      </x:c>
    </x:row>
    <x:row r="343" ht="84" customHeight="1">
      <x:c r="A343" s="7" t="str">
        <x:v>自動化</x:v>
      </x:c>
      <x:c r="B343" s="7" t="str">
        <x:v>周辺部品・機構</x:v>
      </x:c>
      <x:c r="C343" s="7" t="str">
        <x:v>ブリンクマン・ポンプ・ジャパン株式会社</x:v>
      </x:c>
      <x:c r="D343" s="7" t="str">
        <x:v>クーラントポンプ</x:v>
      </x:c>
      <x:c r="E343" s="7" t="str">
        <x:v>W4091</x:v>
      </x:c>
      <x:c r="F343" s="7" t="str">
        <x:v>内容から分類（調査者・一次整理）</x:v>
      </x:c>
      <x:c r="G343" s="7" t="str">
        <x:v>周辺要素・実装部品。システム全体のAI／自動動作の確認ではない</x:v>
      </x:c>
      <x:c t="str" r="H343" s="21">
        <x:f>HYPERLINK("#'展示詳細'!A"&amp;MATCH("AC203",'展示詳細'!$A$1:$A$340,0),"AC203")</x:f>
        <x:v>AC203</x:v>
      </x:c>
      <x:c r="I343" s="7" t="str">
        <x:v>2026の具体記述：自動化・省人化を実現するためには、工作機械だけでなく安定したクーラント供給が欠かせません。</x:v>
      </x:c>
      <x:c r="J343" s="7" t="str">
        <x:v>EEX-EXH-2026-69c2d824f043f816</x:v>
      </x:c>
      <x:c r="K343" s="7" t="str">
        <x:v>https://www.jimtof.org/search/jp/ESdetails?e=DtPO9o9IY_4</x:v>
      </x:c>
    </x:row>
    <x:row r="344" ht="84" customHeight="1">
      <x:c r="A344" s="7" t="str">
        <x:v>自動化</x:v>
      </x:c>
      <x:c r="B344" s="7" t="str">
        <x:v>寸法・形状計測</x:v>
      </x:c>
      <x:c r="C344" s="7" t="str">
        <x:v>ブルーム-ノボテスト</x:v>
      </x:c>
      <x:c r="D344" s="7" t="str">
        <x:v>FormControl X／DIGILOG</x:v>
      </x:c>
      <x:c r="E344" s="7" t="str">
        <x:v>E7084</x:v>
      </x:c>
      <x:c r="F344" s="7" t="str">
        <x:v>内容から分類（調査者）</x:v>
      </x:c>
      <x:c r="G344" s="7" t="str">
        <x:v>固定手順・生成・判定・補正等の自動化／支援</x:v>
      </x:c>
      <x:c t="str" r="H344" s="21">
        <x:f>HYPERLINK("#'展示詳細'!A"&amp;MATCH("FC034",'展示詳細'!$A$1:$A$340,0),"FC034")</x:f>
        <x:v>FC034</x:v>
      </x:c>
      <x:c r="I344" s="7" t="str">
        <x:v>人が行っていた処理・作業を機械又はソフトで行う機能に分類。提案の採用や例外対応に人が残るものを含む。</x:v>
      </x:c>
      <x:c r="J344" s="7" t="str">
        <x:v>EOV-V019-2026-1</x:v>
      </x:c>
      <x:c r="K344" s="7" t="str">
        <x:v>https://www.jimtof.org/search/jp/ESdetails?e=_njqMb9vBpc</x:v>
      </x:c>
    </x:row>
    <x:row r="345" ht="84" customHeight="1">
      <x:c r="A345" s="7" t="str">
        <x:v>自動化</x:v>
      </x:c>
      <x:c r="B345" s="7" t="str">
        <x:v>周辺部品・機構</x:v>
      </x:c>
      <x:c r="C345" s="7" t="str">
        <x:v>ヘラマンタイトン株式会社</x:v>
      </x:c>
      <x:c r="D345" s="7" t="str">
        <x:v>ローヘッドタイ</x:v>
      </x:c>
      <x:c r="E345" s="7" t="str">
        <x:v>S3063</x:v>
      </x:c>
      <x:c r="F345" s="7" t="str">
        <x:v>内容から分類（調査者・一次整理）</x:v>
      </x:c>
      <x:c r="G345" s="7" t="str">
        <x:v>周辺要素・実装部品。システム全体のAI／自動動作の確認ではない</x:v>
      </x:c>
      <x:c t="str" r="H345" s="21">
        <x:f>HYPERLINK("#'展示詳細'!A"&amp;MATCH("AC208",'展示詳細'!$A$1:$A$340,0),"AC208")</x:f>
        <x:v>AC208</x:v>
      </x:c>
      <x:c r="I345" s="7" t="str">
        <x:v>2026の具体記述：ヘラマンタイトン株式会社は、結束バンドの代名詞「インシュロック」をはじめとした、配線結束・固定・保護製品を展開する配線資材メーカーです。 / 会場では、製造現場の省人化・作業品質向上を実現するソリューションや、新製品も紹介いたしますので是非お立ち寄りください。 / ●ローヘッドタイ / 周辺の電線被覆を傷つけにくい、作業者にも安全なデザインの省スペース用結束バンドです。 / ●アルミパイプフレーム用固定具 / 生産現場の設備ユニットのア</x:v>
      </x:c>
      <x:c r="J345" s="7" t="str">
        <x:v>EEX-EXH-2026-61c5e32e01981e4b</x:v>
      </x:c>
      <x:c r="K345" s="7" t="str">
        <x:v>https://www.jimtof.org/search/jp/ESdetails?e=xEXdOEK7Vpc</x:v>
      </x:c>
    </x:row>
    <x:row r="346" ht="84" customHeight="1">
      <x:c r="A346" s="7" t="str">
        <x:v>自動化</x:v>
      </x:c>
      <x:c r="B346" s="7" t="str">
        <x:v>PLCコード作成</x:v>
      </x:c>
      <x:c r="C346" s="7" t="str">
        <x:v>ベッコフオートメーション</x:v>
      </x:c>
      <x:c r="D346" s="7" t="str">
        <x:v>TwinCAT CoAgent for Engineering：PLC</x:v>
      </x:c>
      <x:c r="E346" s="7" t="str">
        <x:v>E2028</x:v>
      </x:c>
      <x:c r="F346" s="7" t="str">
        <x:v>内容から分類（調査者）</x:v>
      </x:c>
      <x:c r="G346" s="7" t="str">
        <x:v>固定手順・生成・判定・補正等の自動化／支援</x:v>
      </x:c>
      <x:c t="str" r="H346" s="21">
        <x:f>HYPERLINK("#'展示詳細'!A"&amp;MATCH("FC011",'展示詳細'!$A$1:$A$340,0),"FC011")</x:f>
        <x:v>FC011</x:v>
      </x:c>
      <x:c r="I346" s="7" t="str">
        <x:v>人が行っていた処理・作業を機械又はソフトで行う機能に分類。提案の採用や例外対応に人が残るものを含む。</x:v>
      </x:c>
      <x:c r="J346" s="7" t="str">
        <x:v>EOV-V005-2026-1
EAT-N03
EAT-N05
EDP-03
ERF-01</x:v>
      </x:c>
      <x:c r="K346" s="7" t="str">
        <x:v>https://www.jimtof.org/search/jp/ESdetails?e=K7DqahO2h08
https://www.beckhoff.com/ko-kr/products/automation/twincat/texxxx-twincat-3-engineering/te1700.html
https://www.beckhoff.com/ko-kr/products/automation/twincat-projects-with-ai-supported-engineering/
https://www.beckhoff.com/en-en/company/press/twincat-chat-using-innovative-chatbot-technology-in-twincat-engineering-2023-04.html
https://www.beckhoff.com/en-gb/company/news/from-chatbot-to-intelligent-agent.html</x:v>
      </x:c>
    </x:row>
    <x:row r="347" ht="84" customHeight="1">
      <x:c r="A347" s="7" t="str">
        <x:v>自動化</x:v>
      </x:c>
      <x:c r="B347" s="7" t="str">
        <x:v>I/O・HMI設計</x:v>
      </x:c>
      <x:c r="C347" s="7" t="str">
        <x:v>ベッコフオートメーション</x:v>
      </x:c>
      <x:c r="D347" s="7" t="str">
        <x:v>TwinCAT CoAgent for Engineering：I/O・HMI</x:v>
      </x:c>
      <x:c r="E347" s="7" t="str">
        <x:v>E2028</x:v>
      </x:c>
      <x:c r="F347" s="7" t="str">
        <x:v>内容から分類（調査者）</x:v>
      </x:c>
      <x:c r="G347" s="7" t="str">
        <x:v>固定手順・生成・判定・補正等の自動化／支援</x:v>
      </x:c>
      <x:c t="str" r="H347" s="21">
        <x:f>HYPERLINK("#'展示詳細'!A"&amp;MATCH("FC012",'展示詳細'!$A$1:$A$340,0),"FC012")</x:f>
        <x:v>FC012</x:v>
      </x:c>
      <x:c r="I347" s="7" t="str">
        <x:v>人が行っていた処理・作業を機械又はソフトで行う機能に分類。提案の採用や例外対応に人が残るものを含む。</x:v>
      </x:c>
      <x:c r="J347" s="7" t="str">
        <x:v>EOV-V005-2026-1
EAT-N03
EAT-N05
EDP-03
ERF-01</x:v>
      </x:c>
      <x:c r="K347" s="7" t="str">
        <x:v>https://www.jimtof.org/search/jp/ESdetails?e=K7DqahO2h08
https://www.beckhoff.com/ko-kr/products/automation/twincat/texxxx-twincat-3-engineering/te1700.html
https://www.beckhoff.com/ko-kr/products/automation/twincat-projects-with-ai-supported-engineering/
https://www.beckhoff.com/en-en/company/press/twincat-chat-using-innovative-chatbot-technology-in-twincat-engineering-2023-04.html
https://www.beckhoff.com/en-gb/company/news/from-chatbot-to-intelligent-agent.html</x:v>
      </x:c>
    </x:row>
    <x:row r="348" ht="84" customHeight="1">
      <x:c r="A348" s="7" t="str">
        <x:v>自動化</x:v>
      </x:c>
      <x:c r="B348" s="7" t="str">
        <x:v>学習モデル実装</x:v>
      </x:c>
      <x:c r="C348" s="7" t="str">
        <x:v>ベッコフオートメーション</x:v>
      </x:c>
      <x:c r="D348" s="7" t="str">
        <x:v>TwinCAT Machine Learning Creator</x:v>
      </x:c>
      <x:c r="E348" s="7" t="str">
        <x:v>E2028</x:v>
      </x:c>
      <x:c r="F348" s="7" t="str">
        <x:v>内容から分類（調査者）</x:v>
      </x:c>
      <x:c r="G348" s="7" t="str">
        <x:v>固定手順・生成・判定・補正等の自動化／支援</x:v>
      </x:c>
      <x:c t="str" r="H348" s="21">
        <x:f>HYPERLINK("#'展示詳細'!A"&amp;MATCH("FC014",'展示詳細'!$A$1:$A$340,0),"FC014")</x:f>
        <x:v>FC014</x:v>
      </x:c>
      <x:c r="I348" s="7" t="str">
        <x:v>人が行っていた処理・作業を機械又はソフトで行う機能に分類。提案の採用や例外対応に人が残るものを含む。</x:v>
      </x:c>
      <x:c r="J348" s="7" t="str">
        <x:v>EOV-V005-2026-1
EOV-W01
EDP-04</x:v>
      </x:c>
      <x:c r="K348" s="7" t="str">
        <x:v>https://www.jimtof.org/search/jp/ESdetails?e=K7DqahO2h08
https://www.beckhoff.com/en-za/products/automation/twincat/texxxx-twincat-3-engineering/te3850.html
https://www.beckhoff.com/media/downloads/information-media/pc-control/pcc_0224_e.pdf</x:v>
      </x:c>
    </x:row>
    <x:row r="349" ht="84" customHeight="1">
      <x:c r="A349" s="7" t="str">
        <x:v>自動化</x:v>
      </x:c>
      <x:c r="B349" s="7" t="str">
        <x:v>（段差）円筒研削盤は、先進的な研削技術と研削盤製造の理念を融合して研究開発・製造され</x:v>
      </x:c>
      <x:c r="C349" s="7" t="str">
        <x:v>マツザワマシナリー株式会社</x:v>
      </x:c>
      <x:c r="D349" s="7" t="str">
        <x:v>（段差）円筒研削盤は、先進的な研削技術と研削盤製造の理念を融合して研究開発・製造され</x:v>
      </x:c>
      <x:c r="E349" s="7" t="str">
        <x:v>S1065</x:v>
      </x:c>
      <x:c r="F349" s="7" t="str">
        <x:v>内容から分類（調査者・一次整理）</x:v>
      </x:c>
      <x:c r="G349" s="7" t="str">
        <x:v>出展説明に基づく一次分類。方式・実装権限・提供段階は個別確認</x:v>
      </x:c>
      <x:c t="str" r="H349" s="21">
        <x:f>HYPERLINK("#'展示詳細'!A"&amp;MATCH("AC212",'展示詳細'!$A$1:$A$340,0),"AC212")</x:f>
        <x:v>AC212</x:v>
      </x:c>
      <x:c r="I349" s="7" t="str">
        <x:v>2026の具体記述：たもので、円棒や異形ワークの横方向・半径方向研削に適用され、0.8-16/25mmの超硬合金棒材のショルダ径、 外径成形研削、複雑形状の工具、大長径比のダブルパンチ及び金型ワークの高速・高精度・全自動研削に用いられます。 / 全自動ツールポリッシュマシン / 切削工具の刃先R付けとポリッシングを自動化 / たもので、円棒や異形ワークの横方向・半径方向研削に適用され、0.8-16/25mmの超硬合金棒材のショルダ径、 外径成形研削、複雑形</x:v>
      </x:c>
      <x:c r="J349" s="7" t="str">
        <x:v>EEX-EXH-2026-5b194844c6be3f53</x:v>
      </x:c>
      <x:c r="K349" s="7" t="str">
        <x:v>https://www.jimtof.org/search/jp/ESdetails?e=z-dR3pMeEyA</x:v>
      </x:c>
    </x:row>
    <x:row r="350" ht="84" customHeight="1">
      <x:c r="A350" s="7" t="str">
        <x:v>自動化</x:v>
      </x:c>
      <x:c r="B350" s="7" t="str">
        <x:v>パイプえぐり加工機「Rカット」</x:v>
      </x:c>
      <x:c r="C350" s="7" t="str">
        <x:v>マツモト機械株式会社</x:v>
      </x:c>
      <x:c r="D350" s="7" t="str">
        <x:v>パイプえぐり加工機「Rカット」</x:v>
      </x:c>
      <x:c r="E350" s="7" t="str">
        <x:v>S1064</x:v>
      </x:c>
      <x:c r="F350" s="7" t="str">
        <x:v>内容から分類（調査者・一次整理）</x:v>
      </x:c>
      <x:c r="G350" s="7" t="str">
        <x:v>出展説明に基づく一次分類。方式・実装権限・提供段階は個別確認</x:v>
      </x:c>
      <x:c t="str" r="H350" s="21">
        <x:f>HYPERLINK("#'展示詳細'!A"&amp;MATCH("AC213",'展示詳細'!$A$1:$A$340,0),"AC213")</x:f>
        <x:v>AC213</x:v>
      </x:c>
      <x:c r="I350" s="7" t="str">
        <x:v>2026の具体記述：弊社は、ロボットシステムやレーザ溶接システム、溶接装置とその周辺機器および自動機械の設計、製作を行っております。 / 本展示会では、パイプりぐり加工機、ベンディングロール、簡易自動溶接装置、固定管自動溶接装置の出展を予定しております。 / ・簡易自動溶接装置「トータルマック」 / ・デジタル制御・配管自動溶接装置</x:v>
      </x:c>
      <x:c r="J350" s="7" t="str">
        <x:v>EEX-EXH-2026-bacd8437326ccedb</x:v>
      </x:c>
      <x:c r="K350" s="7" t="str">
        <x:v>https://www.jimtof.org/search/jp/ESdetails?e=yVcAwif6HR0</x:v>
      </x:c>
    </x:row>
    <x:row r="351" ht="84" customHeight="1">
      <x:c r="A351" s="7" t="str">
        <x:v>自動化</x:v>
      </x:c>
      <x:c r="B351" s="7" t="str">
        <x:v>加工信号解析</x:v>
      </x:c>
      <x:c r="C351" s="7" t="str">
        <x:v>マーポス</x:v>
      </x:c>
      <x:c r="D351" s="7" t="str">
        <x:v>ARTIS／BLU／VTS</x:v>
      </x:c>
      <x:c r="E351" s="7" t="str">
        <x:v>E7087</x:v>
      </x:c>
      <x:c r="F351" s="7" t="str">
        <x:v>内容から分類（調査者）</x:v>
      </x:c>
      <x:c r="G351" s="7" t="str">
        <x:v>固定手順・生成・判定・補正等の自動化／支援</x:v>
      </x:c>
      <x:c t="str" r="H351" s="21">
        <x:f>HYPERLINK("#'展示詳細'!A"&amp;MATCH("FC035",'展示詳細'!$A$1:$A$340,0),"FC035")</x:f>
        <x:v>FC035</x:v>
      </x:c>
      <x:c r="I351" s="7" t="str">
        <x:v>人が行っていた処理・作業を機械又はソフトで行う機能に分類。提案の採用や例外対応に人が残るものを含む。</x:v>
      </x:c>
      <x:c r="J351" s="7" t="str">
        <x:v>EOV-V020-2026-1</x:v>
      </x:c>
      <x:c r="K351" s="7" t="str">
        <x:v>https://www.jimtof.org/search/jp/ESdetails?e=tThKOA-gm8s</x:v>
      </x:c>
    </x:row>
    <x:row r="352" ht="84" customHeight="1">
      <x:c r="A352" s="7" t="str">
        <x:v>自動化</x:v>
      </x:c>
      <x:c r="B352" s="7" t="str">
        <x:v>立体物の6面検査を実現する「高速外観検査装置MAR3500 レボニー」</x:v>
      </x:c>
      <x:c r="C352" s="7" t="str">
        <x:v>ミツテック株式会社</x:v>
      </x:c>
      <x:c r="D352" s="7" t="str">
        <x:v>立体物の6面検査を実現する「高速外観検査装置MAR3500 レボニー」</x:v>
      </x:c>
      <x:c r="E352" s="7" t="str">
        <x:v>W2060</x:v>
      </x:c>
      <x:c r="F352" s="7" t="str">
        <x:v>内容から分類（調査者・一次整理）</x:v>
      </x:c>
      <x:c r="G352" s="7" t="str">
        <x:v>出展説明に基づく一次分類。方式・実装権限・提供段階は個別確認</x:v>
      </x:c>
      <x:c t="str" r="H352" s="21">
        <x:f>HYPERLINK("#'展示詳細'!A"&amp;MATCH("AC221",'展示詳細'!$A$1:$A$340,0),"AC221")</x:f>
        <x:v>AC221</x:v>
      </x:c>
      <x:c r="I352" s="7" t="str">
        <x:v>2026の具体記述：今回展示するモデルは、反転ユニットの搭載により従来は目視に頼っていた裏面検査を自動化し、立体物の6面検査を可能にした高速外観検査装置です。 / また、目視検査自動化に向けた検査基準づくりや導入検討に関するご相談も承ります。 / これまで目視検査に依存していた、多品種・多面・多項目の検査工程を自動化。</x:v>
      </x:c>
      <x:c r="J352" s="7" t="str">
        <x:v>EEX-EXH-2026-1232fea08643b011</x:v>
      </x:c>
      <x:c r="K352" s="7" t="str">
        <x:v>https://www.jimtof.org/search/jp/ESdetails?e=kOA339rt0Co</x:v>
      </x:c>
    </x:row>
    <x:row r="353" ht="84" customHeight="1">
      <x:c r="A353" s="7" t="str">
        <x:v>自動化</x:v>
      </x:c>
      <x:c r="B353" s="7" t="str">
        <x:v>寸法・形状計測</x:v>
      </x:c>
      <x:c r="C353" s="7" t="str">
        <x:v>ミツトヨ</x:v>
      </x:c>
      <x:c r="D353" s="7" t="str">
        <x:v>自動測定／MiCAT Planner・MiBOT系</x:v>
      </x:c>
      <x:c r="E353" s="7" t="str">
        <x:v>E7085</x:v>
      </x:c>
      <x:c r="F353" s="7" t="str">
        <x:v>内容から分類（調査者）</x:v>
      </x:c>
      <x:c r="G353" s="7" t="str">
        <x:v>固定手順・生成・判定・補正等の自動化／支援</x:v>
      </x:c>
      <x:c t="str" r="H353" s="21">
        <x:f>HYPERLINK("#'展示詳細'!A"&amp;MATCH("FC032",'展示詳細'!$A$1:$A$340,0),"FC032")</x:f>
        <x:v>FC032</x:v>
      </x:c>
      <x:c r="I353" s="7" t="str">
        <x:v>人が行っていた処理・作業を機械又はソフトで行う機能に分類。提案の採用や例外対応に人が残るものを含む。</x:v>
      </x:c>
      <x:c r="J353" s="7" t="str">
        <x:v>EOV-V017-2026-1</x:v>
      </x:c>
      <x:c r="K353" s="7" t="str">
        <x:v>https://www.jimtof.org/search/jp/ESdetails?e=a7y3JtW8DXM</x:v>
      </x:c>
    </x:row>
    <x:row r="354" ht="84" customHeight="1">
      <x:c r="A354" s="7" t="str">
        <x:v>自動化</x:v>
      </x:c>
      <x:c r="B354" s="7" t="str">
        <x:v>周辺部品・機構</x:v>
      </x:c>
      <x:c r="C354" s="7" t="str">
        <x:v>ミネベアミツミ株式会社</x:v>
      </x:c>
      <x:c r="D354" s="7" t="str">
        <x:v>アキシャル/ラジアルベアリング</x:v>
      </x:c>
      <x:c r="E354" s="7" t="str">
        <x:v>W2029</x:v>
      </x:c>
      <x:c r="F354" s="7" t="str">
        <x:v>内容から分類（調査者・一次整理）</x:v>
      </x:c>
      <x:c r="G354" s="7" t="str">
        <x:v>周辺要素・実装部品。システム全体のAI／自動動作の確認ではない</x:v>
      </x:c>
      <x:c t="str" r="H354" s="21">
        <x:f>HYPERLINK("#'展示詳細'!A"&amp;MATCH("AC222",'展示詳細'!$A$1:$A$340,0),"AC222")</x:f>
        <x:v>AC222</x:v>
      </x:c>
      <x:c r="I354" s="7" t="str">
        <x:v>2026の具体記述：ミネベアミツミブースでは、工作機械やロボットの高度化・自動化に貢献する製品群を3つのカテゴリで一堂に展示いたします。 / ②【精密な駆動とセンシング】：高い応答性と制御性を誇るHB（ハイブリッド）モーターに加え、ロボットの精密動作や力加減を感知する6軸力覚センサーなど、高度な自動化を支える駆動・センシングソリューションをご提案します。</x:v>
      </x:c>
      <x:c r="J354" s="7" t="str">
        <x:v>EEX-EXH-2026-fb52066b04681c9c</x:v>
      </x:c>
      <x:c r="K354" s="7" t="str">
        <x:v>https://www.jimtof.org/search/jp/ESdetails?e=-h838KuejOA</x:v>
      </x:c>
    </x:row>
    <x:row r="355" ht="84" customHeight="1">
      <x:c r="A355" s="7" t="str">
        <x:v>自動化</x:v>
      </x:c>
      <x:c r="B355" s="7" t="str">
        <x:v>異機種・旧設備の接続</x:v>
      </x:c>
      <x:c r="C355" s="7" t="str">
        <x:v>ミロクリエ</x:v>
      </x:c>
      <x:c r="D355" s="7" t="str">
        <x:v>ミロクルAIメーター読み取り</x:v>
      </x:c>
      <x:c r="E355" s="7" t="str">
        <x:v>E2016</x:v>
      </x:c>
      <x:c r="F355" s="7" t="str">
        <x:v>内容から分類（調査者）</x:v>
      </x:c>
      <x:c r="G355" s="7" t="str">
        <x:v>固定手順・生成・判定・補正等の自動化／支援</x:v>
      </x:c>
      <x:c t="str" r="H355" s="21">
        <x:f>HYPERLINK("#'展示詳細'!A"&amp;MATCH("FC059",'展示詳細'!$A$1:$A$340,0),"FC059")</x:f>
        <x:v>FC059</x:v>
      </x:c>
      <x:c r="I355" s="7" t="str">
        <x:v>人が行っていた処理・作業を機械又はソフトで行う機能に分類。提案の採用や例外対応に人が残るものを含む。</x:v>
      </x:c>
      <x:c r="J355" s="7" t="str">
        <x:v>EOV-V038-2026-1</x:v>
      </x:c>
      <x:c r="K355" s="7" t="str">
        <x:v>https://www.jimtof.org/search/jp/ESdetails?e=IQhLnLagU5I</x:v>
      </x:c>
    </x:row>
    <x:row r="356" ht="84" customHeight="1">
      <x:c r="A356" s="7" t="str">
        <x:v>自動化</x:v>
      </x:c>
      <x:c r="B356" s="7" t="str">
        <x:v>独自開発ロボットを使用した狙い撃ち CNC 高圧洗浄機で自動車部品・油圧部品の生産現場に省スペース化と高効率化を提案します。 / ①独自開発 Scar</x:v>
      </x:c>
      <x:c r="C356" s="7" t="str">
        <x:v>モバック株式会社</x:v>
      </x:c>
      <x:c r="D356" s="7" t="str">
        <x:v>独自開発ロボットを使用した狙い撃ち CNC 高圧洗浄機で自動車部品・油圧部品の生産現場に省スペース化と高効率化を提案します。 / ①独自開発 Scar</x:v>
      </x:c>
      <x:c r="E356" s="7" t="str">
        <x:v>S2004</x:v>
      </x:c>
      <x:c r="F356" s="7" t="str">
        <x:v>内容から分類（調査者・一次整理）</x:v>
      </x:c>
      <x:c r="G356" s="7" t="str">
        <x:v>出展説明に基づく一次分類。方式・実装権限・提供段階は個別確認</x:v>
      </x:c>
      <x:c t="str" r="H356" s="21">
        <x:f>HYPERLINK("#'展示詳細'!A"&amp;MATCH("AC229",'展示詳細'!$A$1:$A$340,0),"AC229")</x:f>
        <x:v>AC229</x:v>
      </x:c>
      <x:c r="I356" s="7" t="str">
        <x:v>2026の具体記述：独自開発ロボットを使用した狙い撃ち CNC 高圧洗浄機で自動車部品・油圧部品の生産現場に省スペース化と高効率化を提案します。 / ①独自開発 Scara 型ロボットの使用により従来機種と比較して設置面積 1/3、早送り速度 2 倍を実現します。</x:v>
      </x:c>
      <x:c r="J356" s="7" t="str">
        <x:v>EEX-EXH-2026-fa86a6a592392b7e</x:v>
      </x:c>
      <x:c r="K356" s="7" t="str">
        <x:v>https://www.jimtof.org/search/jp/ESdetails?e=o9Igifyx28Y</x:v>
      </x:c>
    </x:row>
    <x:row r="357" ht="84" customHeight="1">
      <x:c r="A357" s="7" t="str">
        <x:v>自動化</x:v>
      </x:c>
      <x:c r="B357" s="7" t="str">
        <x:v>刃先・摩耗判定</x:v>
      </x:c>
      <x:c r="C357" s="7" t="str">
        <x:v>モリマシナリー</x:v>
      </x:c>
      <x:c r="D357" s="7" t="str">
        <x:v>ツールコラージュ</x:v>
      </x:c>
      <x:c r="E357" s="7" t="str">
        <x:v>S3048</x:v>
      </x:c>
      <x:c r="F357" s="7" t="str">
        <x:v>内容から分類（調査者）</x:v>
      </x:c>
      <x:c r="G357" s="7" t="str">
        <x:v>固定手順・生成・判定・補正等の自動化／支援</x:v>
      </x:c>
      <x:c t="str" r="H357" s="21">
        <x:f>HYPERLINK("#'展示詳細'!A"&amp;MATCH("FC039",'展示詳細'!$A$1:$A$340,0),"FC039")</x:f>
        <x:v>FC039</x:v>
      </x:c>
      <x:c r="I357" s="7" t="str">
        <x:v>人が行っていた処理・作業を機械又はソフトで行う機能に分類。提案の採用や例外対応に人が残るものを含む。</x:v>
      </x:c>
      <x:c r="J357" s="7" t="str">
        <x:v>EOV-V024-2026-1
EDP-12</x:v>
      </x:c>
      <x:c r="K357" s="7" t="str">
        <x:v>https://www.jimtof.org/search/jp/ESdetails?e=ZvT3Lci-hnM
https://mori-machinery.com/en/product/tool-sommelier?post_id=1066</x:v>
      </x:c>
    </x:row>
    <x:row r="358" ht="84" customHeight="1">
      <x:c r="A358" s="7" t="str">
        <x:v>自動化</x:v>
      </x:c>
      <x:c r="B358" s="7" t="str">
        <x:v>工具寿命・交換提案</x:v>
      </x:c>
      <x:c r="C358" s="7" t="str">
        <x:v>モリマシナリー</x:v>
      </x:c>
      <x:c r="D358" s="7" t="str">
        <x:v>ツールコラージュアナライザー</x:v>
      </x:c>
      <x:c r="E358" s="7" t="str">
        <x:v>S3048</x:v>
      </x:c>
      <x:c r="F358" s="7" t="str">
        <x:v>内容から分類（調査者）</x:v>
      </x:c>
      <x:c r="G358" s="7" t="str">
        <x:v>固定手順・生成・判定・補正等の自動化／支援</x:v>
      </x:c>
      <x:c t="str" r="H358" s="21">
        <x:f>HYPERLINK("#'展示詳細'!A"&amp;MATCH("FC040",'展示詳細'!$A$1:$A$340,0),"FC040")</x:f>
        <x:v>FC040</x:v>
      </x:c>
      <x:c r="I358" s="7" t="str">
        <x:v>人が行っていた処理・作業を機械又はソフトで行う機能に分類。提案の採用や例外対応に人が残るものを含む。</x:v>
      </x:c>
      <x:c r="J358" s="7" t="str">
        <x:v>EOV-V024-2026-1
EOV-W08</x:v>
      </x:c>
      <x:c r="K358" s="7" t="str">
        <x:v>https://www.jimtof.org/search/jp/ESdetails?e=ZvT3Lci-hnM
https://mori-machinery.com/wp-content/uploads/2023/06/%E7%86%9F%E7%B7%B4%E8%80%85%E3%81%AE%E7%B5%8C%E9%A8%93%E7%9F%A5%E3%82%92%E3%82%82%E3%81%A8%E3%81%AB%E5%88%87%E5%89%8A%E5%B7%A5%E5%85%B7%E3%81%AE%E6%AC%A0%E3%81%91%E3%83%BB%E6%91%A9%E8%80%97%E3%83%BB%E5%AF%BF%E5%91%BD%E3%82%92%E6%8E%A8%E5%AE%9A%E3%81%99%E3%82%8BAI%E3%82%92%E9%96%8B%E7%99%BA.pdf</x:v>
      </x:c>
    </x:row>
    <x:row r="359" ht="84" customHeight="1">
      <x:c r="A359" s="7" t="str">
        <x:v>自動化</x:v>
      </x:c>
      <x:c r="B359" s="7" t="str">
        <x:v>工具在庫・供給</x:v>
      </x:c>
      <x:c r="C359" s="7" t="str">
        <x:v>モリマシナリー</x:v>
      </x:c>
      <x:c r="D359" s="7" t="str">
        <x:v>ツールソムリエ</x:v>
      </x:c>
      <x:c r="E359" s="7" t="str">
        <x:v>S3048</x:v>
      </x:c>
      <x:c r="F359" s="7" t="str">
        <x:v>内容から分類（調査者）</x:v>
      </x:c>
      <x:c r="G359" s="7" t="str">
        <x:v>固定手順・生成・判定・補正等の自動化／支援</x:v>
      </x:c>
      <x:c t="str" r="H359" s="21">
        <x:f>HYPERLINK("#'展示詳細'!A"&amp;MATCH("FC041",'展示詳細'!$A$1:$A$340,0),"FC041")</x:f>
        <x:v>FC041</x:v>
      </x:c>
      <x:c r="I359" s="7" t="str">
        <x:v>人が行っていた処理・作業を機械又はソフトで行う機能に分類。提案の採用や例外対応に人が残るものを含む。</x:v>
      </x:c>
      <x:c r="J359" s="7" t="str">
        <x:v>EOV-V024-2026-1</x:v>
      </x:c>
      <x:c r="K359" s="7" t="str">
        <x:v>https://www.jimtof.org/search/jp/ESdetails?e=ZvT3Lci-hnM</x:v>
      </x:c>
    </x:row>
    <x:row r="360" ht="84" customHeight="1">
      <x:c r="A360" s="7" t="str">
        <x:v>自動化</x:v>
      </x:c>
      <x:c r="B360" s="7" t="str">
        <x:v>ワーク搬入出</x:v>
      </x:c>
      <x:c r="C360" s="7" t="str">
        <x:v>ヤマザキマザック</x:v>
      </x:c>
      <x:c r="D360" s="7" t="str">
        <x:v>INTEGREX＋Ez LOADER 30</x:v>
      </x:c>
      <x:c r="E360" s="7" t="str">
        <x:v>E1001</x:v>
      </x:c>
      <x:c r="F360" s="7" t="str">
        <x:v>内容から分類（調査者）</x:v>
      </x:c>
      <x:c r="G360" s="7" t="str">
        <x:v>固定手順・生成・判定・補正等の自動化／支援</x:v>
      </x:c>
      <x:c t="str" r="H360" s="21">
        <x:f>HYPERLINK("#'展示詳細'!A"&amp;MATCH("FC010",'展示詳細'!$A$1:$A$340,0),"FC010")</x:f>
        <x:v>FC010</x:v>
      </x:c>
      <x:c r="I360" s="7" t="str">
        <x:v>人が行っていた処理・作業を機械又はソフトで行う機能に分類。提案の採用や例外対応に人が残るものを含む。</x:v>
      </x:c>
      <x:c r="J360" s="7" t="str">
        <x:v>EOV-V004-2026-1
EAT-N08</x:v>
      </x:c>
      <x:c r="K360" s="7" t="str">
        <x:v>https://www.jimtof.org/search/jp/ESdetails?e=PJEgqNYlWes
https://www.mazak.com/jp-en/news-media/upcoming-events/jimtof2026/</x:v>
      </x:c>
    </x:row>
    <x:row r="361" ht="84" customHeight="1">
      <x:c r="A361" s="7" t="str">
        <x:v>自動化</x:v>
      </x:c>
      <x:c r="B361" s="7" t="str">
        <x:v>周辺部品・機構</x:v>
      </x:c>
      <x:c r="C361" s="7" t="str">
        <x:v>ユキワ精工株式会社</x:v>
      </x:c>
      <x:c r="D361" s="7" t="str">
        <x:v>スーパーG1チャック、スーパーG1チャックアドバンス、グリーンG1チャック、ハイブリッドG1チャック、ワークハンドリングホルダ他</x:v>
      </x:c>
      <x:c r="E361" s="7" t="str">
        <x:v>W2015</x:v>
      </x:c>
      <x:c r="F361" s="7" t="str">
        <x:v>内容から分類（調査者・一次整理）</x:v>
      </x:c>
      <x:c r="G361" s="7" t="str">
        <x:v>周辺要素・実装部品。システム全体のAI／自動動作の確認ではない</x:v>
      </x:c>
      <x:c t="str" r="H361" s="21">
        <x:f>HYPERLINK("#'展示詳細'!A"&amp;MATCH("AC233",'展示詳細'!$A$1:$A$340,0),"AC233")</x:f>
        <x:v>AC233</x:v>
      </x:c>
      <x:c r="I361" s="7" t="str">
        <x:v>2026の具体記述：高精度・高剛性・高把握力のスーパーG1チャックと、早くきれいに削れるecoなグリーンG1チャックを出展します。 / 精密部品加工や微細加工の高精度化ニーズに応えるため、コレットチャックの技術を駆使して開発した製品です。 / 工具の振れを最小限に抑え、剛性と把握力が高いため、工具費削減や不良削減に貢献します。 / また、加工条件を上げることができるので、サイクルタイムを短縮し生産性の向上に寄与いたします。 / SDGsにおいても、環境負荷</x:v>
      </x:c>
      <x:c r="J361" s="7" t="str">
        <x:v>EEX-EXH-2026-4a8402a527c17b99</x:v>
      </x:c>
      <x:c r="K361" s="7" t="str">
        <x:v>https://www.jimtof.org/search/jp/ESdetails?e=KfyA76OQ4CE</x:v>
      </x:c>
    </x:row>
    <x:row r="362" ht="84" customHeight="1">
      <x:c r="A362" s="7" t="str">
        <x:v>自動化</x:v>
      </x:c>
      <x:c r="B362" s="7" t="str">
        <x:v>UNITED GRINDING GROUP</x:v>
      </x:c>
      <x:c r="C362" s="7" t="str">
        <x:v>ユナイテッドグラインディング株式会社</x:v>
      </x:c>
      <x:c r="D362" s="7" t="str">
        <x:v>UNITED GRINDING GROUP</x:v>
      </x:c>
      <x:c r="E362" s="7" t="str">
        <x:v>E8001</x:v>
      </x:c>
      <x:c r="F362" s="7" t="str">
        <x:v>内容から分類（調査者・一次整理）</x:v>
      </x:c>
      <x:c r="G362" s="7" t="str">
        <x:v>出展説明に基づく一次分類。方式・実装権限・提供段階は個別確認</x:v>
      </x:c>
      <x:c t="str" r="H362" s="21">
        <x:f>HYPERLINK("#'展示詳細'!A"&amp;MATCH("AC235",'展示詳細'!$A$1:$A$340,0),"AC235")</x:f>
        <x:v>AC235</x:v>
      </x:c>
      <x:c r="I362" s="7" t="str">
        <x:v>2026の具体記述：工具製造から測定、自動化までをカバーするトータルソリューションをご紹介します。 / さらにBLOHM、JUNG、の技術・サービスもご紹介し、お客様の生産性向上、高精度化、自動化、省人化を支援します。 / ・AUTOMATED TOOL PRODUCTION（ATP）自動化責任者来日。 / 工具製造自動化のノウハウを直接ご相談いただけます。 / 工具製造、再研磨、測定、自動化までを含めたトータルソリューションをご提案いたします。</x:v>
      </x:c>
      <x:c r="J362" s="7" t="str">
        <x:v>EEX-EXH-2026-54c4a3eb1080a3bb</x:v>
      </x:c>
      <x:c r="K362" s="7" t="str">
        <x:v>https://www.jimtof.org/search/jp/ESdetails?e=21UIMFf4EUI</x:v>
      </x:c>
    </x:row>
    <x:row r="363" ht="84" customHeight="1">
      <x:c r="A363" s="7" t="str">
        <x:v>自動化</x:v>
      </x:c>
      <x:c r="B363" s="7" t="str">
        <x:v>高精度3Dフェムト秒レーザ加工機、CUT P 350 ワイヤ放電加工機</x:v>
      </x:c>
      <x:c r="C363" s="7" t="str">
        <x:v>ユナイテッドマシニング株式会社</x:v>
      </x:c>
      <x:c r="D363" s="7" t="str">
        <x:v>高精度3Dフェムト秒レーザ加工機、CUT P 350 ワイヤ放電加工機</x:v>
      </x:c>
      <x:c r="E363" s="7" t="str">
        <x:v>E8001</x:v>
      </x:c>
      <x:c r="F363" s="7" t="str">
        <x:v>内容から分類（調査者・一次整理）</x:v>
      </x:c>
      <x:c r="G363" s="7" t="str">
        <x:v>出展説明に基づく一次分類。方式・実装権限・提供段階は個別確認</x:v>
      </x:c>
      <x:c t="str" r="H363" s="21">
        <x:f>HYPERLINK("#'展示詳細'!A"&amp;MATCH("AC236",'展示詳細'!$A$1:$A$340,0),"AC236")</x:f>
        <x:v>AC236</x:v>
      </x:c>
      <x:c r="I363" s="7" t="str">
        <x:v>2026の具体記述：さらに、高性能スピンドル、自動化、デジタル化ソリューションにより、直感的な操作を通じて生産性・効率・使いやすさを向上させます。</x:v>
      </x:c>
      <x:c r="J363" s="7" t="str">
        <x:v>EEX-EXH-2026-0c463f125124710f</x:v>
      </x:c>
      <x:c r="K363" s="7" t="str">
        <x:v>https://www.jimtof.org/search/jp/ESdetails?e=C2YWs9rQy3U</x:v>
      </x:c>
    </x:row>
    <x:row r="364" ht="84" customHeight="1">
      <x:c r="A364" s="7" t="str">
        <x:v>自動化</x:v>
      </x:c>
      <x:c r="B364" s="7" t="str">
        <x:v>周辺部品・機構</x:v>
      </x:c>
      <x:c r="C364" s="7" t="str">
        <x:v>リックス株式会社</x:v>
      </x:c>
      <x:c r="D364" s="7" t="str">
        <x:v>ロータリージョイント</x:v>
      </x:c>
      <x:c r="E364" s="7" t="str">
        <x:v>E3024</x:v>
      </x:c>
      <x:c r="F364" s="7" t="str">
        <x:v>内容から分類（調査者・一次整理）</x:v>
      </x:c>
      <x:c r="G364" s="7" t="str">
        <x:v>周辺要素・実装部品。システム全体のAI／自動動作の確認ではない</x:v>
      </x:c>
      <x:c t="str" r="H364" s="21">
        <x:f>HYPERLINK("#'展示詳細'!A"&amp;MATCH("AC241",'展示詳細'!$A$1:$A$340,0),"AC241")</x:f>
        <x:v>AC241</x:v>
      </x:c>
      <x:c r="I364" s="7" t="str">
        <x:v>2026の具体記述：ロータリージョイントをはじめとした工作機械の自動化・省エネを推進する注目製品をご紹介します。 / ■クーラント自動希釈装置</x:v>
      </x:c>
      <x:c r="J364" s="7" t="str">
        <x:v>EEX-EXH-2026-fbf9f0b05c61b8ad</x:v>
      </x:c>
      <x:c r="K364" s="7" t="str">
        <x:v>https://www.jimtof.org/search/jp/ESdetails?e=ym7ttKJCHb4</x:v>
      </x:c>
    </x:row>
    <x:row r="365" ht="84" customHeight="1">
      <x:c r="A365" s="7" t="str">
        <x:v>自動化</x:v>
      </x:c>
      <x:c r="B365" s="7" t="str">
        <x:v>測定から加工へ補正</x:v>
      </x:c>
      <x:c r="C365" s="7" t="str">
        <x:v>レニショー</x:v>
      </x:c>
      <x:c r="D365" s="7" t="str">
        <x:v>Renishaw Central＋IPC</x:v>
      </x:c>
      <x:c r="E365" s="7" t="str">
        <x:v>E7089</x:v>
      </x:c>
      <x:c r="F365" s="7" t="str">
        <x:v>内容から分類（調査者）</x:v>
      </x:c>
      <x:c r="G365" s="7" t="str">
        <x:v>固定手順・生成・判定・補正等の自動化／支援</x:v>
      </x:c>
      <x:c t="str" r="H365" s="21">
        <x:f>HYPERLINK("#'展示詳細'!A"&amp;MATCH("FC033",'展示詳細'!$A$1:$A$340,0),"FC033")</x:f>
        <x:v>FC033</x:v>
      </x:c>
      <x:c r="I365" s="7" t="str">
        <x:v>人が行っていた処理・作業を機械又はソフトで行う機能に分類。提案の採用や例外対応に人が残るものを含む。</x:v>
      </x:c>
      <x:c r="J365" s="7" t="str">
        <x:v>EOV-V018-2026-1</x:v>
      </x:c>
      <x:c r="K365" s="7" t="str">
        <x:v>https://www.jimtof.org/search/jp/ESdetails?e=pYGmVz5GC1c</x:v>
      </x:c>
    </x:row>
    <x:row r="366" ht="84" customHeight="1">
      <x:c r="A366" s="7" t="str">
        <x:v>自動化</x:v>
      </x:c>
      <x:c r="B366" s="7" t="str">
        <x:v>周辺部品・機構</x:v>
      </x:c>
      <x:c r="C366" s="7" t="str">
        <x:v>ロームヘルド・ハルダー株式会社</x:v>
      </x:c>
      <x:c r="D366" s="7" t="str">
        <x:v>マシンバイス、ネジ山リフティングピン、ハンマー、電動スイングクランプ</x:v>
      </x:c>
      <x:c r="E366" s="7" t="str">
        <x:v>W2003</x:v>
      </x:c>
      <x:c r="F366" s="7" t="str">
        <x:v>内容から分類（調査者・一次整理）</x:v>
      </x:c>
      <x:c r="G366" s="7" t="str">
        <x:v>周辺要素・実装部品。システム全体のAI／自動動作の確認ではない</x:v>
      </x:c>
      <x:c t="str" r="H366" s="21">
        <x:f>HYPERLINK("#'展示詳細'!A"&amp;MATCH("AC243",'展示詳細'!$A$1:$A$340,0),"AC243")</x:f>
        <x:v>AC243</x:v>
      </x:c>
      <x:c r="I366" s="7" t="str">
        <x:v>2026の具体記述：・これからの自動化に貢献する電動スイングクランプの動作デモ</x:v>
      </x:c>
      <x:c r="J366" s="7" t="str">
        <x:v>EEX-EXH-2026-e4d55b299fa70670</x:v>
      </x:c>
      <x:c r="K366" s="7" t="str">
        <x:v>https://www.jimtof.org/search/jp/ESdetails?e=ouI_rRePhFc</x:v>
      </x:c>
    </x:row>
    <x:row r="367" ht="84" customHeight="1">
      <x:c r="A367" s="7" t="str">
        <x:v>自動化</x:v>
      </x:c>
      <x:c r="B367" s="7" t="str">
        <x:v>5軸制御横形マシニングセンタ　HPX63-5X</x:v>
      </x:c>
      <x:c r="C367" s="7" t="str">
        <x:v>三井精機工業株式会社</x:v>
      </x:c>
      <x:c r="D367" s="7" t="str">
        <x:v>5軸制御横形マシニングセンタ　HPX63-5X</x:v>
      </x:c>
      <x:c r="E367" s="7" t="str">
        <x:v>E3029</x:v>
      </x:c>
      <x:c r="F367" s="7" t="str">
        <x:v>内容から分類（調査者・一次整理）</x:v>
      </x:c>
      <x:c r="G367" s="7" t="str">
        <x:v>出展説明に基づく一次分類。方式・実装権限・提供段階は個別確認</x:v>
      </x:c>
      <x:c t="str" r="H367" s="21">
        <x:f>HYPERLINK("#'展示詳細'!A"&amp;MATCH("AC219",'展示詳細'!$A$1:$A$340,0),"AC219")</x:f>
        <x:v>AC219</x:v>
      </x:c>
      <x:c r="I367" s="7" t="str">
        <x:v>2026の具体記述：自動化をより効率よく行うためにU軸ストロークを最適化、対話型ソフト「G-MAPS」の直感操作で高精度加工と生産性の向上。</x:v>
      </x:c>
      <x:c r="J367" s="7" t="str">
        <x:v>EEX-EXH-2026-7fc72cdc86a3c989</x:v>
      </x:c>
      <x:c r="K367" s="7" t="str">
        <x:v>https://www.jimtof.org/search/jp/ESdetails?e=Nzaw4M44lcw</x:v>
      </x:c>
    </x:row>
    <x:row r="368" ht="84" customHeight="1">
      <x:c r="A368" s="7" t="str">
        <x:v>自動化</x:v>
      </x:c>
      <x:c r="B368" s="7" t="str">
        <x:v>NEXSRT J30 F（パレット交換方式）を出展します。内蔵ロボットにはNACHI製MZ70Fを採用し、パレットを最大16枚搭載可能。最大可搬重量は</x:v>
      </x:c>
      <x:c r="C368" s="7" t="str">
        <x:v>三和ロボティクス株式会社</x:v>
      </x:c>
      <x:c r="D368" s="7" t="str">
        <x:v>NEXSRT J30 F（パレット交換方式）を出展します。内蔵ロボットにはNACHI製MZ70Fを採用し、パレットを最大16枚搭載可能。最大可搬重量は</x:v>
      </x:c>
      <x:c r="E368" s="7" t="str">
        <x:v>E7069</x:v>
      </x:c>
      <x:c r="F368" s="7" t="str">
        <x:v>内容から分類（調査者・一次整理）</x:v>
      </x:c>
      <x:c r="G368" s="7" t="str">
        <x:v>出展説明に基づく一次分類。方式・実装権限・提供段階は個別確認</x:v>
      </x:c>
      <x:c t="str" r="H368" s="21">
        <x:f>HYPERLINK("#'展示詳細'!A"&amp;MATCH("AC094",'展示詳細'!$A$1:$A$340,0),"AC094")</x:f>
        <x:v>AC094</x:v>
      </x:c>
      <x:c r="I368" s="7" t="str">
        <x:v>2026の具体記述：「NEXSRT J30 F」は、マシニングセンターの稼働率向上と省人化を実現するパレット交換自動化ロボットです。 / 最大16枚のパレットを搭載し、ロボット動作中でも着脱ステーションで次のワーク交換を進められる並列オペレーションにより、待ち時間を短縮。 / 既存の工作機械に後付けできることも大きな特長で、最小限のDI/O信号とロボット動作により、多種多様なメーカーとの接続が可能です。 / 内蔵ロボットにはNACHI製MZ70Fを採用し、</x:v>
      </x:c>
      <x:c r="J368" s="7" t="str">
        <x:v>EEX-EXH-2026-26cebfacb64ec6c3</x:v>
      </x:c>
      <x:c r="K368" s="7" t="str">
        <x:v>https://www.jimtof.org/search/jp/ESdetails?e=SnqZSY1MFMk</x:v>
      </x:c>
    </x:row>
    <x:row r="369" ht="84" customHeight="1">
      <x:c r="A369" s="7" t="str">
        <x:v>自動化</x:v>
      </x:c>
      <x:c r="B369" s="7" t="str">
        <x:v>工場内搬送</x:v>
      </x:c>
      <x:c r="C369" s="7" t="str">
        <x:v>三菱商事テクノス</x:v>
      </x:c>
      <x:c r="D369" s="7" t="str">
        <x:v>ロボット＋AMRの工程間連携デモ</x:v>
      </x:c>
      <x:c r="E369" s="7" t="str">
        <x:v>S3100</x:v>
      </x:c>
      <x:c r="F369" s="7" t="str">
        <x:v>内容から分類（調査者）</x:v>
      </x:c>
      <x:c r="G369" s="7" t="str">
        <x:v>固定手順・生成・判定・補正等の自動化／支援</x:v>
      </x:c>
      <x:c t="str" r="H369" s="21">
        <x:f>HYPERLINK("#'展示詳細'!A"&amp;MATCH("FC067",'展示詳細'!$A$1:$A$340,0),"FC067")</x:f>
        <x:v>FC067</x:v>
      </x:c>
      <x:c r="I369" s="7" t="str">
        <x:v>人が行っていた処理・作業を機械又はソフトで行う機能に分類。提案の採用や例外対応に人が残るものを含む。</x:v>
      </x:c>
      <x:c r="J369" s="7" t="str">
        <x:v>EAT-V044-2026-1</x:v>
      </x:c>
      <x:c r="K369" s="7" t="str">
        <x:v>https://www.jimtof.org/search/jp/ESdetails?e=YIwM2AR4N4M</x:v>
      </x:c>
    </x:row>
    <x:row r="370" ht="84" customHeight="1">
      <x:c r="A370" s="7" t="str">
        <x:v>自動化</x:v>
      </x:c>
      <x:c r="B370" s="7" t="str">
        <x:v>加工信号解析</x:v>
      </x:c>
      <x:c r="C370" s="7" t="str">
        <x:v>三菱電機</x:v>
      </x:c>
      <x:c r="D370" s="7" t="str">
        <x:v>NC MachiningAID（2024）／2026 CNC省人化</x:v>
      </x:c>
      <x:c r="E370" s="7" t="str">
        <x:v>S2003</x:v>
      </x:c>
      <x:c r="F370" s="7" t="str">
        <x:v>内容から分類（調査者）</x:v>
      </x:c>
      <x:c r="G370" s="7" t="str">
        <x:v>固定手順・生成・判定・補正等の自動化／支援</x:v>
      </x:c>
      <x:c t="str" r="H370" s="21">
        <x:f>HYPERLINK("#'展示詳細'!A"&amp;MATCH("FC064",'展示詳細'!$A$1:$A$340,0),"FC064")</x:f>
        <x:v>FC064</x:v>
      </x:c>
      <x:c r="I370" s="7" t="str">
        <x:v>人が行っていた処理・作業を機械又はソフトで行う機能に分類。提案の採用や例外対応に人が残るものを含む。</x:v>
      </x:c>
      <x:c r="J370" s="7" t="str">
        <x:v>EAT-V043-2026-1</x:v>
      </x:c>
      <x:c r="K370" s="7" t="str">
        <x:v>https://www.jimtof.org/search/jp/ESdetails?e=AjLnzm01WWU</x:v>
      </x:c>
    </x:row>
    <x:row r="371" ht="84" customHeight="1">
      <x:c r="A371" s="7" t="str">
        <x:v>自動化</x:v>
      </x:c>
      <x:c r="B371" s="7" t="str">
        <x:v>計画変更・負荷調整</x:v>
      </x:c>
      <x:c r="C371" s="7" t="str">
        <x:v>三菱電機</x:v>
      </x:c>
      <x:c r="D371" s="7" t="str">
        <x:v>放電加工の新開発スケジューラ</x:v>
      </x:c>
      <x:c r="E371" s="7" t="str">
        <x:v>S2003</x:v>
      </x:c>
      <x:c r="F371" s="7" t="str">
        <x:v>内容から分類（調査者）</x:v>
      </x:c>
      <x:c r="G371" s="7" t="str">
        <x:v>固定手順・生成・判定・補正等の自動化／支援</x:v>
      </x:c>
      <x:c t="str" r="H371" s="21">
        <x:f>HYPERLINK("#'展示詳細'!A"&amp;MATCH("FC065",'展示詳細'!$A$1:$A$340,0),"FC065")</x:f>
        <x:v>FC065</x:v>
      </x:c>
      <x:c r="I371" s="7" t="str">
        <x:v>人が行っていた処理・作業を機械又はソフトで行う機能に分類。提案の採用や例外対応に人が残るものを含む。</x:v>
      </x:c>
      <x:c r="J371" s="7" t="str">
        <x:v>EAT-V043-2026-1</x:v>
      </x:c>
      <x:c r="K371" s="7" t="str">
        <x:v>https://www.jimtof.org/search/jp/ESdetails?e=AjLnzm01WWU</x:v>
      </x:c>
    </x:row>
    <x:row r="372" ht="84" customHeight="1">
      <x:c r="A372" s="7" t="str">
        <x:v>自動化</x:v>
      </x:c>
      <x:c r="B372" s="7" t="str">
        <x:v>〇非接触全周三次元測定装置　MLP-3SP</x:v>
      </x:c>
      <x:c r="C372" s="7" t="str">
        <x:v>三鷹光器株式会社</x:v>
      </x:c>
      <x:c r="D372" s="7" t="str">
        <x:v>〇非接触全周三次元測定装置　MLP-3SP</x:v>
      </x:c>
      <x:c r="E372" s="7" t="str">
        <x:v>E7019</x:v>
      </x:c>
      <x:c r="F372" s="7" t="str">
        <x:v>内容から分類（調査者・一次整理）</x:v>
      </x:c>
      <x:c r="G372" s="7" t="str">
        <x:v>出展説明に基づく一次分類。方式・実装権限・提供段階は個別確認</x:v>
      </x:c>
      <x:c t="str" r="H372" s="21">
        <x:f>HYPERLINK("#'展示詳細'!A"&amp;MATCH("AC218",'展示詳細'!$A$1:$A$340,0),"AC218")</x:f>
        <x:v>AC218</x:v>
      </x:c>
      <x:c r="I372" s="7" t="str">
        <x:v>2026の具体記述：・自動測定ソフトウェア：刃先自動検出機能を使い、簡単に高精度測定が可能 / ・外部制御：搬送機と接続し、ワークを自動供給搬出</x:v>
      </x:c>
      <x:c r="J372" s="7" t="str">
        <x:v>EEX-EXH-2026-076c9523ffcd57c6</x:v>
      </x:c>
      <x:c r="K372" s="7" t="str">
        <x:v>https://www.jimtof.org/search/jp/ESdetails?e=5ypc5wYKnUk</x:v>
      </x:c>
    </x:row>
    <x:row r="373" ht="84" customHeight="1">
      <x:c r="A373" s="7" t="str">
        <x:v>自動化</x:v>
      </x:c>
      <x:c r="B373" s="7" t="str">
        <x:v>教示・位置合わせ</x:v>
      </x:c>
      <x:c r="C373" s="7" t="str">
        <x:v>中村留精密工業</x:v>
      </x:c>
      <x:c r="D373" s="7" t="str">
        <x:v>RoboSync：移設後の位置復旧</x:v>
      </x:c>
      <x:c r="E373" s="7" t="str">
        <x:v>E2027</x:v>
      </x:c>
      <x:c r="F373" s="7" t="str">
        <x:v>内容から分類（調査者）</x:v>
      </x:c>
      <x:c r="G373" s="7" t="str">
        <x:v>固定手順・生成・判定・補正等の自動化／支援</x:v>
      </x:c>
      <x:c t="str" r="H373" s="21">
        <x:f>HYPERLINK("#'展示詳細'!A"&amp;MATCH("FC048",'展示詳細'!$A$1:$A$340,0),"FC048")</x:f>
        <x:v>FC048</x:v>
      </x:c>
      <x:c r="I373" s="7" t="str">
        <x:v>人が行っていた処理・作業を機械又はソフトで行う機能に分類。提案の採用や例外対応に人が残るものを含む。</x:v>
      </x:c>
      <x:c r="J373" s="7" t="str">
        <x:v>EOV-V029-2026-1</x:v>
      </x:c>
      <x:c r="K373" s="7" t="str">
        <x:v>https://www.jimtof.org/search/jp/ESdetails?e=C7A_2ZTDXNw</x:v>
      </x:c>
    </x:row>
    <x:row r="374" ht="84" customHeight="1">
      <x:c r="A374" s="7" t="str">
        <x:v>自動化</x:v>
      </x:c>
      <x:c r="B374" s="7" t="str">
        <x:v>『クーラント液自動希釈供給装置 FKM型』</x:v>
      </x:c>
      <x:c r="C374" s="7" t="str">
        <x:v>中部クリーン株式会社</x:v>
      </x:c>
      <x:c r="D374" s="7" t="str">
        <x:v>『クーラント液自動希釈供給装置 FKM型』</x:v>
      </x:c>
      <x:c r="E374" s="7" t="str">
        <x:v>S4041</x:v>
      </x:c>
      <x:c r="F374" s="7" t="str">
        <x:v>内容から分類（調査者・一次整理）</x:v>
      </x:c>
      <x:c r="G374" s="7" t="str">
        <x:v>出展説明に基づく一次分類。方式・実装権限・提供段階は個別確認</x:v>
      </x:c>
      <x:c t="str" r="H374" s="21">
        <x:f>HYPERLINK("#'展示詳細'!A"&amp;MATCH("AC134",'展示詳細'!$A$1:$A$340,0),"AC134")</x:f>
        <x:v>AC134</x:v>
      </x:c>
      <x:c r="I374" s="7" t="str">
        <x:v>2026の具体記述：『クーラント液自動希釈供給装置 FKM型』 / 弊社のクーラント液自動希釈供給装置FKM型は一定濃度での希釈と、適切な液量までの補給を自動で行います。 / クーラント希釈の自動化で原液の過剰使用を防ぐほか、補給動作は信頼性の高いレベルセンサでクーラント消費を検知し、工作機械ごとに供給の開始から完了まで確実に制御し、タンクから溢れる事故の心配がなく安全と安心を実現しています。 / FKM型は原液ドラム缶のセット以外はすべて自動で行うため、</x:v>
      </x:c>
      <x:c r="J374" s="7" t="str">
        <x:v>EEX-EXH-2026-7b9e75a5fbf145a4</x:v>
      </x:c>
      <x:c r="K374" s="7" t="str">
        <x:v>https://www.jimtof.org/search/jp/ESdetails?e=R-pw3NRfUvI</x:v>
      </x:c>
    </x:row>
    <x:row r="375" ht="84" customHeight="1">
      <x:c r="A375" s="7" t="str">
        <x:v>自動化</x:v>
      </x:c>
      <x:c r="B375" s="7" t="str">
        <x:v>周辺部品・機構</x:v>
      </x:c>
      <x:c r="C375" s="7" t="str">
        <x:v>住友精密工業株式会社</x:v>
      </x:c>
      <x:c r="D375" s="7" t="str">
        <x:v>クーラントポンプ構造部品及び製品ラインナップ紹介</x:v>
      </x:c>
      <x:c r="E375" s="7" t="str">
        <x:v>E2021</x:v>
      </x:c>
      <x:c r="F375" s="7" t="str">
        <x:v>内容から分類（調査者・一次整理）</x:v>
      </x:c>
      <x:c r="G375" s="7" t="str">
        <x:v>周辺要素・実装部品。システム全体のAI／自動動作の確認ではない</x:v>
      </x:c>
      <x:c t="str" r="H375" s="21">
        <x:f>HYPERLINK("#'展示詳細'!A"&amp;MATCH("AC113",'展示詳細'!$A$1:$A$340,0),"AC113")</x:f>
        <x:v>AC113</x:v>
      </x:c>
      <x:c r="I375" s="7" t="str">
        <x:v>2026の具体記述：〜高いシェアを誇る中・高圧クーラントポンプで、加工現場のチョコ停低減と自動化を強力に後押し〜 / 現場の切実な課題であるチョコ停の低減や自動化の促進に寄与するソリューションをご提案いたしますので、ぜひお気軽に当社ブースへお立ち寄りください。</x:v>
      </x:c>
      <x:c r="J375" s="7" t="str">
        <x:v>EEX-EXH-2026-a155e7aeaf9b66f3</x:v>
      </x:c>
      <x:c r="K375" s="7" t="str">
        <x:v>https://www.jimtof.org/search/jp/ESdetails?e=RUfUkmbjQf0</x:v>
      </x:c>
    </x:row>
    <x:row r="376" ht="84" customHeight="1">
      <x:c r="A376" s="7" t="str">
        <x:v>自動化</x:v>
      </x:c>
      <x:c r="B376" s="7" t="str">
        <x:v>プロファイルチャンファー</x:v>
      </x:c>
      <x:c r="C376" s="7" t="str">
        <x:v>先生精機株式会社</x:v>
      </x:c>
      <x:c r="D376" s="7" t="str">
        <x:v>プロファイルチャンファー</x:v>
      </x:c>
      <x:c r="E376" s="7" t="str">
        <x:v>S1033</x:v>
      </x:c>
      <x:c r="F376" s="7" t="str">
        <x:v>内容から分類（調査者・一次整理）</x:v>
      </x:c>
      <x:c r="G376" s="7" t="str">
        <x:v>出展説明に基づく一次分類。方式・実装権限・提供段階は個別確認</x:v>
      </x:c>
      <x:c t="str" r="H376" s="21">
        <x:f>HYPERLINK("#'展示詳細'!A"&amp;MATCH("AC120",'展示詳細'!$A$1:$A$340,0),"AC120")</x:f>
        <x:v>AC120</x:v>
      </x:c>
      <x:c r="I376" s="7" t="str">
        <x:v>2026の具体記述：単体設備はもちろん自動化ラインへの組み込みまで、お客様の生産性向上と品質改善をサポートします。 / 「バリ取りを自動化したい」「加工品質を安定させたい」「工程を集約したい」など現場ごとに異なる課題に対し、最適なソリューションをご提案いたします。 / 自動でワークの位相決めを行い、数値制御による高精度な加工を実現します。</x:v>
      </x:c>
      <x:c r="J376" s="7" t="str">
        <x:v>EEX-EXH-2026-c5ea9a742076c7a1</x:v>
      </x:c>
      <x:c r="K376" s="7" t="str">
        <x:v>https://www.jimtof.org/search/jp/ESdetails?e=LbuFdZUa35w</x:v>
      </x:c>
    </x:row>
    <x:row r="377" ht="84" customHeight="1">
      <x:c r="A377" s="7" t="str">
        <x:v>自動化</x:v>
      </x:c>
      <x:c r="B377" s="7" t="str">
        <x:v>【新型ハイブリッド内面研削盤 IIG-15HE】</x:v>
      </x:c>
      <x:c r="C377" s="7" t="str">
        <x:v>入野機工株式会社</x:v>
      </x:c>
      <x:c r="D377" s="7" t="str">
        <x:v>【新型ハイブリッド内面研削盤 IIG-15HE】</x:v>
      </x:c>
      <x:c r="E377" s="7" t="str">
        <x:v>E7048</x:v>
      </x:c>
      <x:c r="F377" s="7" t="str">
        <x:v>内容から分類（調査者・一次整理）</x:v>
      </x:c>
      <x:c r="G377" s="7" t="str">
        <x:v>出展説明に基づく一次分類。方式・実装権限・提供段階は個別確認</x:v>
      </x:c>
      <x:c t="str" r="H377" s="21">
        <x:f>HYPERLINK("#'展示詳細'!A"&amp;MATCH("AC021",'展示詳細'!$A$1:$A$340,0),"AC021")</x:f>
        <x:v>AC021</x:v>
      </x:c>
      <x:c r="I377" s="7" t="str">
        <x:v>2026の具体記述：加工状態を見ながら研削条件を作り込み、条件が決まれば全自動研削サイクルで安定した加工を繰り返す。 / 入野機工は、この機械の良さを残しながら、オペレーターが機械の位置をより正確に把握し、より簡単に設定できるよう、デジタル技術を取り入れて操作性を高めてきました。 / 寸法補正から再研削までを効率化します。 / 自動切込み速度はmm/min単位で数値設定でき、従来の油圧・機械機構による送り速度のばらつきを抑え、安定した切込み動作を可能にしま</x:v>
      </x:c>
      <x:c r="J377" s="7" t="str">
        <x:v>EEX-EXH-2026-e688a71f11c19f74</x:v>
      </x:c>
      <x:c r="K377" s="7" t="str">
        <x:v>https://www.jimtof.org/search/jp/ESdetails?e=vWBww2kQlVU</x:v>
      </x:c>
    </x:row>
    <x:row r="378" ht="84" customHeight="1">
      <x:c r="A378" s="7" t="str">
        <x:v>自動化</x:v>
      </x:c>
      <x:c r="B378" s="7" t="str">
        <x:v>全自動計測システム　HP-6040V-FA</x:v>
      </x:c>
      <x:c r="C378" s="7" t="str">
        <x:v>共立精機株式会社</x:v>
      </x:c>
      <x:c r="D378" s="7" t="str">
        <x:v>全自動計測システム　HP-6040V-FA</x:v>
      </x:c>
      <x:c r="E378" s="7" t="str">
        <x:v>W2025</x:v>
      </x:c>
      <x:c r="F378" s="7" t="str">
        <x:v>内容から分類（調査者・一次整理）</x:v>
      </x:c>
      <x:c r="G378" s="7" t="str">
        <x:v>出展説明に基づく一次分類。方式・実装権限・提供段階は個別確認</x:v>
      </x:c>
      <x:c t="str" r="H378" s="21">
        <x:f>HYPERLINK("#'展示詳細'!A"&amp;MATCH("AC063",'展示詳細'!$A$1:$A$340,0),"AC063")</x:f>
        <x:v>AC063</x:v>
      </x:c>
      <x:c r="I378" s="7" t="str">
        <x:v>2026の具体記述：全自動ツールプリセッタ HP‑6040V‑FA は、締緩装置やロボット搬送との組み合わせにより、工具交換から突き出し量調整、刃先測定までを連続して自動化し、プリセット作業の効率を高める。 / チップチェンジャは、工具先端のチップを自動で交換する装置で、交換作業を迅速化し、段取り時間の短縮と作業負荷の軽減を実現する。 / 全自動計測システム　HP-6040V-FA / インサート自動交換装置 チップチェンジャ</x:v>
      </x:c>
      <x:c r="J378" s="7" t="str">
        <x:v>EEX-EXH-2026-1c8938d47b63e4bb</x:v>
      </x:c>
      <x:c r="K378" s="7" t="str">
        <x:v>https://www.jimtof.org/search/jp/ESdetails?e=9k7ro8sL0VA</x:v>
      </x:c>
    </x:row>
    <x:row r="379" ht="84" customHeight="1">
      <x:c r="A379" s="7" t="str">
        <x:v>自動化</x:v>
      </x:c>
      <x:c r="B379" s="7" t="str">
        <x:v>図面検索・見積・調達</x:v>
      </x:c>
      <x:c r="C379" s="7" t="str">
        <x:v>匠技研工業</x:v>
      </x:c>
      <x:c r="D379" s="7" t="str">
        <x:v>匠フォース：業務AIエージェント</x:v>
      </x:c>
      <x:c r="E379" s="7" t="str">
        <x:v>S3011</x:v>
      </x:c>
      <x:c r="F379" s="7" t="str">
        <x:v>内容から分類（調査者）</x:v>
      </x:c>
      <x:c r="G379" s="7" t="str">
        <x:v>固定手順・生成・判定・補正等の自動化／支援</x:v>
      </x:c>
      <x:c t="str" r="H379" s="21">
        <x:f>HYPERLINK("#'展示詳細'!A"&amp;MATCH("FC062",'展示詳細'!$A$1:$A$340,0),"FC062")</x:f>
        <x:v>FC062</x:v>
      </x:c>
      <x:c r="I379" s="7" t="str">
        <x:v>人が行っていた処理・作業を機械又はソフトで行う機能に分類。提案の採用や例外対応に人が残るものを含む。</x:v>
      </x:c>
      <x:c r="J379" s="7" t="str">
        <x:v>EOV-V041-2026-1
EDP-05</x:v>
      </x:c>
      <x:c r="K379" s="7" t="str">
        <x:v>https://www.jimtof.org/search/jp/ESdetails?e=i_4zCxJP258
https://prtimes.jp/main/html/rd/p/000000031.000057137.html</x:v>
      </x:c>
    </x:row>
    <x:row r="380" ht="84" customHeight="1">
      <x:c r="A380" s="7" t="str">
        <x:v>自動化</x:v>
      </x:c>
      <x:c r="B380" s="7" t="str">
        <x:v>①自動肉盛りシステム【肉盛りくん】施工事例品・金型</x:v>
      </x:c>
      <x:c r="C380" s="7" t="str">
        <x:v>南海モルディ株式会社</x:v>
      </x:c>
      <x:c r="D380" s="7" t="str">
        <x:v>①自動肉盛りシステム【肉盛りくん】施工事例品・金型</x:v>
      </x:c>
      <x:c r="E380" s="7" t="str">
        <x:v>S3005</x:v>
      </x:c>
      <x:c r="F380" s="7" t="str">
        <x:v>内容から分類（調査者・一次整理）</x:v>
      </x:c>
      <x:c r="G380" s="7" t="str">
        <x:v>出展説明に基づく一次分類。方式・実装権限・提供段階は個別確認</x:v>
      </x:c>
      <x:c t="str" r="H380" s="21">
        <x:f>HYPERLINK("#'展示詳細'!A"&amp;MATCH("AC160",'展示詳細'!$A$1:$A$340,0),"AC160")</x:f>
        <x:v>AC160</x:v>
      </x:c>
      <x:c r="I380" s="7" t="str">
        <x:v>2026の具体記述：当社開発の自動肉盛り溶接システム【肉盛りくん】やその応用方法を展示。 / いままで”コツ・カン”の世界だった肉盛り溶接技術をパウダー溶接技術と6軸ロボットの融合により最大限のパフォーマンスを実現。 / ①自動肉盛りシステム【肉盛りくん】施工事例品・金型</x:v>
      </x:c>
      <x:c r="J380" s="7" t="str">
        <x:v>EEX-EXH-2026-87d81bbdb5e75826</x:v>
      </x:c>
      <x:c r="K380" s="7" t="str">
        <x:v>https://www.jimtof.org/search/jp/ESdetails?e=DzEQo0I9qrQ</x:v>
      </x:c>
    </x:row>
    <x:row r="381" ht="84" customHeight="1">
      <x:c r="A381" s="7" t="str">
        <x:v>自動化</x:v>
      </x:c>
      <x:c r="B381" s="7" t="str">
        <x:v>周辺部品・機構</x:v>
      </x:c>
      <x:c r="C381" s="7" t="str">
        <x:v>双和化成株式会社</x:v>
      </x:c>
      <x:c r="D381" s="7" t="str">
        <x:v>セラミックファイバーブラシ・砥石 「Cristone」「CERATON」</x:v>
      </x:c>
      <x:c r="E381" s="7" t="str">
        <x:v>W4050</x:v>
      </x:c>
      <x:c r="F381" s="7" t="str">
        <x:v>内容から分類（調査者・一次整理）</x:v>
      </x:c>
      <x:c r="G381" s="7" t="str">
        <x:v>周辺要素・実装部品。システム全体のAI／自動動作の確認ではない</x:v>
      </x:c>
      <x:c t="str" r="H381" s="21">
        <x:f>HYPERLINK("#'展示詳細'!A"&amp;MATCH("AC122",'展示詳細'!$A$1:$A$340,0),"AC122")</x:f>
        <x:v>AC122</x:v>
      </x:c>
      <x:c r="I381" s="7" t="str">
        <x:v>2026の具体記述：JIMTOF2026では、バリ取りや研磨の自動化・効率化を可能にするセラミックファイバーブラシ・砥石製品、さらに金型などの清掃に特化したクリーナー製品を展示いたします。</x:v>
      </x:c>
      <x:c r="J381" s="7" t="str">
        <x:v>EEX-EXH-2026-f4c953df9f4aea17</x:v>
      </x:c>
      <x:c r="K381" s="7" t="str">
        <x:v>https://www.jimtof.org/search/jp/ESdetails?e=aJBm2hnGsqY</x:v>
      </x:c>
    </x:row>
    <x:row r="382" ht="84" customHeight="1">
      <x:c r="A382" s="7" t="str">
        <x:v>自動化</x:v>
      </x:c>
      <x:c r="B382" s="7" t="str">
        <x:v>①FRE-01搭載 XY卓上自動機</x:v>
      </x:c>
      <x:c r="C382" s="7" t="str">
        <x:v>吉川鐵工株式会社</x:v>
      </x:c>
      <x:c r="D382" s="7" t="str">
        <x:v>①FRE-01搭載 XY卓上自動機</x:v>
      </x:c>
      <x:c r="E382" s="7" t="str">
        <x:v>E7055</x:v>
      </x:c>
      <x:c r="F382" s="7" t="str">
        <x:v>内容から分類（調査者・一次整理）</x:v>
      </x:c>
      <x:c r="G382" s="7" t="str">
        <x:v>出展説明に基づく一次分類。方式・実装権限・提供段階は個別確認</x:v>
      </x:c>
      <x:c t="str" r="H382" s="21">
        <x:f>HYPERLINK("#'展示詳細'!A"&amp;MATCH("AC238",'展示詳細'!$A$1:$A$340,0),"AC238")</x:f>
        <x:v>AC238</x:v>
      </x:c>
      <x:c r="I382" s="7" t="str">
        <x:v>2026の具体記述：【省人化・自動化】 / 供給・搬送・カシメ・取出しまで、工程の自動化 / ①FRE-01搭載 XY卓上自動機 / ②FRE-05+リベット自動供給装置+協働ロボット / 電動サーボタイプのリベッティング・マシンに、リベット自動供給装置及び協働ロボットアームを取付けた装置。 / 部品およびリベットの供給→組立→カシメ→搬出といった工程の自動化イメージをご紹介。</x:v>
      </x:c>
      <x:c r="J382" s="7" t="str">
        <x:v>EEX-EXH-2026-43847f0d8d9f485f</x:v>
      </x:c>
      <x:c r="K382" s="7" t="str">
        <x:v>https://www.jimtof.org/search/jp/ESdetails?e=HjByZxxPSok</x:v>
      </x:c>
    </x:row>
    <x:row r="383" ht="84" customHeight="1">
      <x:c r="A383" s="7" t="str">
        <x:v>自動化</x:v>
      </x:c>
      <x:c r="B383" s="7" t="str">
        <x:v>周辺部品・機構</x:v>
      </x:c>
      <x:c r="C383" s="7" t="str">
        <x:v>埼玉精機株式会社</x:v>
      </x:c>
      <x:c r="D383" s="7" t="str">
        <x:v>〇空気工具（ラチェットレンチ、インパクトドライバー、スクリュードライバー、ドリル、ベルトサンダー、エアソー、インパクトレンチ、グラインダー、ダイグライ</x:v>
      </x:c>
      <x:c r="E383" s="7" t="str">
        <x:v>W1002</x:v>
      </x:c>
      <x:c r="F383" s="7" t="str">
        <x:v>内容から分類（調査者・一次整理）</x:v>
      </x:c>
      <x:c r="G383" s="7" t="str">
        <x:v>周辺要素・実装部品。システム全体のAI／自動動作の確認ではない</x:v>
      </x:c>
      <x:c t="str" r="H383" s="21">
        <x:f>HYPERLINK("#'展示詳細'!A"&amp;MATCH("AC083",'展示詳細'!$A$1:$A$340,0),"AC083")</x:f>
        <x:v>AC083</x:v>
      </x:c>
      <x:c r="I383" s="7" t="str">
        <x:v>2026の具体記述：今後需要が増えていくと考えられるロボットアーム向け製品もご紹介いたします。 / 〇ロボット用先端工具</x:v>
      </x:c>
      <x:c r="J383" s="7" t="str">
        <x:v>EEX-EXH-2026-08030dcd82b4b70e</x:v>
      </x:c>
      <x:c r="K383" s="7" t="str">
        <x:v>https://www.jimtof.org/search/jp/ESdetails?e=eKJZ035sC1A</x:v>
      </x:c>
    </x:row>
    <x:row r="384" ht="84" customHeight="1">
      <x:c r="A384" s="7" t="str">
        <x:v>自動化</x:v>
      </x:c>
      <x:c r="B384" s="7" t="str">
        <x:v>DM-400 油圧クランプ仕様、UNI-DEBURRING バリ取り機、Safety Tools Cold Work対応エアグラインダー、AXXAIR</x:v>
      </x:c>
      <x:c r="C384" s="7" t="str">
        <x:v>大同興業株式会社</x:v>
      </x:c>
      <x:c r="D384" s="7" t="str">
        <x:v>DM-400 油圧クランプ仕様、UNI-DEBURRING バリ取り機、Safety Tools Cold Work対応エアグラインダー、AXXAIR</x:v>
      </x:c>
      <x:c r="E384" s="7" t="str">
        <x:v>S1007</x:v>
      </x:c>
      <x:c r="F384" s="7" t="str">
        <x:v>内容から分類（調査者・一次整理）</x:v>
      </x:c>
      <x:c r="G384" s="7" t="str">
        <x:v>出展説明に基づく一次分類。方式・実装権限・提供段階は個別確認</x:v>
      </x:c>
      <x:c t="str" r="H384" s="21">
        <x:f>HYPERLINK("#'展示詳細'!A"&amp;MATCH("AC126",'展示詳細'!$A$1:$A$340,0),"AC126")</x:f>
        <x:v>AC126</x:v>
      </x:c>
      <x:c r="I384" s="7" t="str">
        <x:v>2026の具体記述：金属切断・研削・バリ取りの省力化、安全性向上をテーマに、DM-400、UNI-DEBURRING、Safety Tools、AXXAIR製品などを展示します。 / DM-400 油圧クランプ仕様、UNI-DEBURRING バリ取り機、Safety Tools Cold Work対応エアグラインダー、AXXAIR パイプ切断・開先加工・円周溶接関連機器、ドリル研磨機</x:v>
      </x:c>
      <x:c r="J384" s="7" t="str">
        <x:v>EEX-EXH-2026-6ffc5e37fa7b33e5</x:v>
      </x:c>
      <x:c r="K384" s="7" t="str">
        <x:v>https://www.jimtof.org/search/jp/ESdetails?e=t55m-mwo_zM</x:v>
      </x:c>
    </x:row>
    <x:row r="385" ht="84" customHeight="1">
      <x:c r="A385" s="7" t="str">
        <x:v>自動化</x:v>
      </x:c>
      <x:c r="B385" s="7" t="str">
        <x:v>モリブデンワイヤ放電加工機【HG400】</x:v>
      </x:c>
      <x:c r="C385" s="7" t="str">
        <x:v>大野精工株式会社</x:v>
      </x:c>
      <x:c r="D385" s="7" t="str">
        <x:v>モリブデンワイヤ放電加工機【HG400】</x:v>
      </x:c>
      <x:c r="E385" s="7" t="str">
        <x:v>E7075</x:v>
      </x:c>
      <x:c r="F385" s="7" t="str">
        <x:v>内容から分類（調査者・一次整理）</x:v>
      </x:c>
      <x:c r="G385" s="7" t="str">
        <x:v>出展説明に基づく一次分類。方式・実装権限・提供段階は個別確認</x:v>
      </x:c>
      <x:c t="str" r="H385" s="21">
        <x:f>HYPERLINK("#'展示詳細'!A"&amp;MATCH("AC045",'展示詳細'!$A$1:$A$340,0),"AC045")</x:f>
        <x:v>AC045</x:v>
      </x:c>
      <x:c r="I385" s="7" t="str">
        <x:v>2026の具体記述：【自動結線・高速加工・低コスト】 / 今回展示する新機種「HG400」では、これまでモリブデンワイヤでは実現が難しかった「自動結線機能」を新たに搭載。 / ワイヤ結線を自動化することで、穴通し等の段取り時間を短縮し、無人・連続運転による生産性の向上を実現します。 / この自動結線機能を備えたモリブデンワイヤ放電加工機は、日本初上陸となります。</x:v>
      </x:c>
      <x:c r="J385" s="7" t="str">
        <x:v>EEX-EXH-2026-426a2f9fe17c70e9</x:v>
      </x:c>
      <x:c r="K385" s="7" t="str">
        <x:v>https://www.jimtof.org/search/jp/ESdetails?e=BUXIodTELh0</x:v>
      </x:c>
    </x:row>
    <x:row r="386" ht="84" customHeight="1">
      <x:c r="A386" s="7" t="str">
        <x:v>自動化</x:v>
      </x:c>
      <x:c r="B386" s="7" t="str">
        <x:v>乾式高速遠心バレル研磨機／DC400型</x:v>
      </x:c>
      <x:c r="C386" s="7" t="str">
        <x:v>宇治電化学工業株式会社</x:v>
      </x:c>
      <x:c r="D386" s="7" t="str">
        <x:v>乾式高速遠心バレル研磨機／DC400型</x:v>
      </x:c>
      <x:c r="E386" s="7" t="str">
        <x:v>W4025</x:v>
      </x:c>
      <x:c r="F386" s="7" t="str">
        <x:v>内容から分類（調査者・一次整理）</x:v>
      </x:c>
      <x:c r="G386" s="7" t="str">
        <x:v>出展説明に基づく一次分類。方式・実装権限・提供段階は個別確認</x:v>
      </x:c>
      <x:c t="str" r="H386" s="21">
        <x:f>HYPERLINK("#'展示詳細'!A"&amp;MATCH("AC028",'展示詳細'!$A$1:$A$340,0),"AC028")</x:f>
        <x:v>AC028</x:v>
      </x:c>
      <x:c r="I386" s="7" t="str">
        <x:v>2026の具体記述：宇治電化学工業ブースでは、研磨材メーカーとして長年培ってきた技術と、自動化ソリューションを一堂にご紹介します。 / 加えて、協働ロボットを活用した研磨・検査システムの実演展示を行い、人手不足への対応や品質安定化に向けた自動化技術をご覧いただけます。 / また、現在開発を進めている高速遠心バレルとロボットを連携させたシステムについてもご紹介し、研磨工程のさらなる省人化・効率化への取り組みを発信します。 / 研磨材、バレルメディア、研磨設備</x:v>
      </x:c>
      <x:c r="J386" s="7" t="str">
        <x:v>EEX-EXH-2026-f82101935c4b9830</x:v>
      </x:c>
      <x:c r="K386" s="7" t="str">
        <x:v>https://www.jimtof.org/search/jp/ESdetails?e=nxFvaTiEEvg</x:v>
      </x:c>
    </x:row>
    <x:row r="387" ht="84" customHeight="1">
      <x:c r="A387" s="7" t="str">
        <x:v>自動化</x:v>
      </x:c>
      <x:c r="B387" s="7" t="str">
        <x:v>周辺部品・機構</x:v>
      </x:c>
      <x:c r="C387" s="7" t="str">
        <x:v>安藤株式会社</x:v>
      </x:c>
      <x:c r="D387" s="7" t="str">
        <x:v>中国発の協働ロボット『FARINO』は、圧倒的な低コストと直感操作で現場の自動化を加速。人との共存を実現する高い安全性を備えています。</x:v>
      </x:c>
      <x:c r="E387" s="7" t="str">
        <x:v>S3034</x:v>
      </x:c>
      <x:c r="F387" s="7" t="str">
        <x:v>内容から分類（調査者・一次整理）</x:v>
      </x:c>
      <x:c r="G387" s="7" t="str">
        <x:v>周辺要素・実装部品。システム全体のAI／自動動作の確認ではない</x:v>
      </x:c>
      <x:c t="str" r="H387" s="21">
        <x:f>HYPERLINK("#'展示詳細'!A"&amp;MATCH("AC013",'展示詳細'!$A$1:$A$340,0),"AC013")</x:f>
        <x:v>AC013</x:v>
      </x:c>
      <x:c r="I387" s="7" t="str">
        <x:v>2026の具体記述：注目は、高いコストパフォーマンスと直感的な操作性を兼ね備えた「FAIRINO」協働ロボットによる溶接デモンストレーションです。 / 深刻な人手不足が続く溶接工程の自動化を、圧倒的な導入しやすさで強力に後押しします。 / ワーク供給の自動化コストを大幅に抑制します。 / そして、今後のヒューマノイドロボット制御や高度な動作解析・位置補正の現場に欠かせない技術として「CHING MU」の高精度モーションキャプチャシステムを展示。 / 中国発</x:v>
      </x:c>
      <x:c r="J387" s="7" t="str">
        <x:v>EEX-EXH-2026-af594372ce986f00</x:v>
      </x:c>
      <x:c r="K387" s="7" t="str">
        <x:v>https://www.jimtof.org/search/jp/ESdetails?e=E-sJ8QNrgW0</x:v>
      </x:c>
    </x:row>
    <x:row r="388" ht="84" customHeight="1">
      <x:c r="A388" s="7" t="str">
        <x:v>自動化</x:v>
      </x:c>
      <x:c r="B388" s="7" t="str">
        <x:v>周辺部品・機構</x:v>
      </x:c>
      <x:c r="C388" s="7" t="str">
        <x:v>富士精工株式会社</x:v>
      </x:c>
      <x:c r="D388" s="7" t="str">
        <x:v>自働化ソリューション展示</x:v>
      </x:c>
      <x:c r="E388" s="7" t="str">
        <x:v>W1062</x:v>
      </x:c>
      <x:c r="F388" s="7" t="str">
        <x:v>内容から分類（調査者・一次整理）</x:v>
      </x:c>
      <x:c r="G388" s="7" t="str">
        <x:v>周辺要素・実装部品。システム全体のAI／自動動作の確認ではない</x:v>
      </x:c>
      <x:c t="str" r="H388" s="21">
        <x:f>HYPERLINK("#'展示詳細'!A"&amp;MATCH("AC201",'展示詳細'!$A$1:$A$340,0),"AC201")</x:f>
        <x:v>AC201</x:v>
      </x:c>
      <x:c r="I388" s="7" t="str">
        <x:v>2026の具体記述：マシニングセンターなどの既存設備の自働化を促進する工具をはじめ、自動化の阻害要因となる切りくず、バリ、加工不良といった課題に対応する工具を展示します。 / 【ロボット】自働工具交換技術、バリ取りなど</x:v>
      </x:c>
      <x:c r="J388" s="7" t="str">
        <x:v>EEX-EXH-2026-60ce989c04f949c1</x:v>
      </x:c>
      <x:c r="K388" s="7" t="str">
        <x:v>https://www.jimtof.org/search/jp/ESdetails?e=4V4-l4rKNxY</x:v>
      </x:c>
    </x:row>
    <x:row r="389" ht="84" customHeight="1">
      <x:c r="A389" s="7" t="str">
        <x:v>自動化</x:v>
      </x:c>
      <x:c r="B389" s="7" t="str">
        <x:v>3軸CNCスロッター加工機</x:v>
      </x:c>
      <x:c r="C389" s="7" t="str">
        <x:v>山陽マシン株式会社</x:v>
      </x:c>
      <x:c r="D389" s="7" t="str">
        <x:v>3軸CNCスロッター加工機</x:v>
      </x:c>
      <x:c r="E389" s="7" t="str">
        <x:v>S1072</x:v>
      </x:c>
      <x:c r="F389" s="7" t="str">
        <x:v>内容から分類（調査者・一次整理）</x:v>
      </x:c>
      <x:c r="G389" s="7" t="str">
        <x:v>出展説明に基づく一次分類。方式・実装権限・提供段階は個別確認</x:v>
      </x:c>
      <x:c t="str" r="H389" s="21">
        <x:f>HYPERLINK("#'展示詳細'!A"&amp;MATCH("AC091",'展示詳細'!$A$1:$A$340,0),"AC091")</x:f>
        <x:v>AC091</x:v>
      </x:c>
      <x:c r="I389" s="7" t="str">
        <x:v>2026の具体記述：また搬送装置を取り付ける事により自動化も実現することが可能となります / 出展機には協働ロボットを取り付けて自動搬送を実演しております / ストッカー付きロボット搬送装置</x:v>
      </x:c>
      <x:c r="J389" s="7" t="str">
        <x:v>EEX-EXH-2026-98823a900a697909</x:v>
      </x:c>
      <x:c r="K389" s="7" t="str">
        <x:v>https://www.jimtof.org/search/jp/ESdetails?e=mnvwVRInyM8</x:v>
      </x:c>
    </x:row>
    <x:row r="390" ht="84" customHeight="1">
      <x:c r="A390" s="7" t="str">
        <x:v>自動化</x:v>
      </x:c>
      <x:c r="B390" s="7" t="str">
        <x:v>切削液自動希釈、供給装置　クーラントサーバー　楽～ラントICS-3200</x:v>
      </x:c>
      <x:c r="C390" s="7" t="str">
        <x:v>岩本工業株式会社</x:v>
      </x:c>
      <x:c r="D390" s="7" t="str">
        <x:v>切削液自動希釈、供給装置　クーラントサーバー　楽～ラントICS-3200</x:v>
      </x:c>
      <x:c r="E390" s="7" t="str">
        <x:v>S4043</x:v>
      </x:c>
      <x:c r="F390" s="7" t="str">
        <x:v>内容から分類（調査者・一次整理）</x:v>
      </x:c>
      <x:c r="G390" s="7" t="str">
        <x:v>出展説明に基づく一次分類。方式・実装権限・提供段階は個別確認</x:v>
      </x:c>
      <x:c t="str" r="H390" s="21">
        <x:f>HYPERLINK("#'展示詳細'!A"&amp;MATCH("AC023",'展示詳細'!$A$1:$A$340,0),"AC023")</x:f>
        <x:v>AC023</x:v>
      </x:c>
      <x:c r="I390" s="7" t="str">
        <x:v>2026の具体記述：金属加工で使用する水溶性切削液の自動希釈、自動供給のご提案。 / 切削液自動希釈、供給装置　クーラントサーバー　楽～ラントICS-3200 / 楽～ラントは金属加工で使用する水溶性切削液の手作業による補充作業（計量→希釈→機械への運搬→供給）を自動化する装置です。 / 配管をすれば自動化が可能なので、自動化のハードルが一段下がった装置といえます。</x:v>
      </x:c>
      <x:c r="J390" s="7" t="str">
        <x:v>EEX-EXH-2026-f1109e3463dd2ac3</x:v>
      </x:c>
      <x:c r="K390" s="7" t="str">
        <x:v>https://www.jimtof.org/search/jp/ESdetails?e=pOe5ZdiBMpc</x:v>
      </x:c>
    </x:row>
    <x:row r="391" ht="84" customHeight="1">
      <x:c r="A391" s="7" t="str">
        <x:v>自動化</x:v>
      </x:c>
      <x:c r="B391" s="7" t="str">
        <x:v>1）ハームレ C 12 GEN2＋ロボット自動化システム RS 05-2</x:v>
      </x:c>
      <x:c r="C391" s="7" t="str">
        <x:v>愛知産業株式会社</x:v>
      </x:c>
      <x:c r="D391" s="7" t="str">
        <x:v>1）ハームレ C 12 GEN2＋ロボット自動化システム RS 05-2</x:v>
      </x:c>
      <x:c r="E391" s="7" t="str">
        <x:v>E2024</x:v>
      </x:c>
      <x:c r="F391" s="7" t="str">
        <x:v>内容から分類（調査者・一次整理）</x:v>
      </x:c>
      <x:c r="G391" s="7" t="str">
        <x:v>出展説明に基づく一次分類。方式・実装権限・提供段階は個別確認</x:v>
      </x:c>
      <x:c t="str" r="H391" s="21">
        <x:f>HYPERLINK("#'展示詳細'!A"&amp;MATCH("AC001",'展示詳細'!$A$1:$A$340,0),"AC001")</x:f>
        <x:v>AC001</x:v>
      </x:c>
      <x:c r="I391" s="7" t="str">
        <x:v>2026の具体記述：ハームレ社の「C 12 GEN2」と、ロボット自動化システム「RS 05-2」による、省スペース5軸自動加工ラインをご紹介します。 / RS 05-2は設置面積わずか2m²で、6軸ロボットが工作機械・ストレージと連携し、単品ストレージ、引き出しストレージ、パレットストレージなど様々な構成を選択できます。 / 1）ハームレ C 12 GEN2＋ロボット自動化システム RS 05-2 / ドイツ・ハームレ社の5軸マシニングセンタ「C 12 </x:v>
      </x:c>
      <x:c r="J391" s="7" t="str">
        <x:v>EEX-EXH-2026-48e2386f5fc453a1</x:v>
      </x:c>
      <x:c r="K391" s="7" t="str">
        <x:v>https://www.jimtof.org/search/jp/ESdetails?e=Yl0biW0wGYQ</x:v>
      </x:c>
    </x:row>
    <x:row r="392" ht="84" customHeight="1">
      <x:c r="A392" s="7" t="str">
        <x:v>自動化</x:v>
      </x:c>
      <x:c r="B392" s="7" t="str">
        <x:v>各業界における取り組み</x:v>
      </x:c>
      <x:c r="C392" s="7" t="str">
        <x:v>新日本工機株式会社</x:v>
      </x:c>
      <x:c r="D392" s="7" t="str">
        <x:v>各業界における取り組み</x:v>
      </x:c>
      <x:c r="E392" s="7" t="str">
        <x:v>E3001</x:v>
      </x:c>
      <x:c r="F392" s="7" t="str">
        <x:v>内容から分類（調査者・一次整理）</x:v>
      </x:c>
      <x:c r="G392" s="7" t="str">
        <x:v>出展説明に基づく一次分類。方式・実装権限・提供段階は個別確認</x:v>
      </x:c>
      <x:c t="str" r="H392" s="21">
        <x:f>HYPERLINK("#'展示詳細'!A"&amp;MATCH("AC110",'展示詳細'!$A$1:$A$340,0),"AC110")</x:f>
        <x:v>AC110</x:v>
      </x:c>
      <x:c r="I392" s="7" t="str">
        <x:v>2026の具体記述：また、こうした技術をお客様仕様にあわせ、自動化・省人化のノウハウを組み込んだ各種実績や新機種シリーズ「NeoV-MⅡ」「HPS-BⅡ」など、進化・深化するSNK・池貝技術の数々を多彩なコンテンツでご覧いただけます。</x:v>
      </x:c>
      <x:c r="J392" s="7" t="str">
        <x:v>EEX-EXH-2026-f1ea599a0042bc55</x:v>
      </x:c>
      <x:c r="K392" s="7" t="str">
        <x:v>https://www.jimtof.org/search/jp/ESdetails?e=RD73EqDannI</x:v>
      </x:c>
    </x:row>
    <x:row r="393" ht="84" customHeight="1">
      <x:c r="A393" s="7" t="str">
        <x:v>自動化</x:v>
      </x:c>
      <x:c r="B393" s="7" t="str">
        <x:v>デジタル水準器レベルニック</x:v>
      </x:c>
      <x:c r="C393" s="7" t="str">
        <x:v>新潟精機株式会社</x:v>
      </x:c>
      <x:c r="D393" s="7" t="str">
        <x:v>デジタル水準器レベルニック</x:v>
      </x:c>
      <x:c r="E393" s="7" t="str">
        <x:v>E7039</x:v>
      </x:c>
      <x:c r="F393" s="7" t="str">
        <x:v>内容から分類（調査者・一次整理）</x:v>
      </x:c>
      <x:c r="G393" s="7" t="str">
        <x:v>出展説明に基づく一次分類。方式・実装権限・提供段階は個別確認</x:v>
      </x:c>
      <x:c t="str" r="H393" s="21">
        <x:f>HYPERLINK("#'展示詳細'!A"&amp;MATCH("AC162",'展示詳細'!$A$1:$A$340,0),"AC162")</x:f>
        <x:v>AC162</x:v>
      </x:c>
      <x:c r="I393" s="7" t="str">
        <x:v>2026の具体記述：代表製品のデジタル水準器レベルニックをはじめ、振れ測定に最適な偏心度測定システム、内径測定を人による誤差がなく高精度に測定できる精密測定プラグなど、他にも様々な製品を展示いたします。 / ・デジタル水準器レベルニック / ・精密測定プラグを使用した自動測定機</x:v>
      </x:c>
      <x:c r="J393" s="7" t="str">
        <x:v>EEX-EXH-2026-d0e930b11ed6e2f2</x:v>
      </x:c>
      <x:c r="K393" s="7" t="str">
        <x:v>https://www.jimtof.org/search/jp/ESdetails?e=cCEJdVT7Sxk</x:v>
      </x:c>
    </x:row>
    <x:row r="394" ht="84" customHeight="1">
      <x:c r="A394" s="7" t="str">
        <x:v>自動化</x:v>
      </x:c>
      <x:c r="B394" s="7" t="str">
        <x:v>NEW※圧倒的な高速・安定造形を同時に実現 Raise3D T Series 3Dプリンター</x:v>
      </x:c>
      <x:c r="C394" s="7" t="str">
        <x:v>日本3Dプリンター株式会社</x:v>
      </x:c>
      <x:c r="D394" s="7" t="str">
        <x:v>NEW※圧倒的な高速・安定造形を同時に実現 Raise3D T Series 3Dプリンター</x:v>
      </x:c>
      <x:c r="E394" s="7" t="str">
        <x:v>S2014</x:v>
      </x:c>
      <x:c r="F394" s="7" t="str">
        <x:v>内容から分類（調査者・一次整理）</x:v>
      </x:c>
      <x:c r="G394" s="7" t="str">
        <x:v>出展説明に基づく一次分類。方式・実装権限・提供段階は個別確認</x:v>
      </x:c>
      <x:c t="str" r="H394" s="21">
        <x:f>HYPERLINK("#'展示詳細'!A"&amp;MATCH("AC178",'展示詳細'!$A$1:$A$340,0),"AC178")</x:f>
        <x:v>AC178</x:v>
      </x:c>
      <x:c r="I394" s="7" t="str">
        <x:v>2026の具体記述：創業以来13年間、5000社以上の法人様・500以上の教育機関/研究機関に導入いただき、自動車、電気機器、医療、宇宙、航空、製品設計など幅広い業界の実績がございます。 / NEW※圧倒的な高速・安定造形を同時に実現 Raise3D T Series 3Dプリンター / 新世代の主力モデル「Raise3D T450」 / 【完全な無人運転へ】 20以上のセンサーとAIカメラが「ノズルの詰まり」や「造形ミス」を自動検知。 / 大型一体成形を</x:v>
      </x:c>
      <x:c r="J394" s="7" t="str">
        <x:v>EEX-EXH-2026-3e32007d339c5ff7</x:v>
      </x:c>
      <x:c r="K394" s="7" t="str">
        <x:v>https://www.jimtof.org/search/jp/ESdetails?e=ohBDcqo2rI8</x:v>
      </x:c>
    </x:row>
    <x:row r="395" ht="84" customHeight="1">
      <x:c r="A395" s="7" t="str">
        <x:v>自動化</x:v>
      </x:c>
      <x:c r="B395" s="7" t="str">
        <x:v>潤滑・主軸状態管理</x:v>
      </x:c>
      <x:c r="C395" s="7" t="str">
        <x:v>日本エスケイエフ</x:v>
      </x:c>
      <x:c r="D395" s="7" t="str">
        <x:v>Adaptive Lubrication／主軸監視</x:v>
      </x:c>
      <x:c r="E395" s="7" t="str">
        <x:v>S3031</x:v>
      </x:c>
      <x:c r="F395" s="7" t="str">
        <x:v>内容から分類（調査者）</x:v>
      </x:c>
      <x:c r="G395" s="7" t="str">
        <x:v>固定手順・生成・判定・補正等の自動化／支援</x:v>
      </x:c>
      <x:c t="str" r="H395" s="21">
        <x:f>HYPERLINK("#'展示詳細'!A"&amp;MATCH("FC053",'展示詳細'!$A$1:$A$340,0),"FC053")</x:f>
        <x:v>FC053</x:v>
      </x:c>
      <x:c r="I395" s="7" t="str">
        <x:v>人が行っていた処理・作業を機械又はソフトで行う機能に分類。提案の採用や例外対応に人が残るものを含む。</x:v>
      </x:c>
      <x:c r="J395" s="7" t="str">
        <x:v>EOV-V033-2026-1</x:v>
      </x:c>
      <x:c r="K395" s="7" t="str">
        <x:v>https://www.jimtof.org/search/jp/ESdetails?e=h22pEjdpmdU</x:v>
      </x:c>
    </x:row>
    <x:row r="396" ht="84" customHeight="1">
      <x:c r="A396" s="7" t="str">
        <x:v>自動化</x:v>
      </x:c>
      <x:c r="B396" s="7" t="str">
        <x:v>周辺部品・機構</x:v>
      </x:c>
      <x:c r="C396" s="7" t="str">
        <x:v>日本オイルポンプ株式会社</x:v>
      </x:c>
      <x:c r="D396" s="7" t="str">
        <x:v>クーラントタンクユニットTNC</x:v>
      </x:c>
      <x:c r="E396" s="7" t="str">
        <x:v>W2046</x:v>
      </x:c>
      <x:c r="F396" s="7" t="str">
        <x:v>内容から分類（調査者・一次整理）</x:v>
      </x:c>
      <x:c r="G396" s="7" t="str">
        <x:v>周辺要素・実装部品。システム全体のAI／自動動作の確認ではない</x:v>
      </x:c>
      <x:c t="str" r="H396" s="21">
        <x:f>HYPERLINK("#'展示詳細'!A"&amp;MATCH("AC173",'展示詳細'!$A$1:$A$340,0),"AC173")</x:f>
        <x:v>AC173</x:v>
      </x:c>
      <x:c r="I396" s="7" t="str">
        <x:v>2026の具体記述：クーラントタンク及び周辺機器のメンテナンス軽減、生産効率向上、省人化へ提案！ / ■BT30番マシニングセンター専用　全量ろ過機能付きクーラントタンクユニット『TNC』 / スケルトンデモ機による疑似切粉を使用したデモ実演。 / 普段見ることが出来ないクーラントタンク内のスラッジ堆積抑制状況をご覧頂けます。 / ■ろ過機能付きNOPフィルターポンプ『YTH-GCI』 / 疑似切粉を使用したデモ実演。 / 内蔵サイクロンフィルターによるろ</x:v>
      </x:c>
      <x:c r="J396" s="7" t="str">
        <x:v>EEX-EXH-2026-6e7223502c4d3ca8</x:v>
      </x:c>
      <x:c r="K396" s="7" t="str">
        <x:v>https://www.jimtof.org/search/jp/ESdetails?e=fHAxXsO-42I</x:v>
      </x:c>
    </x:row>
    <x:row r="397" ht="84" customHeight="1">
      <x:c r="A397" s="7" t="str">
        <x:v>自動化</x:v>
      </x:c>
      <x:c r="B397" s="7" t="str">
        <x:v>新型の高速サーボプレスを用いた量産のご提案</x:v>
      </x:c>
      <x:c r="C397" s="7" t="str">
        <x:v>日本オートマチックマシン株式会社</x:v>
      </x:c>
      <x:c r="D397" s="7" t="str">
        <x:v>新型の高速サーボプレスを用いた量産のご提案</x:v>
      </x:c>
      <x:c r="E397" s="7" t="str">
        <x:v>W2009</x:v>
      </x:c>
      <x:c r="F397" s="7" t="str">
        <x:v>内容から分類（調査者・一次整理）</x:v>
      </x:c>
      <x:c r="G397" s="7" t="str">
        <x:v>出展説明に基づく一次分類。方式・実装権限・提供段階は個別確認</x:v>
      </x:c>
      <x:c t="str" r="H397" s="21">
        <x:f>HYPERLINK("#'展示詳細'!A"&amp;MATCH("AC174",'展示詳細'!$A$1:$A$340,0),"AC174")</x:f>
        <x:v>AC174</x:v>
      </x:c>
      <x:c r="I397" s="7" t="str">
        <x:v>2026の具体記述：最新のサーボプレスおよび油圧プレスを活用した自動化・省人化ソリューションをご提案します。 / さらに、刃の自動送り機構を搭載した新しい面取機を展示し、面取り作業の効率化や品質の安定化を実現する最新技術をご紹介します。 / ・新型の精密サーボプレスを用いた自動化のご提案 / ・油圧プレスと産業ロボットを用いた自動化のご提案</x:v>
      </x:c>
      <x:c r="J397" s="7" t="str">
        <x:v>EEX-EXH-2026-720ee83a35850033</x:v>
      </x:c>
      <x:c r="K397" s="7" t="str">
        <x:v>https://www.jimtof.org/search/jp/ESdetails?e=sGohRmZeceo</x:v>
      </x:c>
    </x:row>
    <x:row r="398" ht="84" customHeight="1">
      <x:c r="A398" s="7" t="str">
        <x:v>自動化</x:v>
      </x:c>
      <x:c r="B398" s="7" t="str">
        <x:v>【水晶圧電式ワイヤレス回転式動力計9171B】</x:v>
      </x:c>
      <x:c r="C398" s="7" t="str">
        <x:v>日本キスラー合同会社</x:v>
      </x:c>
      <x:c r="D398" s="7" t="str">
        <x:v>【水晶圧電式ワイヤレス回転式動力計9171B】</x:v>
      </x:c>
      <x:c r="E398" s="7" t="str">
        <x:v>S4031</x:v>
      </x:c>
      <x:c r="F398" s="7" t="str">
        <x:v>内容から分類（調査者・一次整理）</x:v>
      </x:c>
      <x:c r="G398" s="7" t="str">
        <x:v>出展説明に基づく一次分類。方式・実装権限・提供段階は個別確認</x:v>
      </x:c>
      <x:c t="str" r="H398" s="21">
        <x:f>HYPERLINK("#'展示詳細'!A"&amp;MATCH("AC175",'展示詳細'!$A$1:$A$340,0),"AC175")</x:f>
        <x:v>AC175</x:v>
      </x:c>
      <x:c r="I398" s="7" t="str">
        <x:v>2026の具体記述：タレット旋盤、多軸加工機、ロボット、組立ラインなどの稼働構造部での連続的な測定を実現します。 / ・自動分析ソフトウェア（Piezo Tool System）</x:v>
      </x:c>
      <x:c r="J398" s="7" t="str">
        <x:v>EEX-EXH-2026-e0340858cb52d52f</x:v>
      </x:c>
      <x:c r="K398" s="7" t="str">
        <x:v>https://www.jimtof.org/search/jp/ESdetails?e=7Gt1ylw_a8s</x:v>
      </x:c>
    </x:row>
    <x:row r="399" ht="84" customHeight="1">
      <x:c r="A399" s="7" t="str">
        <x:v>自動化</x:v>
      </x:c>
      <x:c r="B399" s="7" t="str">
        <x:v>エアロラップ、レーザークリーニング装置</x:v>
      </x:c>
      <x:c r="C399" s="7" t="str">
        <x:v>日本スピードショア株式会社</x:v>
      </x:c>
      <x:c r="D399" s="7" t="str">
        <x:v>エアロラップ、レーザークリーニング装置</x:v>
      </x:c>
      <x:c r="E399" s="7" t="str">
        <x:v>E1065</x:v>
      </x:c>
      <x:c r="F399" s="7" t="str">
        <x:v>内容から分類（調査者・一次整理）</x:v>
      </x:c>
      <x:c r="G399" s="7" t="str">
        <x:v>出展説明に基づく一次分類。方式・実装権限・提供段階は個別確認</x:v>
      </x:c>
      <x:c t="str" r="H399" s="21">
        <x:f>HYPERLINK("#'展示詳細'!A"&amp;MATCH("AC177",'展示詳細'!$A$1:$A$340,0),"AC177")</x:f>
        <x:v>AC177</x:v>
      </x:c>
      <x:c r="I399" s="7" t="str">
        <x:v>2026の具体記述：また、汎用機の他に協働ロボット仕様の稼働展示も行います。</x:v>
      </x:c>
      <x:c r="J399" s="7" t="str">
        <x:v>EEX-EXH-2026-89d5c82f4efcbe2c</x:v>
      </x:c>
      <x:c r="K399" s="7" t="str">
        <x:v>https://www.jimtof.org/search/jp/ESdetails?e=MoNymoTMXc4</x:v>
      </x:c>
    </x:row>
    <x:row r="400" ht="84" customHeight="1">
      <x:c r="A400" s="7" t="str">
        <x:v>自動化</x:v>
      </x:c>
      <x:c r="B400" s="7" t="str">
        <x:v>静圧センタレスグラインダー：LSG-20（ロボットローダー仕様）</x:v>
      </x:c>
      <x:c r="C400" s="7" t="str">
        <x:v>日本精機株式会社</x:v>
      </x:c>
      <x:c r="D400" s="7" t="str">
        <x:v>静圧センタレスグラインダー：LSG-20（ロボットローダー仕様）</x:v>
      </x:c>
      <x:c r="E400" s="7" t="str">
        <x:v>E7092</x:v>
      </x:c>
      <x:c r="F400" s="7" t="str">
        <x:v>内容から分類（調査者・一次整理）</x:v>
      </x:c>
      <x:c r="G400" s="7" t="str">
        <x:v>出展説明に基づく一次分類。方式・実装権限・提供段階は個別確認</x:v>
      </x:c>
      <x:c t="str" r="H400" s="21">
        <x:f>HYPERLINK("#'展示詳細'!A"&amp;MATCH("AC179",'展示詳細'!$A$1:$A$340,0),"AC179")</x:f>
        <x:v>AC179</x:v>
      </x:c>
      <x:c r="I400" s="7" t="str">
        <x:v>2026の具体記述：機械精度・剛性・操作性といった機械本体の性能面向上だけでなく、自動化・省力化にも積極的に取り組み、出展機にはCNC装置やオートローダーを搭載して展示します。 / ●静圧センタレスグラインダー：LSG-20（ロボットローダー仕様） / 出展機は3軸CNC搭載型で、ロボット付きオートローダーが付属しております。 / 複雑な形状のワークを全自動でインフィード研削することができます。</x:v>
      </x:c>
      <x:c r="J400" s="7" t="str">
        <x:v>EEX-EXH-2026-e68d8c12e3395528</x:v>
      </x:c>
      <x:c r="K400" s="7" t="str">
        <x:v>https://www.jimtof.org/search/jp/ESdetails?e=Qva663phrKY</x:v>
      </x:c>
    </x:row>
    <x:row r="401" ht="84" customHeight="1">
      <x:c r="A401" s="7" t="str">
        <x:v>自動化</x:v>
      </x:c>
      <x:c r="B401" s="7" t="str">
        <x:v>外観検査</x:v>
      </x:c>
      <x:c r="C401" s="7" t="str">
        <x:v>日東商事</x:v>
      </x:c>
      <x:c r="D401" s="7" t="str">
        <x:v>HACARUS Check：協働ロボット多面検査</x:v>
      </x:c>
      <x:c r="E401" s="7" t="str">
        <x:v>S1031</x:v>
      </x:c>
      <x:c r="F401" s="7" t="str">
        <x:v>内容から分類（調査者）</x:v>
      </x:c>
      <x:c r="G401" s="7" t="str">
        <x:v>固定手順・生成・判定・補正等の自動化／支援</x:v>
      </x:c>
      <x:c t="str" r="H401" s="21">
        <x:f>HYPERLINK("#'展示詳細'!A"&amp;MATCH("FC037",'展示詳細'!$A$1:$A$340,0),"FC037")</x:f>
        <x:v>FC037</x:v>
      </x:c>
      <x:c r="I401" s="7" t="str">
        <x:v>人が行っていた処理・作業を機械又はソフトで行う機能に分類。提案の採用や例外対応に人が残るものを含む。</x:v>
      </x:c>
      <x:c r="J401" s="7" t="str">
        <x:v>EOV-V022-2026-1</x:v>
      </x:c>
      <x:c r="K401" s="7" t="str">
        <x:v>https://www.jimtof.org/search/jp/ESdetails?e=GozGZRxlviw</x:v>
      </x:c>
    </x:row>
    <x:row r="402" ht="84" customHeight="1">
      <x:c r="A402" s="7" t="str">
        <x:v>自動化</x:v>
      </x:c>
      <x:c r="B402" s="7" t="str">
        <x:v>周辺部品・機構</x:v>
      </x:c>
      <x:c r="C402" s="7" t="str">
        <x:v>日東工器株式会社</x:v>
      </x:c>
      <x:c r="D402" s="7" t="str">
        <x:v>迅速流体継手（カプラ）、省力化機械工具、電動ねじ締めドライバ（デルボ）、リニア駆動ポンプとその応用製品、建築機器（ドアクローザ）</x:v>
      </x:c>
      <x:c r="E402" s="7" t="str">
        <x:v>W4049</x:v>
      </x:c>
      <x:c r="F402" s="7" t="str">
        <x:v>内容から分類（調査者・一次整理）</x:v>
      </x:c>
      <x:c r="G402" s="7" t="str">
        <x:v>周辺要素・実装部品。システム全体のAI／自動動作の確認ではない</x:v>
      </x:c>
      <x:c t="str" r="H402" s="21">
        <x:f>HYPERLINK("#'展示詳細'!A"&amp;MATCH("AC169",'展示詳細'!$A$1:$A$340,0),"AC169")</x:f>
        <x:v>AC169</x:v>
      </x:c>
      <x:c r="I402" s="7" t="str">
        <x:v>2026の具体記述：一回の操作で複数配管を同時に接続するマルチカプラをはじめ、回転する2色の羽根で冷却水の流れを目視で確認できるフローモニター、各種産業機器への組込み用として最適な真空ポンプ、切削液回収作業の省人化・省力化が可能な切削液回収装置、ロボットに確実に固定可能な自動機対応エアツールシリーズ、強力バッテリとブラシレスモータを搭載したコードレスタイプの手持ち工具、外部起動が可能な電動ドライバシリーズなどを展示します。</x:v>
      </x:c>
      <x:c r="J402" s="7" t="str">
        <x:v>EEX-EXH-2026-21553e90028cfc5e</x:v>
      </x:c>
      <x:c r="K402" s="7" t="str">
        <x:v>https://www.jimtof.org/search/jp/ESdetails?e=q1qxgLFfjjo</x:v>
      </x:c>
    </x:row>
    <x:row r="403" ht="84" customHeight="1">
      <x:c r="A403" s="7" t="str">
        <x:v>自動化</x:v>
      </x:c>
      <x:c r="B403" s="7" t="str">
        <x:v>ラジアルボール盤　NR-1600NCF</x:v>
      </x:c>
      <x:c r="C403" s="7" t="str">
        <x:v>日藤ポリゴン株式会社</x:v>
      </x:c>
      <x:c r="D403" s="7" t="str">
        <x:v>ラジアルボール盤　NR-1600NCF</x:v>
      </x:c>
      <x:c r="E403" s="7" t="str">
        <x:v>S2006</x:v>
      </x:c>
      <x:c r="F403" s="7" t="str">
        <x:v>内容から分類（調査者・一次整理）</x:v>
      </x:c>
      <x:c r="G403" s="7" t="str">
        <x:v>出展説明に基づく一次分類。方式・実装権限・提供段階は個別確認</x:v>
      </x:c>
      <x:c t="str" r="H403" s="21">
        <x:f>HYPERLINK("#'展示詳細'!A"&amp;MATCH("AC170",'展示詳細'!$A$1:$A$340,0),"AC170")</x:f>
        <x:v>AC170</x:v>
      </x:c>
      <x:c r="I403" s="7" t="str">
        <x:v>2026の具体記述：本機は、自動加工、自動バック座ぐり加工、自動断続加工が可能で、長時間の加工においても作業者の負担を軽減できる仕様となっております。 / ラジアルボール盤の加工でお困りの方や、自動化をご検討の方は、ぜひこの機会に実機の稼働をご覧ください。</x:v>
      </x:c>
      <x:c r="J403" s="7" t="str">
        <x:v>EEX-EXH-2026-c1d919f8942e67c7</x:v>
      </x:c>
      <x:c r="K403" s="7" t="str">
        <x:v>https://www.jimtof.org/search/jp/ESdetails?e=CnCZJeqDIuw</x:v>
      </x:c>
    </x:row>
    <x:row r="404" ht="84" customHeight="1">
      <x:c r="A404" s="7" t="str">
        <x:v>自動化</x:v>
      </x:c>
      <x:c r="B404" s="7" t="str">
        <x:v>周辺部品・機構</x:v>
      </x:c>
      <x:c r="C404" s="7" t="str">
        <x:v>有限会社デュブリン・ジャパン・リミテッド</x:v>
      </x:c>
      <x:c r="D404" s="7" t="str">
        <x:v>工作機械向けロータリーユニオンおよび産業用スリップリングの最新技術を展示します。</x:v>
      </x:c>
      <x:c r="E404" s="7" t="str">
        <x:v>WA024</x:v>
      </x:c>
      <x:c r="F404" s="7" t="str">
        <x:v>内容から分類（調査者・一次整理）</x:v>
      </x:c>
      <x:c r="G404" s="7" t="str">
        <x:v>周辺要素・実装部品。システム全体のAI／自動動作の確認ではない</x:v>
      </x:c>
      <x:c t="str" r="H404" s="21">
        <x:f>HYPERLINK("#'展示詳細'!A"&amp;MATCH("AC145",'展示詳細'!$A$1:$A$340,0),"AC145")</x:f>
        <x:v>AC145</x:v>
      </x:c>
      <x:c r="I404" s="7" t="str">
        <x:v>2026の具体記述：使用する流体を自動的に感知し、最適なシール状態へ切り替える独自技術です。 / 工作機械、自動化設備、ロボット、回転テーブルなど幅広い用途に対応します。 / スリップリングでは、電力・信号・産業用ネットワーク・高速データ通信に対応した各種製品を展示し、自動化設備や回転機器における安定したデータ伝送ソリューションをご提案します。</x:v>
      </x:c>
      <x:c r="J404" s="7" t="str">
        <x:v>EEX-EXH-2026-c9f3df91b8488aae</x:v>
      </x:c>
      <x:c r="K404" s="7" t="str">
        <x:v>https://www.jimtof.org/search/jp/ESdetails?e=PjO1_W-zmqI</x:v>
      </x:c>
    </x:row>
    <x:row r="405" ht="84" customHeight="1">
      <x:c r="A405" s="7" t="str">
        <x:v>自動化</x:v>
      </x:c>
      <x:c r="B405" s="7" t="str">
        <x:v>【NEW】大型・重量ワークの自動化</x:v>
      </x:c>
      <x:c r="C405" s="7" t="str">
        <x:v>村田機械株式会社</x:v>
      </x:c>
      <x:c r="D405" s="7" t="str">
        <x:v>【NEW】大型・重量ワークの自動化</x:v>
      </x:c>
      <x:c r="E405" s="7" t="str">
        <x:v>E3031</x:v>
      </x:c>
      <x:c r="F405" s="7" t="str">
        <x:v>内容から分類（調査者・一次整理）</x:v>
      </x:c>
      <x:c r="G405" s="7" t="str">
        <x:v>出展説明に基づく一次分類。方式・実装権限・提供段階は個別確認</x:v>
      </x:c>
      <x:c t="str" r="H405" s="21">
        <x:f>HYPERLINK("#'展示詳細'!A"&amp;MATCH("AC224",'展示詳細'!$A$1:$A$340,0),"AC224")</x:f>
        <x:v>AC224</x:v>
      </x:c>
      <x:c r="I405" s="7" t="str">
        <x:v>2026の具体記述：製造業における人手不足や技能継承の課題を背景に、省人化・自動化へのニーズはますます高まっています。 / ムラテックでは、長年培ってきた自動化システムの実績とノウハウを活かし、生産現場に合わせた最適な自動化をご提案します。 / 今回の出展では、ガントリーローダによる大型・重量ワーク搬送の自動化を実現する立型CNCターニングセンタ「MVH600」や、 / これから自動化を始めるお客様に向け、導入しやすい自動化仕様をワンパッケージ化した「MS</x:v>
      </x:c>
      <x:c r="J405" s="7" t="str">
        <x:v>EEX-EXH-2026-8add052d1108d4ea</x:v>
      </x:c>
      <x:c r="K405" s="7" t="str">
        <x:v>https://www.jimtof.org/search/jp/ESdetails?e=Jc5GYaUqS1I</x:v>
      </x:c>
    </x:row>
    <x:row r="406" ht="84" customHeight="1">
      <x:c r="A406" s="7" t="str">
        <x:v>自動化</x:v>
      </x:c>
      <x:c r="B406" s="7" t="str">
        <x:v>3D形状認識・教示不要の面取り／皿もみ</x:v>
      </x:c>
      <x:c r="C406" s="7" t="str">
        <x:v>東京エレクトロンデバイス株式会社</x:v>
      </x:c>
      <x:c r="D406" s="7" t="str">
        <x:v>3D形状認識・教示不要の面取り／皿もみ</x:v>
      </x:c>
      <x:c r="E406" s="7" t="str">
        <x:v>E7073</x:v>
      </x:c>
      <x:c r="F406" s="7" t="str">
        <x:v>内容から分類（調査者・一次整理）</x:v>
      </x:c>
      <x:c r="G406" s="7" t="str">
        <x:v>出展説明に基づく一次分類。方式・実装権限・提供段階は個別確認</x:v>
      </x:c>
      <x:c t="str" r="H406" s="21">
        <x:f>HYPERLINK("#'展示詳細'!A"&amp;MATCH("AC146",'展示詳細'!$A$1:$A$340,0),"AC146")</x:f>
        <x:v>AC146</x:v>
      </x:c>
      <x:c r="I406" s="7" t="str">
        <x:v>2026の具体記述：実機によるティーチングレス自動面取り・皿もみ・バリ取り加工のデモンストレーションを実施します。 / ビジョンローダーから供給された未ティーチングの不定形ワークをレーザースキャンで瞬時に認識し、加工プログラムを自動生成。 / ロボットティーチングを行うことなく、自動で面取り・皿もみ加工を実現します。 / 従来は熟練作業者や事前ティーチングが必要だった工程を、3D画像処理技術により完全自動化した様子を実機でご覧いただけます。 / ティーチン</x:v>
      </x:c>
      <x:c r="J406" s="7" t="str">
        <x:v>EEX-EXH-2026-8c08de1ffed47316
EEX-WTED</x:v>
      </x:c>
      <x:c r="K406" s="7" t="str">
        <x:v>https://www.jimtof.org/search/jp/ESdetails?e=c4cChQniAm8
https://www.inrevium.com/news-event/event/p7331/</x:v>
      </x:c>
    </x:row>
    <x:row r="407" ht="84" customHeight="1">
      <x:c r="A407" s="7" t="str">
        <x:v>自動化</x:v>
      </x:c>
      <x:c r="B407" s="7" t="str">
        <x:v>【出展物】</x:v>
      </x:c>
      <x:c r="C407" s="7" t="str">
        <x:v>東京貿易テクノシステム株式会社</x:v>
      </x:c>
      <x:c r="D407" s="7" t="str">
        <x:v>【出展物】</x:v>
      </x:c>
      <x:c r="E407" s="7" t="str">
        <x:v>E7038</x:v>
      </x:c>
      <x:c r="F407" s="7" t="str">
        <x:v>内容から分類（調査者・一次整理）</x:v>
      </x:c>
      <x:c r="G407" s="7" t="str">
        <x:v>出展説明に基づく一次分類。方式・実装権限・提供段階は個別確認</x:v>
      </x:c>
      <x:c t="str" r="H407" s="21">
        <x:f>HYPERLINK("#'展示詳細'!A"&amp;MATCH("AC148",'展示詳細'!$A$1:$A$340,0),"AC148")</x:f>
        <x:v>AC148</x:v>
      </x:c>
      <x:c r="I407" s="7" t="str">
        <x:v>2026の具体記述：❷モバイル自動計測 システム名：Absolute Arm+Cobot / ❷品質保証DX システム名：Leica Absolute Tracker、Absolute Arm、門型三次元測定機他</x:v>
      </x:c>
      <x:c r="J407" s="7" t="str">
        <x:v>EEX-EXH-2026-d7b599b5d3045611</x:v>
      </x:c>
      <x:c r="K407" s="7" t="str">
        <x:v>https://www.jimtof.org/search/jp/ESdetails?e=q65eJorv2LU</x:v>
      </x:c>
    </x:row>
    <x:row r="408" ht="84" customHeight="1">
      <x:c r="A408" s="7" t="str">
        <x:v>自動化</x:v>
      </x:c>
      <x:c r="B408" s="7" t="str">
        <x:v>中小企業向け無人化自動システム</x:v>
      </x:c>
      <x:c r="C408" s="7" t="str">
        <x:v>東洋精機工業株式会社</x:v>
      </x:c>
      <x:c r="D408" s="7" t="str">
        <x:v>中小企業向け無人化自動システム</x:v>
      </x:c>
      <x:c r="E408" s="7" t="str">
        <x:v>E3019</x:v>
      </x:c>
      <x:c r="F408" s="7" t="str">
        <x:v>内容から分類（調査者・一次整理）</x:v>
      </x:c>
      <x:c r="G408" s="7" t="str">
        <x:v>出展説明に基づく一次分類。方式・実装権限・提供段階は個別確認</x:v>
      </x:c>
      <x:c t="str" r="H408" s="21">
        <x:f>HYPERLINK("#'展示詳細'!A"&amp;MATCH("AC151",'展示詳細'!$A$1:$A$340,0),"AC151")</x:f>
        <x:v>AC151</x:v>
      </x:c>
      <x:c r="I408" s="7" t="str">
        <x:v>2026の具体記述：中小企業をターゲットにした、自動段取り替えによる多品種少量生産の無人運転システムをメインに / NCインデックスによる多面加工治具を交換式にして2種類のワークをロボットで段取り替え / 自社製の測定器と洗浄機で加工後のワーク洗浄から精度測定まで自動で行います。 / 2個同時加工ができ、横形40番タイプのTHMC420は自動搬送に対応します。 / 弊社は加工機だけでなく、付帯装置も含めたセットアップメーカーとして自動化・省力化の提案を /</x:v>
      </x:c>
      <x:c r="J408" s="7" t="str">
        <x:v>EEX-EXH-2026-0edd272934baf18c</x:v>
      </x:c>
      <x:c r="K408" s="7" t="str">
        <x:v>https://www.jimtof.org/search/jp/ESdetails?e=4IGD6jExai0</x:v>
      </x:c>
    </x:row>
    <x:row r="409" ht="84" customHeight="1">
      <x:c r="A409" s="7" t="str">
        <x:v>自動化</x:v>
      </x:c>
      <x:c r="B409" s="7" t="str">
        <x:v>Smart Terrace Adv／爪・CAPTO工具の交換</x:v>
      </x:c>
      <x:c r="C409" s="7" t="str">
        <x:v>松本機械工業株式会社</x:v>
      </x:c>
      <x:c r="D409" s="7" t="str">
        <x:v>Smart Terrace Adv／爪・CAPTO工具の交換</x:v>
      </x:c>
      <x:c r="E409" s="7" t="str">
        <x:v>W2070</x:v>
      </x:c>
      <x:c r="F409" s="7" t="str">
        <x:v>内容から分類（調査者・一次整理）</x:v>
      </x:c>
      <x:c r="G409" s="7" t="str">
        <x:v>出展説明に基づく一次分類。方式・実装権限・提供段階は個別確認</x:v>
      </x:c>
      <x:c t="str" r="H409" s="21">
        <x:f>HYPERLINK("#'展示詳細'!A"&amp;MATCH("AC214",'展示詳細'!$A$1:$A$340,0),"AC214")</x:f>
        <x:v>AC214</x:v>
      </x:c>
      <x:c r="I409" s="7" t="str">
        <x:v>2026の具体記述：導入しやすい価格帯で自動化を実現する新製品「Smart Terrace Adv」を展示。 / 既存の工作機械への後付けにも対応し、段取り・ワーク交換の自動化と生産性向上をサポートします。 / 見どころ② チャック爪交換の自動化 / Smart Terrace AIOと「HQJCクイックジョーチェンジチャック」を組み合わせ、旋削加工におけるチャック爪交換を自動化。 / 見どころ③ CAPTOツール交換の自動化 / 加工内容に応じたCAPT</x:v>
      </x:c>
      <x:c r="J409" s="7" t="str">
        <x:v>EEX-EXH-2026-0daa587f8abf6076
EDP-26
EDP-27
EDP-28</x:v>
      </x:c>
      <x:c r="K409" s="7" t="str">
        <x:v>https://www.jimtof.org/search/jp/ESdetails?e=bhpEIIjKNb4
https://mmkchuck.com/product/7218/
https://mmkchuck.com/news/2024/5903/
https://mmkchuck.com/news/2026/7380/</x:v>
      </x:c>
    </x:row>
    <x:row r="410" ht="84" customHeight="1">
      <x:c r="A410" s="7" t="str">
        <x:v>自動化</x:v>
      </x:c>
      <x:c r="B410" s="7" t="str">
        <x:v>パレット供給</x:v>
      </x:c>
      <x:c r="C410" s="7" t="str">
        <x:v>松浦機械製作所</x:v>
      </x:c>
      <x:c r="D410" s="7" t="str">
        <x:v>5軸＋マルチパレット／MiOS</x:v>
      </x:c>
      <x:c r="E410" s="7" t="str">
        <x:v>E3030</x:v>
      </x:c>
      <x:c r="F410" s="7" t="str">
        <x:v>内容から分類（調査者）</x:v>
      </x:c>
      <x:c r="G410" s="7" t="str">
        <x:v>固定手順・生成・判定・補正等の自動化／支援</x:v>
      </x:c>
      <x:c t="str" r="H410" s="21">
        <x:f>HYPERLINK("#'展示詳細'!A"&amp;MATCH("FC047",'展示詳細'!$A$1:$A$340,0),"FC047")</x:f>
        <x:v>FC047</x:v>
      </x:c>
      <x:c r="I410" s="7" t="str">
        <x:v>人が行っていた処理・作業を機械又はソフトで行う機能に分類。提案の採用や例外対応に人が残るものを含む。</x:v>
      </x:c>
      <x:c r="J410" s="7" t="str">
        <x:v>EOV-V028-2026-1</x:v>
      </x:c>
      <x:c r="K410" s="7" t="str">
        <x:v>https://www.jimtof.org/search/jp/ESdetails?e=K_X61J2xV_w</x:v>
      </x:c>
    </x:row>
    <x:row r="411" ht="84" customHeight="1">
      <x:c r="A411" s="7" t="str">
        <x:v>自動化</x:v>
      </x:c>
      <x:c r="B411" s="7" t="str">
        <x:v>FeRrobotics・自動バリ取り機用ホイール(ストレートクラゲ・スリットクラゲ)・楽斬・ベベルグレート・コードレスフラップサンダー・バリキレブラシ</x:v>
      </x:c>
      <x:c r="C411" s="7" t="str">
        <x:v>柳瀬株式会社</x:v>
      </x:c>
      <x:c r="D411" s="7" t="str">
        <x:v>FeRrobotics・自動バリ取り機用ホイール(ストレートクラゲ・スリットクラゲ)・楽斬・ベベルグレート・コードレスフラップサンダー・バリキレブラシ</x:v>
      </x:c>
      <x:c r="E411" s="7" t="str">
        <x:v>W4041</x:v>
      </x:c>
      <x:c r="F411" s="7" t="str">
        <x:v>内容から分類（調査者・一次整理）</x:v>
      </x:c>
      <x:c r="G411" s="7" t="str">
        <x:v>出展説明に基づく一次分類。方式・実装権限・提供段階は個別確認</x:v>
      </x:c>
      <x:c t="str" r="H411" s="21">
        <x:f>HYPERLINK("#'展示詳細'!A"&amp;MATCH("AC230",'展示詳細'!$A$1:$A$340,0),"AC230")</x:f>
        <x:v>AC230</x:v>
      </x:c>
      <x:c r="I411" s="7" t="str">
        <x:v>2026の具体記述：柳瀬の研磨ロボットは、オーストリア・ＦＥＲＲＯＢＯＴＩＣＳ社製のエンドエフェクタを日本代理店として取り扱いし、自動化提案している。 / 一定の押し付け圧を保持して研磨作業を自動化でき、ワークの段差や砥石摩耗に対しても約４ミリ秒で高速追従する。 / エンドエフェクタが軽量なため、可搬重量の小さい協働ロボットへの搭載が可能。 / FeRrobotics・自動バリ取り機用ホイール(ストレートクラゲ・スリットクラゲ)・楽斬・ベベルグレート・コー</x:v>
      </x:c>
      <x:c r="J411" s="7" t="str">
        <x:v>EEX-EXH-2026-2c9090a62c406e00</x:v>
      </x:c>
      <x:c r="K411" s="7" t="str">
        <x:v>https://www.jimtof.org/search/jp/ESdetails?e=VB1iAf4ngXo</x:v>
      </x:c>
    </x:row>
    <x:row r="412" ht="84" customHeight="1">
      <x:c r="A412" s="7" t="str">
        <x:v>自動化</x:v>
      </x:c>
      <x:c r="B412" s="7" t="str">
        <x:v>CAD/CAMシステム</x:v>
      </x:c>
      <x:c r="C412" s="7" t="str">
        <x:v>株式会社Aiソリューションズ</x:v>
      </x:c>
      <x:c r="D412" s="7" t="str">
        <x:v>CAD/CAMシステム</x:v>
      </x:c>
      <x:c r="E412" s="7" t="str">
        <x:v>S4011</x:v>
      </x:c>
      <x:c r="F412" s="7" t="str">
        <x:v>内容から分類（調査者・一次整理）</x:v>
      </x:c>
      <x:c r="G412" s="7" t="str">
        <x:v>出展説明に基づく一次分類。方式・実装権限・提供段階は個別確認</x:v>
      </x:c>
      <x:c t="str" r="H412" s="21">
        <x:f>HYPERLINK("#'展示詳細'!A"&amp;MATCH("AC031",'展示詳細'!$A$1:$A$340,0),"AC031")</x:f>
        <x:v>AC031</x:v>
      </x:c>
      <x:c r="I412" s="7" t="str">
        <x:v>2026の具体記述：最新のCAD/CAM・NCシミュレーションソリューション「hyperMILL」「Mastercam」「OneCNC」「Vericut」を実演展示いたします。 / 5軸加工の高度化、自動プログラミングによる工数削減、複合加工機への対応、加工前検証による品質向上など、製造現場のさまざまな課題に対応する最新ソリューションをご紹介します。 / 特に高機能5軸CAD/CAMシステム「hyperMILL」では、NCコードベースシミュレーション「VI</x:v>
      </x:c>
      <x:c r="J412" s="7" t="str">
        <x:v>EEX-EXH-2026-9109f51b0514db5c</x:v>
      </x:c>
      <x:c r="K412" s="7" t="str">
        <x:v>https://www.jimtof.org/search/jp/ESdetails?e=DiSAGV9x7AM</x:v>
      </x:c>
    </x:row>
    <x:row r="413" ht="84" customHeight="1">
      <x:c r="A413" s="7" t="str">
        <x:v>自動化</x:v>
      </x:c>
      <x:c r="B413" s="7" t="str">
        <x:v>無線デジタル精密水準器 LevelMan ADL-T5</x:v>
      </x:c>
      <x:c r="C413" s="7" t="str">
        <x:v>株式会社Any Design</x:v>
      </x:c>
      <x:c r="D413" s="7" t="str">
        <x:v>無線デジタル精密水準器 LevelMan ADL-T5</x:v>
      </x:c>
      <x:c r="E413" s="7" t="str">
        <x:v>S4033</x:v>
      </x:c>
      <x:c r="F413" s="7" t="str">
        <x:v>内容から分類（調査者・一次整理）</x:v>
      </x:c>
      <x:c r="G413" s="7" t="str">
        <x:v>出展説明に基づく一次分類。方式・実装権限・提供段階は個別確認</x:v>
      </x:c>
      <x:c t="str" r="H413" s="21">
        <x:f>HYPERLINK("#'展示詳細'!A"&amp;MATCH("AC036",'展示詳細'!$A$1:$A$340,0),"AC036")</x:f>
        <x:v>AC036</x:v>
      </x:c>
      <x:c r="I413" s="7" t="str">
        <x:v>2026の具体記述：「AdjustMan」は、LevelManの多点測定データを基に重量物のレベル調整を全自動化。 / 「CalibMan」は、水準器の校正を全自動化し、自社での校正を実現します。 / ・無線デジタル精密水準器 LevelMan ADL-T5 / ・無線デジタル水準器 LevelMan ADL-G / ・全自動・水準器構成装置 CalibMan / ・全自動レベル調整システム AdjsutMan（1トン、3トン耐荷重モデルが登場）</x:v>
      </x:c>
      <x:c r="J413" s="7" t="str">
        <x:v>EEX-EXH-2026-6059dd307931eaee</x:v>
      </x:c>
      <x:c r="K413" s="7" t="str">
        <x:v>https://www.jimtof.org/search/jp/ESdetails?e=IR4kvy0h_O4</x:v>
      </x:c>
    </x:row>
    <x:row r="414" ht="84" customHeight="1">
      <x:c r="A414" s="7" t="str">
        <x:v>自動化</x:v>
      </x:c>
      <x:c r="B414" s="7" t="str">
        <x:v>《　主な出展内容　》</x:v>
      </x:c>
      <x:c r="C414" s="7" t="str">
        <x:v>株式会社C＆Gシステムズ</x:v>
      </x:c>
      <x:c r="D414" s="7" t="str">
        <x:v>《　主な出展内容　》</x:v>
      </x:c>
      <x:c r="E414" s="7" t="str">
        <x:v>E2008</x:v>
      </x:c>
      <x:c r="F414" s="7" t="str">
        <x:v>内容から分類（調査者・一次整理）</x:v>
      </x:c>
      <x:c r="G414" s="7" t="str">
        <x:v>出展説明に基づく一次分類。方式・実装権限・提供段階は個別確認</x:v>
      </x:c>
      <x:c t="str" r="H414" s="21">
        <x:f>HYPERLINK("#'展示詳細'!A"&amp;MATCH("AC095",'展示詳細'!$A$1:$A$340,0),"AC095")</x:f>
        <x:v>AC095</x:v>
      </x:c>
      <x:c r="I414" s="7" t="str">
        <x:v>2026の具体記述：「自動化・省力化・多様化・周辺機器との親和性」をテーマに、昨今のキーワード（AI・DX）から弊社の最新技術を様々な事例（加工サンプルなど）を通じてご紹介させていたく他、次期バージョン情報をいち早くお届けします。 / ● CAD/CAM システム、生産管理システムの展示 / ● CAD/CAM 関連 / CAM-TOOL／EXCESS-HYBRIDⅡ／PartsCAM／CG Series for SOLIDWORKS（アドオン） / CA</x:v>
      </x:c>
      <x:c r="J414" s="7" t="str">
        <x:v>EEX-EXH-2026-8d7ad5c62f3412a9</x:v>
      </x:c>
      <x:c r="K414" s="7" t="str">
        <x:v>https://www.jimtof.org/search/jp/ESdetails?e=U_kHbhLD6rU</x:v>
      </x:c>
    </x:row>
    <x:row r="415" ht="84" customHeight="1">
      <x:c r="A415" s="7" t="str">
        <x:v>自動化</x:v>
      </x:c>
      <x:c r="B415" s="7" t="str">
        <x:v>立型NC旋盤　「VN40」</x:v>
      </x:c>
      <x:c r="C415" s="7" t="str">
        <x:v>株式会社FUJI</x:v>
      </x:c>
      <x:c r="D415" s="7" t="str">
        <x:v>立型NC旋盤　「VN40」</x:v>
      </x:c>
      <x:c r="E415" s="7" t="str">
        <x:v>E3021</x:v>
      </x:c>
      <x:c r="F415" s="7" t="str">
        <x:v>内容から分類（調査者・一次整理）</x:v>
      </x:c>
      <x:c r="G415" s="7" t="str">
        <x:v>出展説明に基づく一次分類。方式・実装権限・提供段階は個別確認</x:v>
      </x:c>
      <x:c t="str" r="H415" s="21">
        <x:f>HYPERLINK("#'展示詳細'!A"&amp;MATCH("AC198",'展示詳細'!$A$1:$A$340,0),"AC198")</x:f>
        <x:v>AC198</x:v>
      </x:c>
      <x:c r="I415" s="7" t="str">
        <x:v>2026の具体記述：FUJIブースでは、『“つかみ方”で解決する自動化ソリューション』をコンセプトに、大径・重量物・異形ワークなど、従来は自動化が難しいとされてきた加工現場の課題に対する解決策をご提案します。 / 異形ワークのチャッキングを行うVN40、1スピンドルで表裏加工を完結するTN400ⅡR、大径・重量物ワークの半自動着脱に対応するACUFLEX400S、現場の工具・備品の受渡しを効率化するスマートロッカーシステムQuistを出展いたします。 / </x:v>
      </x:c>
      <x:c r="J415" s="7" t="str">
        <x:v>EEX-EXH-2026-c0de70c161714618</x:v>
      </x:c>
      <x:c r="K415" s="7" t="str">
        <x:v>https://www.jimtof.org/search/jp/ESdetails?e=xJlXi-VNzio</x:v>
      </x:c>
    </x:row>
    <x:row r="416" ht="84" customHeight="1">
      <x:c r="A416" s="7" t="str">
        <x:v>自動化</x:v>
      </x:c>
      <x:c r="B416" s="7" t="str">
        <x:v>テクノマーク 産業用刻印機</x:v>
      </x:c>
      <x:c r="C416" s="7" t="str">
        <x:v>株式会社IZUSHI</x:v>
      </x:c>
      <x:c r="D416" s="7" t="str">
        <x:v>テクノマーク 産業用刻印機</x:v>
      </x:c>
      <x:c r="E416" s="7" t="str">
        <x:v>W1087</x:v>
      </x:c>
      <x:c r="F416" s="7" t="str">
        <x:v>内容から分類（調査者・一次整理）</x:v>
      </x:c>
      <x:c r="G416" s="7" t="str">
        <x:v>出展説明に基づく一次分類。方式・実装権限・提供段階は個別確認</x:v>
      </x:c>
      <x:c t="str" r="H416" s="21">
        <x:f>HYPERLINK("#'展示詳細'!A"&amp;MATCH("AC016",'展示詳細'!$A$1:$A$340,0),"AC016")</x:f>
        <x:v>AC016</x:v>
      </x:c>
      <x:c r="I416" s="7" t="str">
        <x:v>2026の具体記述：FORMHANDの汎用ロボットハンドは、パッド内の顆粒がワークの形状に追従するため、多品種を一つのハンドで扱えます。 / クーラントは、水圧だけで希釈する自動希釈装置IDE-CK1と、劣化を抑えるナノブースターをご用意しました。 / 小型自動旋盤向けのDECOFLEXもご用意。 / ■FORMHAND 汎用ロボットハンド / ・クーラント自動希釈装置 IDE-CK1：水圧だけで0〜35%の任意濃度に希釈。 / ・ALジェットクリーナー：</x:v>
      </x:c>
      <x:c r="J416" s="7" t="str">
        <x:v>EEX-EXH-2026-dcc361015ad89157</x:v>
      </x:c>
      <x:c r="K416" s="7" t="str">
        <x:v>https://www.jimtof.org/search/jp/ESdetails?e=XQSp36eC9AA</x:v>
      </x:c>
    </x:row>
    <x:row r="417" ht="84" customHeight="1">
      <x:c r="A417" s="7" t="str">
        <x:v>自動化</x:v>
      </x:c>
      <x:c r="B417" s="7" t="str">
        <x:v>周辺部品・機構</x:v>
      </x:c>
      <x:c r="C417" s="7" t="str">
        <x:v>株式会社MSTコーポレーション</x:v>
      </x:c>
      <x:c r="D417" s="7" t="str">
        <x:v>「ミーリング加工 用 焼ばめホルダ　ミルボアでの高精度穴加工」「アングルヘッドハーフでの工程集約」「スリムラインによる加工の高能率化」「スマートグリッ</x:v>
      </x:c>
      <x:c r="E417" s="7" t="str">
        <x:v>W2011</x:v>
      </x:c>
      <x:c r="F417" s="7" t="str">
        <x:v>内容から分類（調査者・一次整理）</x:v>
      </x:c>
      <x:c r="G417" s="7" t="str">
        <x:v>周辺要素・実装部品。システム全体のAI／自動動作の確認ではない</x:v>
      </x:c>
      <x:c t="str" r="H417" s="21">
        <x:f>HYPERLINK("#'展示詳細'!A"&amp;MATCH("AC040",'展示詳細'!$A$1:$A$340,0),"AC040")</x:f>
        <x:v>AC040</x:v>
      </x:c>
      <x:c r="I417" s="7" t="str">
        <x:v>2026の具体記述：ツールホルダの効果的な活用方法と使用した際の加工改善、アングルヘッドの一軸付加による工程集約、高精度な穴加工がスキルレスで実践できる加工、新発想の天吊りロボット式で脱着が自由自在なワークストッカー、それらと自動化にも多品種ワークにも対応できるHSKワーククランプ治具システムを組合わせた実演を立形マシニングセンタで行ないます。 / 「ミーリング加工 用 焼ばめホルダ　ミルボアでの高精度穴加工」「アングルヘッドハーフでの工程集約」「スリムラ</x:v>
      </x:c>
      <x:c r="J417" s="7" t="str">
        <x:v>EEX-EXH-2026-f74dba1a90bb7c60</x:v>
      </x:c>
      <x:c r="K417" s="7" t="str">
        <x:v>https://www.jimtof.org/search/jp/ESdetails?e=SJ1uP-anpRI</x:v>
      </x:c>
    </x:row>
    <x:row r="418" ht="84" customHeight="1">
      <x:c r="A418" s="7" t="str">
        <x:v>自動化</x:v>
      </x:c>
      <x:c r="B418" s="7" t="str">
        <x:v>人協働型パレタイズロボット「GentleGaiant」と自動搬送AMR「iRAYPE」を組み合わせた次世代ソリューションや生産ラインの省人化・自動化ソ</x:v>
      </x:c>
      <x:c r="C418" s="7" t="str">
        <x:v>株式会社SANMATSU</x:v>
      </x:c>
      <x:c r="D418" s="7" t="str">
        <x:v>人協働型パレタイズロボット「GentleGaiant」と自動搬送AMR「iRAYPE」を組み合わせた次世代ソリューションや生産ラインの省人化・自動化ソ</x:v>
      </x:c>
      <x:c r="E418" s="7" t="str">
        <x:v>S3102</x:v>
      </x:c>
      <x:c r="F418" s="7" t="str">
        <x:v>内容から分類（調査者・一次整理）</x:v>
      </x:c>
      <x:c r="G418" s="7" t="str">
        <x:v>出展説明に基づく一次分類。方式・実装権限・提供段階は個別確認</x:v>
      </x:c>
      <x:c t="str" r="H418" s="21">
        <x:f>HYPERLINK("#'展示詳細'!A"&amp;MATCH("AC090",'展示詳細'!$A$1:$A$340,0),"AC090")</x:f>
        <x:v>AC090</x:v>
      </x:c>
      <x:c r="I418" s="7" t="str">
        <x:v>2026の具体記述：当社ブースでは人協働型パレタイズロボット「GentleGaiant」と自動搬送AMR「iRAYPE」を組み合わせた次世代ソリューションや生産ラインの省人化・自動化ソリューションをご紹介します。 / 【GentleGaiant】は30kg可搬を実現しながら省スペース設計。 / タッチパネルによる品種登録や段積みパターン設定、多様なロボットハンド設計を通じて、あらゆる商品パレタイズに柔軟対応します。 / 今回は「パレタイズロボットをAMRで</x:v>
      </x:c>
      <x:c r="J418" s="7" t="str">
        <x:v>EEX-EXH-2026-b00bbfd6ce23a97e</x:v>
      </x:c>
      <x:c r="K418" s="7" t="str">
        <x:v>https://www.jimtof.org/search/jp/ESdetails?e=ox2LGS2B2t4</x:v>
      </x:c>
    </x:row>
    <x:row r="419" ht="84" customHeight="1">
      <x:c r="A419" s="7" t="str">
        <x:v>自動化</x:v>
      </x:c>
      <x:c r="B419" s="7" t="str">
        <x:v>【A33CNC7】</x:v>
      </x:c>
      <x:c r="C419" s="7" t="str">
        <x:v>株式会社アステック</x:v>
      </x:c>
      <x:c r="D419" s="7" t="str">
        <x:v>【A33CNC7】</x:v>
      </x:c>
      <x:c r="E419" s="7" t="str">
        <x:v>S1023</x:v>
      </x:c>
      <x:c r="F419" s="7" t="str">
        <x:v>内容から分類（調査者・一次整理）</x:v>
      </x:c>
      <x:c r="G419" s="7" t="str">
        <x:v>出展説明に基づく一次分類。方式・実装権限・提供段階は個別確認</x:v>
      </x:c>
      <x:c t="str" r="H419" s="21">
        <x:f>HYPERLINK("#'展示詳細'!A"&amp;MATCH("AC006",'展示詳細'!$A$1:$A$340,0),"AC006")</x:f>
        <x:v>AC006</x:v>
      </x:c>
      <x:c r="I419" s="7" t="str">
        <x:v>2026の具体記述：細穴放電加工機の加工ヘッドをロボットに取り付け、自由自在な動きを生かした実演加工を行います。 / ロボットに取り付け、工場のインライン化・多数穴の同時加工などが可能。</x:v>
      </x:c>
      <x:c r="J419" s="7" t="str">
        <x:v>EEX-EXH-2026-b6d1434bfe8ae571</x:v>
      </x:c>
      <x:c r="K419" s="7" t="str">
        <x:v>https://www.jimtof.org/search/jp/ESdetails?e=3riic2Y52c8</x:v>
      </x:c>
    </x:row>
    <x:row r="420" ht="84" customHeight="1">
      <x:c r="A420" s="7" t="str">
        <x:v>自動化</x:v>
      </x:c>
      <x:c r="B420" s="7" t="str">
        <x:v>ウォーターレーザー加工機　ND-10LA</x:v>
      </x:c>
      <x:c r="C420" s="7" t="str">
        <x:v>株式会社アビコ技術研究所</x:v>
      </x:c>
      <x:c r="D420" s="7" t="str">
        <x:v>ウォーターレーザー加工機　ND-10LA</x:v>
      </x:c>
      <x:c r="E420" s="7" t="str">
        <x:v>S2008</x:v>
      </x:c>
      <x:c r="F420" s="7" t="str">
        <x:v>内容から分類（調査者・一次整理）</x:v>
      </x:c>
      <x:c r="G420" s="7" t="str">
        <x:v>出展説明に基づく一次分類。方式・実装権限・提供段階は個別確認</x:v>
      </x:c>
      <x:c t="str" r="H420" s="21">
        <x:f>HYPERLINK("#'展示詳細'!A"&amp;MATCH("AC009",'展示詳細'!$A$1:$A$340,0),"AC009")</x:f>
        <x:v>AC009</x:v>
      </x:c>
      <x:c r="I420" s="7" t="str">
        <x:v>2026の具体記述：チルトテーブル「ゼロTYPE-0C」、ロボットストッカー「AL-1」なども出展します。 / ロボットストッカー　AL-1</x:v>
      </x:c>
      <x:c r="J420" s="7" t="str">
        <x:v>EEX-EXH-2026-ad740d16e5bf8aeb</x:v>
      </x:c>
      <x:c r="K420" s="7" t="str">
        <x:v>https://www.jimtof.org/search/jp/ESdetails?e=FM2ZTtdHV5w</x:v>
      </x:c>
    </x:row>
    <x:row r="421" ht="84" customHeight="1">
      <x:c r="A421" s="7" t="str">
        <x:v>自動化</x:v>
      </x:c>
      <x:c r="B421" s="7" t="str">
        <x:v>新型ファイバーレーザ</x:v>
      </x:c>
      <x:c r="C421" s="7" t="str">
        <x:v>株式会社アマダ</x:v>
      </x:c>
      <x:c r="D421" s="7" t="str">
        <x:v>新型ファイバーレーザ</x:v>
      </x:c>
      <x:c r="E421" s="7" t="str">
        <x:v>E2012</x:v>
      </x:c>
      <x:c r="F421" s="7" t="str">
        <x:v>内容から分類（調査者・一次整理）</x:v>
      </x:c>
      <x:c r="G421" s="7" t="str">
        <x:v>出展説明に基づく一次分類。方式・実装権限・提供段階は個別確認</x:v>
      </x:c>
      <x:c t="str" r="H421" s="21">
        <x:f>HYPERLINK("#'展示詳細'!A"&amp;MATCH("AC010",'展示詳細'!$A$1:$A$340,0),"AC010")</x:f>
        <x:v>AC010</x:v>
      </x:c>
      <x:c r="I421" s="7" t="str">
        <x:v>2026の具体記述：・デジタルプロファイル研削盤「DPG150」 / ・順送プレス加工自動化システム「SDEW8010iⅢ＋ALFAS03KR」</x:v>
      </x:c>
      <x:c r="J421" s="7" t="str">
        <x:v>EEX-EXH-2026-650d9d144d109d53</x:v>
      </x:c>
      <x:c r="K421" s="7" t="str">
        <x:v>https://www.jimtof.org/search/jp/ESdetails?e=lwacRdqPa60</x:v>
      </x:c>
    </x:row>
    <x:row r="422" ht="84" customHeight="1">
      <x:c r="A422" s="7" t="str">
        <x:v>自動化</x:v>
      </x:c>
      <x:c r="B422" s="7" t="str">
        <x:v>順送プレス加工自動化システム「SDEW-8010iⅢ+ALFAS-03KR」</x:v>
      </x:c>
      <x:c r="C422" s="7" t="str">
        <x:v>株式会社アマダプレスシステム</x:v>
      </x:c>
      <x:c r="D422" s="7" t="str">
        <x:v>順送プレス加工自動化システム「SDEW-8010iⅢ+ALFAS-03KR」</x:v>
      </x:c>
      <x:c r="E422" s="7" t="str">
        <x:v>E2012</x:v>
      </x:c>
      <x:c r="F422" s="7" t="str">
        <x:v>内容から分類（調査者・一次整理）</x:v>
      </x:c>
      <x:c r="G422" s="7" t="str">
        <x:v>出展説明に基づく一次分類。方式・実装権限・提供段階は個別確認</x:v>
      </x:c>
      <x:c t="str" r="H422" s="21">
        <x:f>HYPERLINK("#'展示詳細'!A"&amp;MATCH("AC011",'展示詳細'!$A$1:$A$340,0),"AC011")</x:f>
        <x:v>AC011</x:v>
      </x:c>
      <x:c r="I422" s="7" t="str">
        <x:v>2026の具体記述：アマダプレスシステムは、塑性加工分野であるプレスマシン事業、プレス周辺装置事業、ばね成形機事業から成り、自動車、住宅設備、家電、電装部品、半導体、精密機器、医療機器・器具など、私たちの生活に欠かせない製品に使用される金属部品を生み出すマシンや装置の開発、製造、販売、サービスを担っています。 / 順送プレス加工自動化システム「SDEW-8010iⅢ+ALFAS-03KR」</x:v>
      </x:c>
      <x:c r="J422" s="7" t="str">
        <x:v>EEX-EXH-2026-6029a59fb8aad4a7</x:v>
      </x:c>
      <x:c r="K422" s="7" t="str">
        <x:v>https://www.jimtof.org/search/jp/ESdetails?e=QfXLYGGnIbs</x:v>
      </x:c>
    </x:row>
    <x:row r="423" ht="84" customHeight="1">
      <x:c r="A423" s="7" t="str">
        <x:v>自動化</x:v>
      </x:c>
      <x:c r="B423" s="7" t="str">
        <x:v>CELSUS 32、ASR X-04A、SWP-RB65、AQ2クイックチェンジシステム , 回転工具ユニット , アルプスナイスミルシリーズ , A</x:v>
      </x:c>
      <x:c r="C423" s="7" t="str">
        <x:v>株式会社アルプスツール</x:v>
      </x:c>
      <x:c r="D423" s="7" t="str">
        <x:v>CELSUS 32、ASR X-04A、SWP-RB65、AQ2クイックチェンジシステム , 回転工具ユニット , アルプスナイスミルシリーズ , A</x:v>
      </x:c>
      <x:c r="E423" s="7" t="str">
        <x:v>E7047</x:v>
      </x:c>
      <x:c r="F423" s="7" t="str">
        <x:v>内容から分類（調査者・一次整理）</x:v>
      </x:c>
      <x:c r="G423" s="7" t="str">
        <x:v>出展説明に基づく一次分類。方式・実装権限・提供段階は個別確認</x:v>
      </x:c>
      <x:c t="str" r="H423" s="21">
        <x:f>HYPERLINK("#'展示詳細'!A"&amp;MATCH("AC012",'展示詳細'!$A$1:$A$340,0),"AC012")</x:f>
        <x:v>AC012</x:v>
      </x:c>
      <x:c r="I423" s="7" t="str">
        <x:v>2026の具体記述：【CELSUS 32】 / CELSUS（セルサス）とはラテン語で「至上・最高」という意味があり、CELSUS 32は最新技術を駆使して新しい発想から開発された新機種となります。 / また、アルミ製カバーを採用することによりスタイリッシュな外観を持ったCELSUS 32は機能性とデザインを兼ね備えた機種となっており作業現場においても美しく調和する存在となっております。 / 【ASR X-04A】 / 独自のトップキャッチングシステムを標</x:v>
      </x:c>
      <x:c r="J423" s="7" t="str">
        <x:v>EEX-EXH-2026-aa4cb9abd8dccbec</x:v>
      </x:c>
      <x:c r="K423" s="7" t="str">
        <x:v>https://www.jimtof.org/search/jp/ESdetails?e=2TYreMhMb5Q</x:v>
      </x:c>
    </x:row>
    <x:row r="424" ht="84" customHeight="1">
      <x:c r="A424" s="7" t="str">
        <x:v>自動化</x:v>
      </x:c>
      <x:c r="B424" s="7" t="str">
        <x:v>周辺部品・機構</x:v>
      </x:c>
      <x:c r="C424" s="7" t="str">
        <x:v>株式会社イズミコーポレーション</x:v>
      </x:c>
      <x:c r="D424" s="7" t="str">
        <x:v>ディペンドバイスシステム　「ＰＳＳ－５５００、ＰＳＳ－５４００,Ｃ４Ｖセット」、エアーメカロックバイス　「ＡＭＶ－１００５Ｗ、ＡＭＶ－１００７Ｗ、ＡＭ</x:v>
      </x:c>
      <x:c r="E424" s="7" t="str">
        <x:v>WA007</x:v>
      </x:c>
      <x:c r="F424" s="7" t="str">
        <x:v>内容から分類（調査者・一次整理）</x:v>
      </x:c>
      <x:c r="G424" s="7" t="str">
        <x:v>周辺要素・実装部品。システム全体のAI／自動動作の確認ではない</x:v>
      </x:c>
      <x:c t="str" r="H424" s="21">
        <x:f>HYPERLINK("#'展示詳細'!A"&amp;MATCH("AC017",'展示詳細'!$A$1:$A$340,0),"AC017")</x:f>
        <x:v>AC017</x:v>
      </x:c>
      <x:c r="I424" s="7" t="str">
        <x:v>2026の具体記述：イズミコーポレーションは長年にわたるフライス盤及びマシニングセンターによる精密部品加工分野での経験を生かし、現在はマシニングセンター加工の高効率、高精度、治具レス、無人化をコンセプトとした汎用治具バイス ”ディペンドバイスシステム” をメインに工作機械用各種ワーククランプシステムを製造販売しております。 / 生産現場の視点に立って、お客様に信頼して頂けるユニークな製品開発を続ける事が使命と考えております。 / ディペンドバイスシステム　</x:v>
      </x:c>
      <x:c r="J424" s="7" t="str">
        <x:v>EEX-EXH-2026-681d5ad2651a63b2</x:v>
      </x:c>
      <x:c r="K424" s="7" t="str">
        <x:v>https://www.jimtof.org/search/jp/ESdetails?e=Eo7w7UDoYR0</x:v>
      </x:c>
    </x:row>
    <x:row r="425" ht="84" customHeight="1">
      <x:c r="A425" s="7" t="str">
        <x:v>自動化</x:v>
      </x:c>
      <x:c r="B425" s="7" t="str">
        <x:v>ヘリカル穴加工エンドミル【ドリミル】</x:v>
      </x:c>
      <x:c r="C425" s="7" t="str">
        <x:v>株式会社イワタツール</x:v>
      </x:c>
      <x:c r="D425" s="7" t="str">
        <x:v>ヘリカル穴加工エンドミル【ドリミル】</x:v>
      </x:c>
      <x:c r="E425" s="7" t="str">
        <x:v>W1069</x:v>
      </x:c>
      <x:c r="F425" s="7" t="str">
        <x:v>内容から分類（調査者・一次整理）</x:v>
      </x:c>
      <x:c r="G425" s="7" t="str">
        <x:v>出展説明に基づく一次分類。方式・実装権限・提供段階は個別確認</x:v>
      </x:c>
      <x:c t="str" r="H425" s="21">
        <x:f>HYPERLINK("#'展示詳細'!A"&amp;MATCH("AC022",'展示詳細'!$A$1:$A$340,0),"AC022")</x:f>
        <x:v>AC022</x:v>
      </x:c>
      <x:c r="I425" s="7" t="str">
        <x:v>2026の具体記述：ロボットシステムと組み合わせることにより、高速かつ高能率な加工ラインを実現。 / ◆ワーク搬送だけで終わらせないロボットマルチプロセッシング / オイルホールで切粉を効率よく排出し、アルミ・自動車外装パネルにも適用。</x:v>
      </x:c>
      <x:c r="J425" s="7" t="str">
        <x:v>EEX-EXH-2026-30fa7d4bf3eb94b2</x:v>
      </x:c>
      <x:c r="K425" s="7" t="str">
        <x:v>https://www.jimtof.org/search/jp/ESdetails?e=1GQBhZ1T3X0</x:v>
      </x:c>
    </x:row>
    <x:row r="426" ht="84" customHeight="1">
      <x:c r="A426" s="7" t="str">
        <x:v>自動化</x:v>
      </x:c>
      <x:c r="B426" s="7" t="str">
        <x:v>[CAMWorks]</x:v>
      </x:c>
      <x:c r="C426" s="7" t="str">
        <x:v>株式会社インテグラ技術研究所</x:v>
      </x:c>
      <x:c r="D426" s="7" t="str">
        <x:v>[CAMWorks]</x:v>
      </x:c>
      <x:c r="E426" s="7" t="str">
        <x:v>S3069</x:v>
      </x:c>
      <x:c r="F426" s="7" t="str">
        <x:v>内容から分類（調査者・一次整理）</x:v>
      </x:c>
      <x:c r="G426" s="7" t="str">
        <x:v>出展説明に基づく一次分類。方式・実装権限・提供段階は個別確認</x:v>
      </x:c>
      <x:c t="str" r="H426" s="21">
        <x:f>HYPERLINK("#'展示詳細'!A"&amp;MATCH("AC024",'展示詳細'!$A$1:$A$340,0),"AC024")</x:f>
        <x:v>AC024</x:v>
      </x:c>
      <x:c r="I426" s="7" t="str">
        <x:v>2026の具体記述：「CAD/CAM×3Dプリンター」で実現する３Dモノづくり / 自動プログラミング技術で熟練の加工ノウハウを標準化・デジタル化する「CAMWorks」「SOLIDWORKS CAM」、高精度なGコード検証とシミュレーションで段取り時間を削減する「Eureka」、金型設計の劇的な効率化を実現する「QuickPress」「IMOLD」を一挙にご紹介。 / CAD/CAMによる切削加工技術と3Dプリンターによる積層造形技術を組み合わせ、モノづ</x:v>
      </x:c>
      <x:c r="J426" s="7" t="str">
        <x:v>EEX-EXH-2026-10a39d4f417e3976</x:v>
      </x:c>
      <x:c r="K426" s="7" t="str">
        <x:v>https://www.jimtof.org/search/jp/ESdetails?e=xEdNPWdhbs8</x:v>
      </x:c>
    </x:row>
    <x:row r="427" ht="84" customHeight="1">
      <x:c r="A427" s="7" t="str">
        <x:v>自動化</x:v>
      </x:c>
      <x:c r="B427" s="7" t="str">
        <x:v>マシニングセンタ [E-15SK]：15番の小径工具による高速加工、96本ATCによる高速工具交換、省スペース設計により生産性向上に大きく貢献する、高</x:v>
      </x:c>
      <x:c r="C427" s="7" t="str">
        <x:v>株式会社エグロ</x:v>
      </x:c>
      <x:c r="D427" s="7" t="str">
        <x:v>マシニングセンタ [E-15SK]：15番の小径工具による高速加工、96本ATCによる高速工具交換、省スペース設計により生産性向上に大きく貢献する、高</x:v>
      </x:c>
      <x:c r="E427" s="7" t="str">
        <x:v>E1045</x:v>
      </x:c>
      <x:c r="F427" s="7" t="str">
        <x:v>内容から分類（調査者・一次整理）</x:v>
      </x:c>
      <x:c r="G427" s="7" t="str">
        <x:v>出展説明に基づく一次分類。方式・実装権限・提供段階は個別確認</x:v>
      </x:c>
      <x:c t="str" r="H427" s="21">
        <x:f>HYPERLINK("#'展示詳細'!A"&amp;MATCH("AC032",'展示詳細'!$A$1:$A$340,0),"AC032")</x:f>
        <x:v>AC032</x:v>
      </x:c>
      <x:c r="I427" s="7" t="str">
        <x:v>2026の具体記述：主軸回転Max40,000min-1の高速・高精度加工から、自動化まで対応する精密マシニングセンタ「E-32ｖ」。 / 機ロボ一体の加工機と別置きロボットで最適な自動化を実現。 / 独自のノウハウを活かした設備および自動化ソリューションをご提案し、お客様の生産現場における更なる効率化と競争力向上の一助となれば幸いです。 / マシニングセンタ [E-32v]：完全熱対称設計による高精度加工、高速主軸による微細・精密加工と共に、自動化・無人</x:v>
      </x:c>
      <x:c r="J427" s="7" t="str">
        <x:v>EEX-EXH-2026-8b33ed02caa981c7</x:v>
      </x:c>
      <x:c r="K427" s="7" t="str">
        <x:v>https://www.jimtof.org/search/jp/ESdetails?e=jYjN83ZMZpQ</x:v>
      </x:c>
    </x:row>
    <x:row r="428" ht="84" customHeight="1">
      <x:c r="A428" s="7" t="str">
        <x:v>自動化</x:v>
      </x:c>
      <x:c r="B428" s="7" t="str">
        <x:v>ターン・ミルマシン</x:v>
      </x:c>
      <x:c r="C428" s="7" t="str">
        <x:v>株式会社エス・ティ・シー</x:v>
      </x:c>
      <x:c r="D428" s="7" t="str">
        <x:v>ターン・ミルマシン</x:v>
      </x:c>
      <x:c r="E428" s="7" t="str">
        <x:v>E1069</x:v>
      </x:c>
      <x:c r="F428" s="7" t="str">
        <x:v>内容から分類（調査者・一次整理）</x:v>
      </x:c>
      <x:c r="G428" s="7" t="str">
        <x:v>出展説明に基づく一次分類。方式・実装権限・提供段階は個別確認</x:v>
      </x:c>
      <x:c t="str" r="H428" s="21">
        <x:f>HYPERLINK("#'展示詳細'!A"&amp;MATCH("AC034",'展示詳細'!$A$1:$A$340,0),"AC034")</x:f>
        <x:v>AC034</x:v>
      </x:c>
      <x:c r="I428" s="7" t="str">
        <x:v>2026の具体記述：さらに、工程集約による省スペース化や自動化・省人化にも対応し、試作品や少量生産から量産まで、幅広い生産形態に柔軟に対応します。</x:v>
      </x:c>
      <x:c r="J428" s="7" t="str">
        <x:v>EEX-EXH-2026-521637b4c962ce6d</x:v>
      </x:c>
      <x:c r="K428" s="7" t="str">
        <x:v>https://www.jimtof.org/search/jp/ESdetails?e=KczqG602kSE</x:v>
      </x:c>
    </x:row>
    <x:row r="429" ht="84" customHeight="1">
      <x:c r="A429" s="7" t="str">
        <x:v>自動化</x:v>
      </x:c>
      <x:c r="B429" s="7" t="str">
        <x:v>CNC立型ターニングセンタ　VTLex1100M</x:v>
      </x:c>
      <x:c r="C429" s="7" t="str">
        <x:v>株式会社オーエム製作所</x:v>
      </x:c>
      <x:c r="D429" s="7" t="str">
        <x:v>CNC立型ターニングセンタ　VTLex1100M</x:v>
      </x:c>
      <x:c r="E429" s="7" t="str">
        <x:v>E2019</x:v>
      </x:c>
      <x:c r="F429" s="7" t="str">
        <x:v>内容から分類（調査者・一次整理）</x:v>
      </x:c>
      <x:c r="G429" s="7" t="str">
        <x:v>出展説明に基づく一次分類。方式・実装権限・提供段階は個別確認</x:v>
      </x:c>
      <x:c t="str" r="H429" s="21">
        <x:f>HYPERLINK("#'展示詳細'!A"&amp;MATCH("AC043",'展示詳細'!$A$1:$A$340,0),"AC043")</x:f>
        <x:v>AC043</x:v>
      </x:c>
      <x:c r="I429" s="7" t="str">
        <x:v>2026の具体記述：テーブル径Φ1100㎜のCNC立型ターニングセンタVTLex1100Mを実機展示致します。 / 深穴内径加工に最適なラム型刃物台の特長を生かした円筒型ワーク加工の工程集約をテーマに省人化、無人化を実現する付加機能付属しております。 / 付加オプションとなる円筒研削機能をさらに充実化し、ワーク上端面の研削にも対応を致しました。 / 又、開発ブースでは使い勝手を追求し独自開発したシン対話機能の他、トラブルの早期復旧に役立つマシン映像レコーデ</x:v>
      </x:c>
      <x:c r="J429" s="7" t="str">
        <x:v>EEX-EXH-2026-75e6c92f1fdf0cb3</x:v>
      </x:c>
      <x:c r="K429" s="7" t="str">
        <x:v>https://www.jimtof.org/search/jp/ESdetails?e=TbC314Ifhvc</x:v>
      </x:c>
    </x:row>
    <x:row r="430" ht="84" customHeight="1">
      <x:c r="A430" s="7" t="str">
        <x:v>自動化</x:v>
      </x:c>
      <x:c r="B430" s="7" t="str">
        <x:v>機上計測ソフトウェア／PC-DMIS（デーミス） NC</x:v>
      </x:c>
      <x:c r="C430" s="7" t="str">
        <x:v>株式会社キャプテンインダストリーズ</x:v>
      </x:c>
      <x:c r="D430" s="7" t="str">
        <x:v>機上計測ソフトウェア／PC-DMIS（デーミス） NC</x:v>
      </x:c>
      <x:c r="E430" s="7" t="str">
        <x:v>E3003</x:v>
      </x:c>
      <x:c r="F430" s="7" t="str">
        <x:v>内容から分類（調査者・一次整理）</x:v>
      </x:c>
      <x:c r="G430" s="7" t="str">
        <x:v>出展説明に基づく一次分類。方式・実装権限・提供段階は個別確認</x:v>
      </x:c>
      <x:c t="str" r="H430" s="21">
        <x:f>HYPERLINK("#'展示詳細'!A"&amp;MATCH("AC060",'展示詳細'!$A$1:$A$340,0),"AC060")</x:f>
        <x:v>AC060</x:v>
      </x:c>
      <x:c r="I430" s="7" t="str">
        <x:v>2026の具体記述：加工後、そのまま機械テーブル上にてワークを計測できるため省人化自動化に貢献するとともに高度な機上計測を実現致します。 / 航空宇宙、自動車、医療、時計などのあらゆる産業の加工対応可能な、バリエーション豊富なスピンドルです。 / 加工後、そのまま機械テーブル上にてワークを計測できるため省人化自動化に貢献するとともに高度な機上計測を実現致します。 / 航空宇宙、自動車、医療、時計などのあらゆる産業の加工対応可能な、バリエーション豊富なスピン</x:v>
      </x:c>
      <x:c r="J430" s="7" t="str">
        <x:v>EEX-EXH-2026-c8de4ae2c9076f2f</x:v>
      </x:c>
      <x:c r="K430" s="7" t="str">
        <x:v>https://www.jimtof.org/search/jp/ESdetails?e=9vpTjarQl8s</x:v>
      </x:c>
    </x:row>
    <x:row r="431" ht="84" customHeight="1">
      <x:c r="A431" s="7" t="str">
        <x:v>自動化</x:v>
      </x:c>
      <x:c r="B431" s="7" t="str">
        <x:v>周辺部品・機構</x:v>
      </x:c>
      <x:c r="C431" s="7" t="str">
        <x:v>株式会社クロイツ</x:v>
      </x:c>
      <x:c r="D431" s="7" t="str">
        <x:v>N-バイト</x:v>
      </x:c>
      <x:c r="E431" s="7" t="str">
        <x:v>E3025</x:v>
      </x:c>
      <x:c r="F431" s="7" t="str">
        <x:v>内容から分類（調査者・一次整理）</x:v>
      </x:c>
      <x:c r="G431" s="7" t="str">
        <x:v>周辺要素・実装部品。システム全体のAI／自動動作の確認ではない</x:v>
      </x:c>
      <x:c t="str" r="H431" s="21">
        <x:f>HYPERLINK("#'展示詳細'!A"&amp;MATCH("AC066",'展示詳細'!$A$1:$A$340,0),"AC066")</x:f>
        <x:v>AC066</x:v>
      </x:c>
      <x:c r="I431" s="7" t="str">
        <x:v>2026の具体記述：ロボット向けフローチングツーリング</x:v>
      </x:c>
      <x:c r="J431" s="7" t="str">
        <x:v>EEX-EXH-2026-65a684118b48bdf2</x:v>
      </x:c>
      <x:c r="K431" s="7" t="str">
        <x:v>https://www.jimtof.org/search/jp/ESdetails?e=pKhtGg5AXLc</x:v>
      </x:c>
    </x:row>
    <x:row r="432" ht="84" customHeight="1">
      <x:c r="A432" s="7" t="str">
        <x:v>自動化</x:v>
      </x:c>
      <x:c r="B432" s="7" t="str">
        <x:v>周辺部品・機構</x:v>
      </x:c>
      <x:c r="C432" s="7" t="str">
        <x:v>株式会社グローバル・パーツ</x:v>
      </x:c>
      <x:c r="D432" s="7" t="str">
        <x:v>精密ロックナット、主軸周辺の高精度加工部品、軸力測定センサー、ATCマガジン、汎用クーラントホースシステム、高圧専用ノズル、スピンドル、パワーチャック</x:v>
      </x:c>
      <x:c r="E432" s="7" t="str">
        <x:v>S3045</x:v>
      </x:c>
      <x:c r="F432" s="7" t="str">
        <x:v>内容から分類（調査者・一次整理）</x:v>
      </x:c>
      <x:c r="G432" s="7" t="str">
        <x:v>周辺要素・実装部品。システム全体のAI／自動動作の確認ではない</x:v>
      </x:c>
      <x:c t="str" r="H432" s="21">
        <x:f>HYPERLINK("#'展示詳細'!A"&amp;MATCH("AC067",'展示詳細'!$A$1:$A$340,0),"AC067")</x:f>
        <x:v>AC067</x:v>
      </x:c>
      <x:c r="I432" s="7" t="str">
        <x:v>2026の具体記述：ATCマガジンやロータリーテーブル、APCといった自動化に関連する装置や、消費電力削減が図れるインバータ付き油圧ユニット、サーボモーター付き油圧ユニットも製造・販売しております。 / 精密ロックナット、主軸周辺の高精度加工部品、軸力測定センサー、ATCマガジン、汎用クーラントホースシステム、高圧専用ノズル、スピンドル、パワーチャック、回転シリンダー、ハースカップリング、インバータータイプ油圧ポンプ、サーボタイプ油圧ポンプ、ロータリーテー</x:v>
      </x:c>
      <x:c r="J432" s="7" t="str">
        <x:v>EEX-EXH-2026-52c126c6f3c4371e</x:v>
      </x:c>
      <x:c r="K432" s="7" t="str">
        <x:v>https://www.jimtof.org/search/jp/ESdetails?e=7pg5I7Dvfkc</x:v>
      </x:c>
    </x:row>
    <x:row r="433" ht="84" customHeight="1">
      <x:c r="A433" s="7" t="str">
        <x:v>自動化</x:v>
      </x:c>
      <x:c r="B433" s="7" t="str">
        <x:v>周辺部品・機構</x:v>
      </x:c>
      <x:c r="C433" s="7" t="str">
        <x:v>株式会社コスメック</x:v>
      </x:c>
      <x:c r="D433" s="7" t="str">
        <x:v>【工作機械用ジグ段取替え製品】無線センシングクランプ、ハイパワーエアクランプ、油圧クランプ、ワークサポート、セパレートバイス、ネジポンプ、ホールクラン</x:v>
      </x:c>
      <x:c r="E433" s="7" t="str">
        <x:v>W2033</x:v>
      </x:c>
      <x:c r="F433" s="7" t="str">
        <x:v>内容から分類（調査者・一次整理）</x:v>
      </x:c>
      <x:c r="G433" s="7" t="str">
        <x:v>周辺要素・実装部品。システム全体のAI／自動動作の確認ではない</x:v>
      </x:c>
      <x:c t="str" r="H433" s="21">
        <x:f>HYPERLINK("#'展示詳細'!A"&amp;MATCH("AC075",'展示詳細'!$A$1:$A$340,0),"AC075")</x:f>
        <x:v>AC075</x:v>
      </x:c>
      <x:c r="I433" s="7" t="str">
        <x:v>2026の具体記述：加工、ロボット、搬送など様々な設備の段取替えを自動化し、時間短縮・サイクルタイム短縮に寄与する周辺機器を提案いたします。 / 【ロボット自動化製品】ロボットハンドチェンジャー、搬送用クランプ</x:v>
      </x:c>
      <x:c r="J433" s="7" t="str">
        <x:v>EEX-EXH-2026-0376f488fb693c45</x:v>
      </x:c>
      <x:c r="K433" s="7" t="str">
        <x:v>https://www.jimtof.org/search/jp/ESdetails?e=yiHo9SMP4lY</x:v>
      </x:c>
    </x:row>
    <x:row r="434" ht="84" customHeight="1">
      <x:c r="A434" s="7" t="str">
        <x:v>自動化</x:v>
      </x:c>
      <x:c r="B434" s="7" t="str">
        <x:v>Schuette(シュッテ)社 / CNC工具研削盤 335Linear</x:v>
      </x:c>
      <x:c r="C434" s="7" t="str">
        <x:v>株式会社ゴーショー</x:v>
      </x:c>
      <x:c r="D434" s="7" t="str">
        <x:v>Schuette(シュッテ)社 / CNC工具研削盤 335Linear</x:v>
      </x:c>
      <x:c r="E434" s="7" t="str">
        <x:v>E3014</x:v>
      </x:c>
      <x:c r="F434" s="7" t="str">
        <x:v>内容から分類（調査者・一次整理）</x:v>
      </x:c>
      <x:c r="G434" s="7" t="str">
        <x:v>出展説明に基づく一次分類。方式・実装権限・提供段階は個別確認</x:v>
      </x:c>
      <x:c t="str" r="H434" s="21">
        <x:f>HYPERLINK("#'展示詳細'!A"&amp;MATCH("AC073",'展示詳細'!$A$1:$A$340,0),"AC073")</x:f>
        <x:v>AC073</x:v>
      </x:c>
      <x:c r="I434" s="7" t="str">
        <x:v>2026の具体記述：・Automazioni Industriali(オートマジョーニインダストリアーリ)社 / ロボットシステム</x:v>
      </x:c>
      <x:c r="J434" s="7" t="str">
        <x:v>EEX-EXH-2026-274028d500af35a8</x:v>
      </x:c>
      <x:c r="K434" s="7" t="str">
        <x:v>https://www.jimtof.org/search/jp/ESdetails?e=CKssMtqLQME</x:v>
      </x:c>
    </x:row>
    <x:row r="435" ht="84" customHeight="1">
      <x:c r="A435" s="7" t="str">
        <x:v>自動化</x:v>
      </x:c>
      <x:c r="B435" s="7" t="str">
        <x:v>GH5：工具の3D画像認識・AI補正ホーニング</x:v>
      </x:c>
      <x:c r="C435" s="7" t="str">
        <x:v>株式会社サイバーRC</x:v>
      </x:c>
      <x:c r="D435" s="7" t="str">
        <x:v>GH5：工具の3D画像認識・AI補正ホーニング</x:v>
      </x:c>
      <x:c r="E435" s="7" t="str">
        <x:v>E7074</x:v>
      </x:c>
      <x:c r="F435" s="7" t="str">
        <x:v>内容から分類（調査者・一次整理）</x:v>
      </x:c>
      <x:c r="G435" s="7" t="str">
        <x:v>出展説明に基づく一次分類。方式・実装権限・提供段階は個別確認</x:v>
      </x:c>
      <x:c t="str" r="H435" s="21">
        <x:f>HYPERLINK("#'展示詳細'!A"&amp;MATCH("AC085",'展示詳細'!$A$1:$A$340,0),"AC085")</x:f>
        <x:v>AC085</x:v>
      </x:c>
      <x:c r="I435" s="7" t="str">
        <x:v>2026の具体記述：職人技の精度を、AIでデジタル化。 / サイバーRCの「GH5」は、高度な画像認識とAI制御により、熟練者の繊細な調整を数値入力のみで再現します。 / 3次元画像解析×AI自動補正：機内カメラで工具を立体認識し、リアルタイム補正で安定品質を実現。 / 「人に頼る加工」から「再現性のある自動化」へ。 / 加工の自動化と作業の標準化を軸に、研削・ホーニングの課題を即座に解決する注目の3機種です。 / * GM5ATC160：最大160本の工</x:v>
      </x:c>
      <x:c r="J435" s="7" t="str">
        <x:v>EEX-EXH-2026-a0cbad27ea34d7c4
EDP-02</x:v>
      </x:c>
      <x:c r="K435" s="7" t="str">
        <x:v>https://www.jimtof.org/search/jp/ESdetails?e=8ealehgmk8o
https://cyber-rc.com/wp-content/uploads/2025/10/%E7%B7%8F%E5%90%88%E3%82%AB%E3%82%BF%E3%83%AD%E3%82%B0420-x-297-mm%E6%A8%AA%E4%B8%A6%E3%81%B3-.pdf</x:v>
      </x:c>
    </x:row>
    <x:row r="436" ht="84" customHeight="1">
      <x:c r="A436" s="7" t="str">
        <x:v>自動化</x:v>
      </x:c>
      <x:c r="B436" s="7" t="str">
        <x:v>ウェハべべリング装置</x:v>
      </x:c>
      <x:c r="C436" s="7" t="str">
        <x:v>株式会社サンシン</x:v>
      </x:c>
      <x:c r="D436" s="7" t="str">
        <x:v>ウェハべべリング装置</x:v>
      </x:c>
      <x:c r="E436" s="7" t="str">
        <x:v>E7041</x:v>
      </x:c>
      <x:c r="F436" s="7" t="str">
        <x:v>内容から分類（調査者・一次整理）</x:v>
      </x:c>
      <x:c r="G436" s="7" t="str">
        <x:v>出展説明に基づく一次分類。方式・実装権限・提供段階は個別確認</x:v>
      </x:c>
      <x:c t="str" r="H436" s="21">
        <x:f>HYPERLINK("#'展示詳細'!A"&amp;MATCH("AC089",'展示詳細'!$A$1:$A$340,0),"AC089")</x:f>
        <x:v>AC089</x:v>
      </x:c>
      <x:c r="I436" s="7" t="str">
        <x:v>2026の具体記述：弊社「サンシン」のフィルム研磨装置は、超仕上げ加工における粗さの均一化、加工時間の短縮、自動化を実現できます。 / ロボット研磨装置</x:v>
      </x:c>
      <x:c r="J436" s="7" t="str">
        <x:v>EEX-EXH-2026-510e9c3efc641c9f</x:v>
      </x:c>
      <x:c r="K436" s="7" t="str">
        <x:v>https://www.jimtof.org/search/jp/ESdetails?e=ooNmKjSJlIc</x:v>
      </x:c>
    </x:row>
    <x:row r="437" ht="84" customHeight="1">
      <x:c r="A437" s="7" t="str">
        <x:v>自動化</x:v>
      </x:c>
      <x:c r="B437" s="7" t="str">
        <x:v>複合研削に対応するCNC万能研削盤「GSU-20・30P」は、プレーン・アンギュラ・内研を組み合わせた多彩な構成に加え、新たにポリゴン研削機能（CX制</x:v>
      </x:c>
      <x:c r="C437" s="7" t="str">
        <x:v>株式会社シギヤ精機製作所</x:v>
      </x:c>
      <x:c r="D437" s="7" t="str">
        <x:v>複合研削に対応するCNC万能研削盤「GSU-20・30P」は、プレーン・アンギュラ・内研を組み合わせた多彩な構成に加え、新たにポリゴン研削機能（CX制</x:v>
      </x:c>
      <x:c r="E437" s="7" t="str">
        <x:v>E7094</x:v>
      </x:c>
      <x:c r="F437" s="7" t="str">
        <x:v>内容から分類（調査者・一次整理）</x:v>
      </x:c>
      <x:c r="G437" s="7" t="str">
        <x:v>出展説明に基づく一次分類。方式・実装権限・提供段階は個別確認</x:v>
      </x:c>
      <x:c t="str" r="H437" s="21">
        <x:f>HYPERLINK("#'展示詳細'!A"&amp;MATCH("AC101",'展示詳細'!$A$1:$A$340,0),"AC101")</x:f>
        <x:v>AC101</x:v>
      </x:c>
      <x:c r="I437" s="7" t="str">
        <x:v>2026の具体記述：高精度研削技術と操作性のさらなる進化をテーマに、複雑化・高精度化する加工ニーズへ対応する最新技術をご紹介します。 / 新開発のポリゴン研削機能（C-X制御）を搭載したCNC万能研削盤をはじめ、NC旋回主軸台による複合加工を実現する内面研削盤、さらに直感的な操作性と高度な加工支援を両立した新型対話システム「S3Pro」を展示。 / 高精度・高効率・省段取りを実現するソリューションを通じて、お客様の生産性向上に貢献する最新技術をご提案します</x:v>
      </x:c>
      <x:c r="J437" s="7" t="str">
        <x:v>EEX-EXH-2026-ec6cc41bae704f0d</x:v>
      </x:c>
      <x:c r="K437" s="7" t="str">
        <x:v>https://www.jimtof.org/search/jp/ESdetails?e=7L3V3jg3cYg</x:v>
      </x:c>
    </x:row>
    <x:row r="438" ht="84" customHeight="1">
      <x:c r="A438" s="7" t="str">
        <x:v>自動化</x:v>
      </x:c>
      <x:c r="B438" s="7" t="str">
        <x:v>＜ 航空・発電向けソリューション＞</x:v>
      </x:c>
      <x:c r="C438" s="7" t="str">
        <x:v>株式会社シーケービー</x:v>
      </x:c>
      <x:c r="D438" s="7" t="str">
        <x:v>＜ 航空・発電向けソリューション＞</x:v>
      </x:c>
      <x:c r="E438" s="7" t="str">
        <x:v>E2035</x:v>
      </x:c>
      <x:c r="F438" s="7" t="str">
        <x:v>内容から分類（調査者・一次整理）</x:v>
      </x:c>
      <x:c r="G438" s="7" t="str">
        <x:v>出展説明に基づく一次分類。方式・実装権限・提供段階は個別確認</x:v>
      </x:c>
      <x:c t="str" r="H438" s="21">
        <x:f>HYPERLINK("#'展示詳細'!A"&amp;MATCH("AC096",'展示詳細'!$A$1:$A$340,0),"AC096")</x:f>
        <x:v>AC096</x:v>
      </x:c>
      <x:c r="I438" s="7" t="str">
        <x:v>2026の具体記述：航空・発電分野および自動車分野にフォーカスし、厳選した12社の先進技術・ソリューションを紹介します。 / 航空機エンジン部品や発電設備などの難削材・高精度加工、自動車分野におけるEV化や次世代モビリティに対応した生産効率化技術など、幅広いニーズに応える最新技術を展示します。 / 加工技術、測定、自動化、生産支援まで、CKBならではの総合的な提案力で、お客様の製造現場の課題解決と未来のものづくりをサポートします。 / * Flexmill</x:v>
      </x:c>
      <x:c r="J438" s="7" t="str">
        <x:v>EEX-EXH-2026-22d80dbe4c402896</x:v>
      </x:c>
      <x:c r="K438" s="7" t="str">
        <x:v>https://www.jimtof.org/search/jp/ESdetails?e=-waFBj53SPU</x:v>
      </x:c>
    </x:row>
    <x:row r="439" ht="84" customHeight="1">
      <x:c r="A439" s="7" t="str">
        <x:v>自動化</x:v>
      </x:c>
      <x:c r="B439" s="7" t="str">
        <x:v>大型CNC円筒研削盤　G5P250G</x:v>
      </x:c>
      <x:c r="C439" s="7" t="str">
        <x:v>株式会社ジェイテクト</x:v>
      </x:c>
      <x:c r="D439" s="7" t="str">
        <x:v>大型CNC円筒研削盤　G5P250G</x:v>
      </x:c>
      <x:c r="E439" s="7" t="str">
        <x:v>E8003</x:v>
      </x:c>
      <x:c r="F439" s="7" t="str">
        <x:v>内容から分類（調査者・一次整理）</x:v>
      </x:c>
      <x:c r="G439" s="7" t="str">
        <x:v>出展説明に基づく一次分類。方式・実装権限・提供段階は個別確認</x:v>
      </x:c>
      <x:c t="str" r="H439" s="21">
        <x:f>HYPERLINK("#'展示詳細'!A"&amp;MATCH("AC100",'展示詳細'!$A$1:$A$340,0),"AC100")</x:f>
        <x:v>AC100</x:v>
      </x:c>
      <x:c r="I439" s="7" t="str">
        <x:v>2026の具体記述：」をテーマに、自動化、工程集約、生産性向上、生産を止めない工場、生産工程の省エネなどお客様のニーズにお応えするソリューションをご提案いたします。 / 自動化技術で熟練加工を再現し、誰でも簡単に大型ワークの研削を可能にする大型CNC円筒研削盤「G5P250G」。 / 工場ソリューションエリアでは、設備だけでなく、人・情報・エネルギーなどのリソースマネジメントを組み合わせ、「人作業の自動化」「生産を止めない工場」「生産工程の省エネ」のニーズ</x:v>
      </x:c>
      <x:c r="J439" s="7" t="str">
        <x:v>EEX-EXH-2026-18d08a3e4d8ab906</x:v>
      </x:c>
      <x:c r="K439" s="7" t="str">
        <x:v>https://www.jimtof.org/search/jp/ESdetails?e=cW9RNSMEfso</x:v>
      </x:c>
    </x:row>
    <x:row r="440" ht="84" customHeight="1">
      <x:c r="A440" s="7" t="str">
        <x:v>自動化</x:v>
      </x:c>
      <x:c r="B440" s="7" t="str">
        <x:v>XEBEC CPS オートホルダー</x:v>
      </x:c>
      <x:c r="C440" s="7" t="str">
        <x:v>株式会社ジーベックテクノロジー</x:v>
      </x:c>
      <x:c r="D440" s="7" t="str">
        <x:v>XEBEC CPS オートホルダー</x:v>
      </x:c>
      <x:c r="E440" s="7" t="str">
        <x:v>WA006</x:v>
      </x:c>
      <x:c r="F440" s="7" t="str">
        <x:v>内容から分類（調査者・一次整理）</x:v>
      </x:c>
      <x:c r="G440" s="7" t="str">
        <x:v>出展説明に基づく一次分類。方式・実装権限・提供段階は個別確認</x:v>
      </x:c>
      <x:c t="str" r="H440" s="21">
        <x:f>HYPERLINK("#'展示詳細'!A"&amp;MATCH("AC097",'展示詳細'!$A$1:$A$340,0),"AC097")</x:f>
        <x:v>AC097</x:v>
      </x:c>
      <x:c r="I440" s="7" t="str">
        <x:v>2026の具体記述：CPS オートホルダーは、ブラシの摩耗に応じて突出し量を自動で調整。 / さらに、ロボットとCPSオートホルダーを組み合わせたギヤのバリ取りデモを実演し、ブラシの摩耗を意識せず、安定した加工を継続する工程をご覧いただけます。 / 工具を自動で動かすだけではなく、加工中に発生していた人の調整やムダな試行錯誤まで減らしていく。 / 工作機械からロボットまで、XEBECが考えるこれからの「バリ取りの新基準」を、ぜひ会場でご体感ください。 / </x:v>
      </x:c>
      <x:c r="J440" s="7" t="str">
        <x:v>EEX-EXH-2026-ba283a239e52d644</x:v>
      </x:c>
      <x:c r="K440" s="7" t="str">
        <x:v>https://www.jimtof.org/search/jp/ESdetails?e=jbu03Ik4s00</x:v>
      </x:c>
    </x:row>
    <x:row r="441" ht="84" customHeight="1">
      <x:c r="A441" s="7" t="str">
        <x:v>自動化</x:v>
      </x:c>
      <x:c r="B441" s="7" t="str">
        <x:v>部品加工用CAD/CAM「GO2cam」</x:v>
      </x:c>
      <x:c r="C441" s="7" t="str">
        <x:v>株式会社セイロジャパン</x:v>
      </x:c>
      <x:c r="D441" s="7" t="str">
        <x:v>部品加工用CAD/CAM「GO2cam」</x:v>
      </x:c>
      <x:c r="E441" s="7" t="str">
        <x:v>S3010</x:v>
      </x:c>
      <x:c r="F441" s="7" t="str">
        <x:v>内容から分類（調査者・一次整理）</x:v>
      </x:c>
      <x:c r="G441" s="7" t="str">
        <x:v>出展説明に基づく一次分類。方式・実装権限・提供段階は個別確認</x:v>
      </x:c>
      <x:c t="str" r="H441" s="21">
        <x:f>HYPERLINK("#'展示詳細'!A"&amp;MATCH("AC117",'展示詳細'!$A$1:$A$340,0),"AC117")</x:f>
        <x:v>AC117</x:v>
      </x:c>
      <x:c r="I441" s="7" t="str">
        <x:v>2026の具体記述：当社ブースでは、「部品加工」と「金型設計・加工」領域に特化したCAD/CAMで最適な解決策をご提案します。 / 【部品加工の課題に（GO2cam）】 / ■部品加工用CAD/CAM「GO2cam」 / GO2camは、現場の加工のばらつきを減らし、 / ■金型設計・加工統合CAD/CAM「Cimatron」 / 金型設計から電極設計、CAMまで、金型製作をひとつに。</x:v>
      </x:c>
      <x:c r="J441" s="7" t="str">
        <x:v>EEX-EXH-2026-7c65eb7290ab9d16</x:v>
      </x:c>
      <x:c r="K441" s="7" t="str">
        <x:v>https://www.jimtof.org/search/jp/ESdetails?e=nz0oSJ7WlKg</x:v>
      </x:c>
    </x:row>
    <x:row r="442" ht="84" customHeight="1">
      <x:c r="A442" s="7" t="str">
        <x:v>自動化</x:v>
      </x:c>
      <x:c r="B442" s="7" t="str">
        <x:v>「Mastercam」は、世界No.1の導入実績を誇る3D-CAD/CAMシステムです。部品加工、試作、金型、木工など幅広い分野で活用され、2軸加工か</x:v>
      </x:c>
      <x:c r="C442" s="7" t="str">
        <x:v>株式会社ゼネテック</x:v>
      </x:c>
      <x:c r="D442" s="7" t="str">
        <x:v>「Mastercam」は、世界No.1の導入実績を誇る3D-CAD/CAMシステムです。部品加工、試作、金型、木工など幅広い分野で活用され、2軸加工か</x:v>
      </x:c>
      <x:c r="E442" s="7" t="str">
        <x:v>E2022</x:v>
      </x:c>
      <x:c r="F442" s="7" t="str">
        <x:v>内容から分類（調査者・一次整理）</x:v>
      </x:c>
      <x:c r="G442" s="7" t="str">
        <x:v>出展説明に基づく一次分類。方式・実装権限・提供段階は個別確認</x:v>
      </x:c>
      <x:c t="str" r="H442" s="21">
        <x:f>HYPERLINK("#'展示詳細'!A"&amp;MATCH("AC119",'展示詳細'!$A$1:$A$340,0),"AC119")</x:f>
        <x:v>AC119</x:v>
      </x:c>
      <x:c r="I442" s="7" t="str">
        <x:v>2026の具体記述：ゼネテックは、Mastercamを中心に、加工・シミュレーション・リバースエンジニアリング・システム開発まで、製造現場のデジタル化をワンストップで支援します。 / ブースでは、3Dスキャンした金剛力士立像をCADデータ化し、Mastercamで加工プログラムを作成、ファナック製ロボドリル「D74CS」で64チタン製立像を加工する一連の流れを実演します。 / さらにFlexSimやロボット活用、設備稼働監視などのソリューションも紹介します</x:v>
      </x:c>
      <x:c r="J442" s="7" t="str">
        <x:v>EEX-EXH-2026-3578da576a0d1e12</x:v>
      </x:c>
      <x:c r="K442" s="7" t="str">
        <x:v>https://www.jimtof.org/search/jp/ESdetails?e=BLWqVcnax5s</x:v>
      </x:c>
    </x:row>
    <x:row r="443" ht="84" customHeight="1">
      <x:c r="A443" s="7" t="str">
        <x:v>自動化</x:v>
      </x:c>
      <x:c r="B443" s="7" t="str">
        <x:v>1）リニアモータ駆動 高速・高性能 ワイヤ放電加工機「ALN600G ⅰGroove + Edition」</x:v>
      </x:c>
      <x:c r="C443" s="7" t="str">
        <x:v>株式会社ソディック</x:v>
      </x:c>
      <x:c r="D443" s="7" t="str">
        <x:v>1）リニアモータ駆動 高速・高性能 ワイヤ放電加工機「ALN600G ⅰGroove + Edition」</x:v>
      </x:c>
      <x:c r="E443" s="7" t="str">
        <x:v>E2017</x:v>
      </x:c>
      <x:c r="F443" s="7" t="str">
        <x:v>内容から分類（調査者・一次整理）</x:v>
      </x:c>
      <x:c r="G443" s="7" t="str">
        <x:v>出展説明に基づく一次分類。方式・実装権限・提供段階は個別確認</x:v>
      </x:c>
      <x:c t="str" r="H443" s="21">
        <x:f>HYPERLINK("#'展示詳細'!A"&amp;MATCH("AC123",'展示詳細'!$A$1:$A$340,0),"AC123")</x:f>
        <x:v>AC123</x:v>
      </x:c>
      <x:c r="I443" s="7" t="str">
        <x:v>2026の具体記述：ブースでは、リニアモータ駆動ワイヤ放電加工機と搬送ロボットを組み合わせた自動化システムをはじめ、形彫り放電加工機や精密切削加工の自動化技術など、生産現場の競争力向上に貢献する最新ソリューションを実演展示します。 / また、初披露となる新型レーザー加工機、自社生産による高品質な消耗品、省力化・効率化を支援するIoTソリューションなど、多彩な製品・技術をご紹介します。</x:v>
      </x:c>
      <x:c r="J443" s="7" t="str">
        <x:v>EEX-EXH-2026-f434da28b26d8f26</x:v>
      </x:c>
      <x:c r="K443" s="7" t="str">
        <x:v>https://www.jimtof.org/search/jp/ESdetails?e=k6keXdSLQmQ</x:v>
      </x:c>
    </x:row>
    <x:row r="444" ht="84" customHeight="1">
      <x:c r="A444" s="7" t="str">
        <x:v>自動化</x:v>
      </x:c>
      <x:c r="B444" s="7" t="str">
        <x:v>周辺部品・機構</x:v>
      </x:c>
      <x:c r="C444" s="7" t="str">
        <x:v>株式会社タンガロイ</x:v>
      </x:c>
      <x:c r="D444" s="7" t="str">
        <x:v>旋削加工用：AddMultiTurn, TungTurnJet, BoreMeister, TungBoreMini, TungCut, AddFor</x:v>
      </x:c>
      <x:c r="E444" s="7" t="str">
        <x:v>W1090</x:v>
      </x:c>
      <x:c r="F444" s="7" t="str">
        <x:v>内容から分類（調査者・一次整理）</x:v>
      </x:c>
      <x:c r="G444" s="7" t="str">
        <x:v>周辺要素・実装部品。システム全体のAI／自動動作の確認ではない</x:v>
      </x:c>
      <x:c t="str" r="H444" s="21">
        <x:f>HYPERLINK("#'展示詳細'!A"&amp;MATCH("AC132",'展示詳細'!$A$1:$A$340,0),"AC132")</x:f>
        <x:v>AC132</x:v>
      </x:c>
      <x:c r="I444" s="7" t="str">
        <x:v>2026の具体記述：さらに、自動化・省人化に対応したシステムや、多様化する加工ニーズに応える最新工具も展示します。</x:v>
      </x:c>
      <x:c r="J444" s="7" t="str">
        <x:v>EEX-EXH-2026-b1217429663a31e7</x:v>
      </x:c>
      <x:c r="K444" s="7" t="str">
        <x:v>https://www.jimtof.org/search/jp/ESdetails?e=VUyVyFPIn2Q</x:v>
      </x:c>
    </x:row>
    <x:row r="445" ht="84" customHeight="1">
      <x:c r="A445" s="7" t="str">
        <x:v>自動化</x:v>
      </x:c>
      <x:c r="B445" s="7" t="str">
        <x:v>遠心バレル研磨機「HS8V-10G」(2L×4槽タイプ)</x:v>
      </x:c>
      <x:c r="C445" s="7" t="str">
        <x:v>株式会社チップトン</x:v>
      </x:c>
      <x:c r="D445" s="7" t="str">
        <x:v>遠心バレル研磨機「HS8V-10G」(2L×4槽タイプ)</x:v>
      </x:c>
      <x:c r="E445" s="7" t="str">
        <x:v>W4040</x:v>
      </x:c>
      <x:c r="F445" s="7" t="str">
        <x:v>内容から分類（調査者・一次整理）</x:v>
      </x:c>
      <x:c r="G445" s="7" t="str">
        <x:v>出展説明に基づく一次分類。方式・実装権限・提供段階は個別確認</x:v>
      </x:c>
      <x:c t="str" r="H445" s="21">
        <x:f>HYPERLINK("#'展示詳細'!A"&amp;MATCH("AC133",'展示詳細'!$A$1:$A$340,0),"AC133")</x:f>
        <x:v>AC133</x:v>
      </x:c>
      <x:c r="I445" s="7" t="str">
        <x:v>2026の具体記述：水の飛散がなく、インライン化・自動化にも適したオンリーワンの振動バレルをご覧ください。 / ワーク装入・研磨・選別・洗浄・乾燥までをつなぐ全自動ラインの構築により、バレル研磨工程の無人化にも対応します。</x:v>
      </x:c>
      <x:c r="J445" s="7" t="str">
        <x:v>EEX-EXH-2026-c187ee9769dcb716</x:v>
      </x:c>
      <x:c r="K445" s="7" t="str">
        <x:v>https://www.jimtof.org/search/jp/ESdetails?e=nBcJqlTC_OU</x:v>
      </x:c>
    </x:row>
    <x:row r="446" ht="84" customHeight="1">
      <x:c r="A446" s="7" t="str">
        <x:v>自動化</x:v>
      </x:c>
      <x:c r="B446" s="7" t="str">
        <x:v>CNC精密自動旋盤　B0207</x:v>
      </x:c>
      <x:c r="C446" s="7" t="str">
        <x:v>株式会社ツガミ</x:v>
      </x:c>
      <x:c r="D446" s="7" t="str">
        <x:v>CNC精密自動旋盤　B0207</x:v>
      </x:c>
      <x:c r="E446" s="7" t="str">
        <x:v>S1004</x:v>
      </x:c>
      <x:c r="F446" s="7" t="str">
        <x:v>内容から分類（調査者・一次整理）</x:v>
      </x:c>
      <x:c r="G446" s="7" t="str">
        <x:v>出展説明に基づく一次分類。方式・実装権限・提供段階は個別確認</x:v>
      </x:c>
      <x:c t="str" r="H446" s="21">
        <x:f>HYPERLINK("#'展示詳細'!A"&amp;MATCH("AC139",'展示詳細'!$A$1:$A$340,0),"AC139")</x:f>
        <x:v>AC139</x:v>
      </x:c>
      <x:c r="I446" s="7" t="str">
        <x:v>2026の具体記述：CNC精密自動旋盤B0207は実績豊富なB020シリーズにB軸刃物台を搭載したモデルである。 / CNC精密自動旋盤BW389ZJはØ38 クラスの独立対向くし刃機であり、高剛性と重切削性能を備え、独立刃物台で大径素材の高能率加工を実現。 / また、自動化システムを搭載した機種も展示する。 / CNC精密自動旋盤B0205-VRには、複数品種の仕分けやワークロット管理が可能で、省スペースなワークストッカを搭載。 / ターニングセンタTM</x:v>
      </x:c>
      <x:c r="J446" s="7" t="str">
        <x:v>EEX-EXH-2026-32c10384bbcaec00</x:v>
      </x:c>
      <x:c r="K446" s="7" t="str">
        <x:v>https://www.jimtof.org/search/jp/ESdetails?e=fKOIqkxqaBI</x:v>
      </x:c>
    </x:row>
    <x:row r="447" ht="84" customHeight="1">
      <x:c r="A447" s="7" t="str">
        <x:v>自動化</x:v>
      </x:c>
      <x:c r="B447" s="7" t="str">
        <x:v>ミツテック（株）製外観検査装置　高速で外観検査を行いNG品流出を防ぎます。</x:v>
      </x:c>
      <x:c r="C447" s="7" t="str">
        <x:v>株式会社トミタ</x:v>
      </x:c>
      <x:c r="D447" s="7" t="str">
        <x:v>ミツテック（株）製外観検査装置　高速で外観検査を行いNG品流出を防ぎます。</x:v>
      </x:c>
      <x:c r="E447" s="7" t="str">
        <x:v>W2060</x:v>
      </x:c>
      <x:c r="F447" s="7" t="str">
        <x:v>内容から分類（調査者・一次整理）</x:v>
      </x:c>
      <x:c r="G447" s="7" t="str">
        <x:v>出展説明に基づく一次分類。方式・実装権限・提供段階は個別確認</x:v>
      </x:c>
      <x:c t="str" r="H447" s="21">
        <x:f>HYPERLINK("#'展示詳細'!A"&amp;MATCH("AC154",'展示詳細'!$A$1:$A$340,0),"AC154")</x:f>
        <x:v>AC154</x:v>
      </x:c>
      <x:c r="I447" s="7" t="str">
        <x:v>2026の具体記述：国産の外観検査装置及びマルチ組立て装置、ドイツ製の輸入機器のAI監視カメラ、世界初のフルカーボンスピンドル、揺動ジェットノズル、目視検査支援ソフト、超高速・超大型の五面加工機、グループ会社の新日本産業及びフィールドの会社概要をご紹介。 / ・ドイツZimmermann社製超高速、超大型の五面化工機、自動車開発で使用されるモデリング加工を / ・ドイツFDX Fluid Dynamix社製揺動ジェットノズル.　特殊構造により可動部品を使用</x:v>
      </x:c>
      <x:c r="J447" s="7" t="str">
        <x:v>EEX-EXH-2026-20a8d3222020ce04</x:v>
      </x:c>
      <x:c r="K447" s="7" t="str">
        <x:v>https://www.jimtof.org/search/jp/ESdetails?e=C6Hx1wzP4fA</x:v>
      </x:c>
    </x:row>
    <x:row r="448" ht="84" customHeight="1">
      <x:c r="A448" s="7" t="str">
        <x:v>自動化</x:v>
      </x:c>
      <x:c r="B448" s="7" t="str">
        <x:v>周辺部品・機構</x:v>
      </x:c>
      <x:c r="C448" s="7" t="str">
        <x:v>株式会社ナベヤ</x:v>
      </x:c>
      <x:c r="D448" s="7" t="str">
        <x:v>自動化対応パレットジグ・エアーマシンバイス・ナットランナークランプ・マグネットチャック・5軸マシンバイス・引込ジグ・バキュームチャック・測定用ジグ、位</x:v>
      </x:c>
      <x:c r="E448" s="7" t="str">
        <x:v>W2053</x:v>
      </x:c>
      <x:c r="F448" s="7" t="str">
        <x:v>内容から分類（調査者・一次整理）</x:v>
      </x:c>
      <x:c r="G448" s="7" t="str">
        <x:v>周辺要素・実装部品。システム全体のAI／自動動作の確認ではない</x:v>
      </x:c>
      <x:c t="str" r="H448" s="21">
        <x:f>HYPERLINK("#'展示詳細'!A"&amp;MATCH("AC157",'展示詳細'!$A$1:$A$340,0),"AC157")</x:f>
        <x:v>AC157</x:v>
      </x:c>
      <x:c r="I448" s="7" t="str">
        <x:v>2026の具体記述：掴む・支える・おさえる製品で、「自動化」「工程集約」「工数削減」のソリューションをご提案 / ■「自動化」 / ワークの形状・生産量やその他ご要望に合わせた自動化の方向性を、構成・精度から運用までご提案。 / １．ワークをロボットで交換 / ２．外段取りジグをロボットで交換 / 自動化や5軸加工における、ジグの運用方法や方向性など課題をお持ちのお客様はぜひご来場ください！ / 自動化対応パレットジグ・エアーマシンバイス・ナットランナーク</x:v>
      </x:c>
      <x:c r="J448" s="7" t="str">
        <x:v>EEX-EXH-2026-5c2eb38f86114993</x:v>
      </x:c>
      <x:c r="K448" s="7" t="str">
        <x:v>https://www.jimtof.org/search/jp/ESdetails?e=MNGSajJO4pQ</x:v>
      </x:c>
    </x:row>
    <x:row r="449" ht="84" customHeight="1">
      <x:c r="A449" s="7" t="str">
        <x:v>自動化</x:v>
      </x:c>
      <x:c r="B449" s="7" t="str">
        <x:v>TM Robot S-Type：ビジョン・AI内蔵協働ロボット</x:v>
      </x:c>
      <x:c r="C449" s="7" t="str">
        <x:v>株式会社ナベル</x:v>
      </x:c>
      <x:c r="D449" s="7" t="str">
        <x:v>TM Robot S-Type：ビジョン・AI内蔵協働ロボット</x:v>
      </x:c>
      <x:c r="E449" s="7" t="str">
        <x:v>W2041</x:v>
      </x:c>
      <x:c r="F449" s="7" t="str">
        <x:v>内容から分類（調査者・一次整理）</x:v>
      </x:c>
      <x:c r="G449" s="7" t="str">
        <x:v>出展説明に基づく一次分類。方式・実装権限・提供段階は個別確認</x:v>
      </x:c>
      <x:c t="str" r="H449" s="21">
        <x:f>HYPERLINK("#'展示詳細'!A"&amp;MATCH("AC159",'展示詳細'!$A$1:$A$340,0),"AC159")</x:f>
        <x:v>AC159</x:v>
      </x:c>
      <x:c r="I449" s="7" t="str">
        <x:v>2026の具体記述：SDGs の理念に添い、ムダの削減や再利用、省エネルギー化をサポートする新製品を始め、協働・産業用ロボットやロボットを保護するカバーも出展しております。 / ⚫TM Robot (S-Type) Techman製 AI搭載「協働ロボット」 / ビジョンカメラ標準内蔵・AIソフト搭載 / ⚫Robot-Flex 各種ロボット用カバー / ⚫ LS8(EPSONスカラロボット) / 可搬重量10㎏の省電力かつ静音性に優れたスカラロボット</x:v>
      </x:c>
      <x:c r="J449" s="7" t="str">
        <x:v>EEX-EXH-2026-87b7a21b4cef9d01</x:v>
      </x:c>
      <x:c r="K449" s="7" t="str">
        <x:v>https://www.jimtof.org/search/jp/ESdetails?e=6wciaKIuYB8</x:v>
      </x:c>
    </x:row>
    <x:row r="450" ht="84" customHeight="1">
      <x:c r="A450" s="7" t="str">
        <x:v>自動化</x:v>
      </x:c>
      <x:c r="B450" s="7" t="str">
        <x:v>軸心冷却機能搭載　中ぐり加工機「HN80E-BAR」</x:v>
      </x:c>
      <x:c r="C450" s="7" t="str">
        <x:v>株式会社ニイガタマシンテクノ</x:v>
      </x:c>
      <x:c r="D450" s="7" t="str">
        <x:v>軸心冷却機能搭載　中ぐり加工機「HN80E-BAR」</x:v>
      </x:c>
      <x:c r="E450" s="7" t="str">
        <x:v>E3026</x:v>
      </x:c>
      <x:c r="F450" s="7" t="str">
        <x:v>内容から分類（調査者・一次整理）</x:v>
      </x:c>
      <x:c r="G450" s="7" t="str">
        <x:v>出展説明に基づく一次分類。方式・実装権限・提供段階は個別確認</x:v>
      </x:c>
      <x:c t="str" r="H450" s="21">
        <x:f>HYPERLINK("#'展示詳細'!A"&amp;MATCH("AC163",'展示詳細'!$A$1:$A$340,0),"AC163")</x:f>
        <x:v>AC163</x:v>
      </x:c>
      <x:c r="I450" s="7" t="str">
        <x:v>2026の具体記述：軸心冷却機能を搭載した中ぐり加工機「HN80E-BAR」は、ラインバーを自動で機内へ設置するロボットとともに展示。 / Ｚ軸ストローク1020mmに対し、それを上回るツール長1100mmのラインバーをロボットがワーク内へ直接設置し、ツール交換を実施します。 / スペースを最大限に生かし、「自動化・省人化」を両立する当社独自の最新システムをぜひご覧ください。</x:v>
      </x:c>
      <x:c r="J450" s="7" t="str">
        <x:v>EEX-EXH-2026-b669e6d6d1dc5657</x:v>
      </x:c>
      <x:c r="K450" s="7" t="str">
        <x:v>https://www.jimtof.org/search/jp/ESdetails?e=JgNgvfg06ag</x:v>
      </x:c>
    </x:row>
    <x:row r="451" ht="84" customHeight="1">
      <x:c r="A451" s="7" t="str">
        <x:v>自動化</x:v>
      </x:c>
      <x:c r="B451" s="7" t="str">
        <x:v>周辺部品・機構</x:v>
      </x:c>
      <x:c r="C451" s="7" t="str">
        <x:v>株式会社ニッセイ</x:v>
      </x:c>
      <x:c r="D451" s="7" t="str">
        <x:v>高剛性減速機は、生産性向上のニーズにあらゆる角度から応える機能・性能を備えています。産業用ロボットやFA機器において、高精度でパワフルかつスピーディな</x:v>
      </x:c>
      <x:c r="E451" s="7" t="str">
        <x:v>W3031</x:v>
      </x:c>
      <x:c r="F451" s="7" t="str">
        <x:v>内容から分類（調査者・一次整理）</x:v>
      </x:c>
      <x:c r="G451" s="7" t="str">
        <x:v>周辺要素・実装部品。システム全体のAI／自動動作の確認ではない</x:v>
      </x:c>
      <x:c t="str" r="H451" s="21">
        <x:f>HYPERLINK("#'展示詳細'!A"&amp;MATCH("AC168",'展示詳細'!$A$1:$A$340,0),"AC168")</x:f>
        <x:v>AC168</x:v>
      </x:c>
      <x:c r="I451" s="7" t="str">
        <x:v>2026の具体記述：産業用ロボットやFA機器において、高精度でパワフルかつスピーディな駆動を実現させます。</x:v>
      </x:c>
      <x:c r="J451" s="7" t="str">
        <x:v>EEX-EXH-2026-c3ddb256e8eb1f0b</x:v>
      </x:c>
      <x:c r="K451" s="7" t="str">
        <x:v>https://www.jimtof.org/search/jp/ESdetails?e=E6552CzYMDI</x:v>
      </x:c>
    </x:row>
    <x:row r="452" ht="84" customHeight="1">
      <x:c r="A452" s="7" t="str">
        <x:v>自動化</x:v>
      </x:c>
      <x:c r="B452" s="7" t="str">
        <x:v>周辺部品・機構</x:v>
      </x:c>
      <x:c r="C452" s="7" t="str">
        <x:v>株式会社ネオフレックス</x:v>
      </x:c>
      <x:c r="D452" s="7" t="str">
        <x:v>1.フレキシブル電線保護管（金属製・樹脂製）</x:v>
      </x:c>
      <x:c r="E452" s="7" t="str">
        <x:v>S3039</x:v>
      </x:c>
      <x:c r="F452" s="7" t="str">
        <x:v>内容から分類（調査者・一次整理）</x:v>
      </x:c>
      <x:c r="G452" s="7" t="str">
        <x:v>周辺要素・実装部品。システム全体のAI／自動動作の確認ではない</x:v>
      </x:c>
      <x:c t="str" r="H452" s="21">
        <x:f>HYPERLINK("#'展示詳細'!A"&amp;MATCH("AC182",'展示詳細'!$A$1:$A$340,0),"AC182")</x:f>
        <x:v>AC182</x:v>
      </x:c>
      <x:c r="I452" s="7" t="str">
        <x:v>2026の具体記述：当社は、工作機械、産業機械、船舶、鉄道車両、建設機械、プラント建設、トンネル工事、ロボット、自動機、工場設備など、幅広い用途向けのフレキシブル電線保護管およびコネクターを製造・販売しています。</x:v>
      </x:c>
      <x:c r="J452" s="7" t="str">
        <x:v>EEX-EXH-2026-7e162011f9184cc6</x:v>
      </x:c>
      <x:c r="K452" s="7" t="str">
        <x:v>https://www.jimtof.org/search/jp/ESdetails?e=CQ20cW795qg</x:v>
      </x:c>
    </x:row>
    <x:row r="453" ht="84" customHeight="1">
      <x:c r="A453" s="7" t="str">
        <x:v>自動化</x:v>
      </x:c>
      <x:c r="B453" s="7" t="str">
        <x:v>周辺部品・機構</x:v>
      </x:c>
      <x:c r="C453" s="7" t="str">
        <x:v>株式会社ファーステック</x:v>
      </x:c>
      <x:c r="D453" s="7" t="str">
        <x:v>1) 5軸加工機用セルフセンタリングバイス・ゼロポイントシステム</x:v>
      </x:c>
      <x:c r="E453" s="7" t="str">
        <x:v>W2073</x:v>
      </x:c>
      <x:c r="F453" s="7" t="str">
        <x:v>内容から分類（調査者・一次整理）</x:v>
      </x:c>
      <x:c r="G453" s="7" t="str">
        <x:v>周辺要素・実装部品。システム全体のAI／自動動作の確認ではない</x:v>
      </x:c>
      <x:c t="str" r="H453" s="21">
        <x:f>HYPERLINK("#'展示詳細'!A"&amp;MATCH("AC192",'展示詳細'!$A$1:$A$340,0),"AC192")</x:f>
        <x:v>AC192</x:v>
      </x:c>
      <x:c r="I453" s="7" t="str">
        <x:v>2026の具体記述：株式会社ファーステックは、お客様の工場の機械の稼働率を上げる「生産性向上」と「自動化」に直結する、台湾トップメーカー２社の製品を展示します。 / Earth-Chain Enterprise Co.,Ltd.からは、5面加工や多数個同時加工を可能にする「切削加工用マグバイス」、連続通電不要で熱変位を防ぐ「研削盤用永電磁チャック」、非磁性体も磁性体もどちらも同時に保持できる「真空チャック付きマグネットチャック」、小型でありながら超強力な磁</x:v>
      </x:c>
      <x:c r="J453" s="7" t="str">
        <x:v>EEX-EXH-2026-e4150112aeeac886</x:v>
      </x:c>
      <x:c r="K453" s="7" t="str">
        <x:v>https://www.jimtof.org/search/jp/ESdetails?e=IkO-nLPn17Y</x:v>
      </x:c>
    </x:row>
    <x:row r="454" ht="84" customHeight="1">
      <x:c r="A454" s="7" t="str">
        <x:v>自動化</x:v>
      </x:c>
      <x:c r="B454" s="7" t="str">
        <x:v>「スーパー割り切り：立型ターレットセンター(オートワークチェンジャー付)」</x:v>
      </x:c>
      <x:c r="C454" s="7" t="str">
        <x:v>株式会社ファースト技研</x:v>
      </x:c>
      <x:c r="D454" s="7" t="str">
        <x:v>「スーパー割り切り：立型ターレットセンター(オートワークチェンジャー付)」</x:v>
      </x:c>
      <x:c r="E454" s="7" t="str">
        <x:v>S1006</x:v>
      </x:c>
      <x:c r="F454" s="7" t="str">
        <x:v>内容から分類（調査者・一次整理）</x:v>
      </x:c>
      <x:c r="G454" s="7" t="str">
        <x:v>出展説明に基づく一次分類。方式・実装権限・提供段階は個別確認</x:v>
      </x:c>
      <x:c t="str" r="H454" s="21">
        <x:f>HYPERLINK("#'展示詳細'!A"&amp;MATCH("AC193",'展示詳細'!$A$1:$A$340,0),"AC193")</x:f>
        <x:v>AC193</x:v>
      </x:c>
      <x:c r="I454" s="7" t="str">
        <x:v>2026の具体記述：■自動化にも完全対応 / ロボット含む搬送装置とのコンパクトかつ高効率な自動化ラインの構築が可能。</x:v>
      </x:c>
      <x:c r="J454" s="7" t="str">
        <x:v>EEX-EXH-2026-c6b62421f514a00b</x:v>
      </x:c>
      <x:c r="K454" s="7" t="str">
        <x:v>https://www.jimtof.org/search/jp/ESdetails?e=EE3GcaODxGA</x:v>
      </x:c>
    </x:row>
    <x:row r="455" ht="84" customHeight="1">
      <x:c r="A455" s="7" t="str">
        <x:v>自動化</x:v>
      </x:c>
      <x:c r="B455" s="7" t="str">
        <x:v>Autodesk Fusion</x:v>
      </x:c>
      <x:c r="C455" s="7" t="str">
        <x:v>株式会社フアクト</x:v>
      </x:c>
      <x:c r="D455" s="7" t="str">
        <x:v>Autodesk Fusion</x:v>
      </x:c>
      <x:c r="E455" s="7" t="str">
        <x:v>S3013</x:v>
      </x:c>
      <x:c r="F455" s="7" t="str">
        <x:v>内容から分類（調査者・一次整理）</x:v>
      </x:c>
      <x:c r="G455" s="7" t="str">
        <x:v>出展説明に基づく一次分類。方式・実装権限・提供段階は個別確認</x:v>
      </x:c>
      <x:c t="str" r="H455" s="21">
        <x:f>HYPERLINK("#'展示詳細'!A"&amp;MATCH("AC194",'展示詳細'!$A$1:$A$340,0),"AC194")</x:f>
        <x:v>AC194</x:v>
      </x:c>
      <x:c r="I455" s="7" t="str">
        <x:v>2026の具体記述：10万円程度の価格で5軸、複合旋盤も使えるAI搭載 3DCAD/CAM「Fusion」の / その他、加工プログラムの自動化が可能な「FeatureCAM」、NCシミュレーションまで / 可能な、永久ライセンスとサブスクリプションライセンスが選べる、3DCAD/CAM「ENCY]など / CAD/CAM販売35年以上の実績のあるフアクトがオススメするソフトウェアをご案内いたします。 / Fusion with FeatureCAM / </x:v>
      </x:c>
      <x:c r="J455" s="7" t="str">
        <x:v>EEX-EXH-2026-ae1a6fcc911ca14b</x:v>
      </x:c>
      <x:c r="K455" s="7" t="str">
        <x:v>https://www.jimtof.org/search/jp/ESdetails?e=taaGM0brdn8</x:v>
      </x:c>
    </x:row>
    <x:row r="456" ht="84" customHeight="1">
      <x:c r="A456" s="7" t="str">
        <x:v>自動化</x:v>
      </x:c>
      <x:c r="B456" s="7" t="str">
        <x:v>OTRS+AI：作業動画の自動分節</x:v>
      </x:c>
      <x:c r="C456" s="7" t="str">
        <x:v>株式会社ブロードリーフ</x:v>
      </x:c>
      <x:c r="D456" s="7" t="str">
        <x:v>OTRS+AI：作業動画の自動分節</x:v>
      </x:c>
      <x:c r="E456" s="7" t="str">
        <x:v>S3068</x:v>
      </x:c>
      <x:c r="F456" s="7" t="str">
        <x:v>内容から分類（調査者・一次整理）</x:v>
      </x:c>
      <x:c r="G456" s="7" t="str">
        <x:v>出展説明に基づく一次分類。方式・実装権限・提供段階は個別確認</x:v>
      </x:c>
      <x:c t="str" r="H456" s="21">
        <x:f>HYPERLINK("#'展示詳細'!A"&amp;MATCH("AC204",'展示詳細'!$A$1:$A$340,0),"AC204")</x:f>
        <x:v>AC204</x:v>
      </x:c>
      <x:c r="I456" s="7" t="str">
        <x:v>2026の具体記述：製造業向け作業分析ツール「OTRS」は、動画の精微な分析が可能である改善ソフトウェア「OTRS10」に加え、自動分節AIサービス「OTRS+AI」を展示します。</x:v>
      </x:c>
      <x:c r="J456" s="7" t="str">
        <x:v>EEX-EXH-2026-8014e235f82da6ea</x:v>
      </x:c>
      <x:c r="K456" s="7" t="str">
        <x:v>https://www.jimtof.org/search/jp/ESdetails?e=Dt_yEexTCZo</x:v>
      </x:c>
    </x:row>
    <x:row r="457" ht="84" customHeight="1">
      <x:c r="A457" s="7" t="str">
        <x:v>自動化</x:v>
      </x:c>
      <x:c r="B457" s="7" t="str">
        <x:v>周辺部品・機構</x:v>
      </x:c>
      <x:c r="C457" s="7" t="str">
        <x:v>株式会社ブンリ</x:v>
      </x:c>
      <x:c r="D457" s="7" t="str">
        <x:v>マグネティックセパレーター フェニックスNEO 『PXH』</x:v>
      </x:c>
      <x:c r="E457" s="7" t="str">
        <x:v>W4086</x:v>
      </x:c>
      <x:c r="F457" s="7" t="str">
        <x:v>内容から分類（調査者・一次整理）</x:v>
      </x:c>
      <x:c r="G457" s="7" t="str">
        <x:v>周辺要素・実装部品。システム全体のAI／自動動作の確認ではない</x:v>
      </x:c>
      <x:c t="str" r="H457" s="21">
        <x:f>HYPERLINK("#'展示詳細'!A"&amp;MATCH("AC205",'展示詳細'!$A$1:$A$340,0),"AC205")</x:f>
        <x:v>AC205</x:v>
      </x:c>
      <x:c r="I457" s="7" t="str">
        <x:v>2026の具体記述：『資源も人も限られる時代に、生産を止めない。 / 』 / 現代の生産現場では、資源の有効活用・省人化の対応が課題です。 / 今回のJIMTOF2026では、弊社のクーラント濾過装置が「生産を止めない」ためにどのようにお手伝いできるかご提案いたします。 / 『濾過装置総合メーカーとしての提案』 / 弊社の特徴は、幅広い製品ラインナップ。 / オーダーメイドも可能で、あらゆる工作機械に設置可能です。 / 磁性体・非磁性体問わず、現場にとって</x:v>
      </x:c>
      <x:c r="J457" s="7" t="str">
        <x:v>EEX-EXH-2026-5453132e0eec20bd</x:v>
      </x:c>
      <x:c r="K457" s="7" t="str">
        <x:v>https://www.jimtof.org/search/jp/ESdetails?e=r-Kxnh9Ctzg</x:v>
      </x:c>
    </x:row>
    <x:row r="458" ht="84" customHeight="1">
      <x:c r="A458" s="7" t="str">
        <x:v>自動化</x:v>
      </x:c>
      <x:c r="B458" s="7" t="str">
        <x:v>【AIカメラ】</x:v>
      </x:c>
      <x:c r="C458" s="7" t="str">
        <x:v>株式会社マザーツール</x:v>
      </x:c>
      <x:c r="D458" s="7" t="str">
        <x:v>【AIカメラ】</x:v>
      </x:c>
      <x:c r="E458" s="7" t="str">
        <x:v>S4038</x:v>
      </x:c>
      <x:c r="F458" s="7" t="str">
        <x:v>内容から分類（調査者・一次整理）</x:v>
      </x:c>
      <x:c r="G458" s="7" t="str">
        <x:v>出展説明に基づく一次分類。方式・実装権限・提供段階は個別確認</x:v>
      </x:c>
      <x:c t="str" r="H458" s="21">
        <x:f>HYPERLINK("#'展示詳細'!A"&amp;MATCH("AC210",'展示詳細'!$A$1:$A$340,0),"AC210")</x:f>
        <x:v>AC210</x:v>
      </x:c>
      <x:c r="I458" s="7" t="str">
        <x:v>2026の具体記述：サーモグラフィカメラによる設備の温度監視・異常発熱の検知、高解像度カメラによる作業状況の記録など、カメラを活用した「見える化」を実現します。 / AIカメラでは、作業者の危険箇所への侵入を検知して設備停止につなげたり、一人作業の現場や薬品庫など、人が常駐しないエリアでの転倒を検知してアラームでお知らせしたりするなど、工場内の安全対策もサポートします。 / その他にも、簡単に導入できるワイヤレスカメラモニターセット、熱を持つ設備の保守点検</x:v>
      </x:c>
      <x:c r="J458" s="7" t="str">
        <x:v>EEX-EXH-2026-57f4a98dc1098522</x:v>
      </x:c>
      <x:c r="K458" s="7" t="str">
        <x:v>https://www.jimtof.org/search/jp/ESdetails?e=BoITLU2Wxfk</x:v>
      </x:c>
    </x:row>
    <x:row r="459" ht="84" customHeight="1">
      <x:c r="A459" s="7" t="str">
        <x:v>自動化</x:v>
      </x:c>
      <x:c r="B459" s="7" t="str">
        <x:v>間接材トータルコストダウンサービス「MISUMI floow」自販機2種とミスミの切削工具を展示します。</x:v>
      </x:c>
      <x:c r="C459" s="7" t="str">
        <x:v>株式会社ミスミ</x:v>
      </x:c>
      <x:c r="D459" s="7" t="str">
        <x:v>間接材トータルコストダウンサービス「MISUMI floow」自販機2種とミスミの切削工具を展示します。</x:v>
      </x:c>
      <x:c r="E459" s="7" t="str">
        <x:v>W3099</x:v>
      </x:c>
      <x:c r="F459" s="7" t="str">
        <x:v>内容から分類（調査者・一次整理）</x:v>
      </x:c>
      <x:c r="G459" s="7" t="str">
        <x:v>出展説明に基づく一次分類。方式・実装権限・提供段階は個別確認</x:v>
      </x:c>
      <x:c t="str" r="H459" s="21">
        <x:f>HYPERLINK("#'展示詳細'!A"&amp;MATCH("AC216",'展示詳細'!$A$1:$A$340,0),"AC216")</x:f>
        <x:v>AC216</x:v>
      </x:c>
      <x:c r="I459" s="7" t="str">
        <x:v>2026の具体記述：自販機内在庫は重量センサーで管理し取り出し数量や在庫数を自動把握。 / 補充分も自動発注しお届けします。</x:v>
      </x:c>
      <x:c r="J459" s="7" t="str">
        <x:v>EEX-EXH-2026-df2de585aa6fd08a</x:v>
      </x:c>
      <x:c r="K459" s="7" t="str">
        <x:v>https://www.jimtof.org/search/jp/ESdetails?e=h6ienur8wVM</x:v>
      </x:c>
    </x:row>
    <x:row r="460" ht="84" customHeight="1">
      <x:c r="A460" s="7" t="str">
        <x:v>自動化</x:v>
      </x:c>
      <x:c r="B460" s="7" t="str">
        <x:v>間接材トータルコストダウンサービス「MISUMI floow」自販機2種とミスミの切削工具を展示します。</x:v>
      </x:c>
      <x:c r="C460" s="7" t="str">
        <x:v>株式会社ミスミ</x:v>
      </x:c>
      <x:c r="D460" s="7" t="str">
        <x:v>間接材トータルコストダウンサービス「MISUMI floow」自販機2種とミスミの切削工具を展示します。</x:v>
      </x:c>
      <x:c r="E460" s="7" t="str">
        <x:v>W1085</x:v>
      </x:c>
      <x:c r="F460" s="7" t="str">
        <x:v>内容から分類（調査者・一次整理）</x:v>
      </x:c>
      <x:c r="G460" s="7" t="str">
        <x:v>出展説明に基づく一次分類。方式・実装権限・提供段階は個別確認</x:v>
      </x:c>
      <x:c t="str" r="H460" s="21">
        <x:f>HYPERLINK("#'展示詳細'!A"&amp;MATCH("AC217",'展示詳細'!$A$1:$A$340,0),"AC217")</x:f>
        <x:v>AC217</x:v>
      </x:c>
      <x:c r="I460" s="7" t="str">
        <x:v>2026の具体記述：自販機内在庫は重量センサーで管理し取り出し数量や在庫数を自動把握。 / 補充分も自動発注しお届けします。</x:v>
      </x:c>
      <x:c r="J460" s="7" t="str">
        <x:v>EEX-EXH-2026-e80bcf8092a2c421</x:v>
      </x:c>
      <x:c r="K460" s="7" t="str">
        <x:v>https://www.jimtof.org/search/jp/ESdetails?e=LcjgLguZjr4</x:v>
      </x:c>
    </x:row>
    <x:row r="461" ht="84" customHeight="1">
      <x:c r="A461" s="7" t="str">
        <x:v>自動化</x:v>
      </x:c>
      <x:c r="B461" s="7" t="str">
        <x:v>MRA超硬バー、MRAバリ取りホルダ、GEMエアグラインダ、MRAエアグラインダ、MRA ERコレットシステム、ガンドリル、バリ取りブラシ、AWCワー</x:v>
      </x:c>
      <x:c r="C461" s="7" t="str">
        <x:v>株式会社ムラキ</x:v>
      </x:c>
      <x:c r="D461" s="7" t="str">
        <x:v>MRA超硬バー、MRAバリ取りホルダ、GEMエアグラインダ、MRAエアグラインダ、MRA ERコレットシステム、ガンドリル、バリ取りブラシ、AWCワー</x:v>
      </x:c>
      <x:c r="E461" s="7" t="str">
        <x:v>W1061</x:v>
      </x:c>
      <x:c r="F461" s="7" t="str">
        <x:v>内容から分類（調査者・一次整理）</x:v>
      </x:c>
      <x:c r="G461" s="7" t="str">
        <x:v>出展説明に基づく一次分類。方式・実装権限・提供段階は個別確認</x:v>
      </x:c>
      <x:c t="str" r="H461" s="21">
        <x:f>HYPERLINK("#'展示詳細'!A"&amp;MATCH("AC223",'展示詳細'!$A$1:$A$340,0),"AC223")</x:f>
        <x:v>AC223</x:v>
      </x:c>
      <x:c r="I461" s="7" t="str">
        <x:v>2026の具体記述：また、SYIC社の“AWCワーククランプシステム”及びCAPTOタイプ“スタティックツールホルダ”の展示を行い、各種作業の自動化・省人化をサポートいたします。 / 併せて会期中はロボットアームを用いたバリ取り加工の実演を実施いたします。 / ロボットアームへMRAバリ取りホルダ“でばりん”を搭載した、高効率なバリ取りをご覧ください。</x:v>
      </x:c>
      <x:c r="J461" s="7" t="str">
        <x:v>EEX-EXH-2026-2f9afa9947d91429</x:v>
      </x:c>
      <x:c r="K461" s="7" t="str">
        <x:v>https://www.jimtof.org/search/jp/ESdetails?e=qIDqZhLSNgg</x:v>
      </x:c>
    </x:row>
    <x:row r="462" ht="84" customHeight="1">
      <x:c r="A462" s="7" t="str">
        <x:v>自動化</x:v>
      </x:c>
      <x:c r="B462" s="7" t="str">
        <x:v>周辺部品・機構</x:v>
      </x:c>
      <x:c r="C462" s="7" t="str">
        <x:v>株式会社メトロール</x:v>
      </x:c>
      <x:c r="D462" s="7" t="str">
        <x:v>【エアミクロンセンサ】</x:v>
      </x:c>
      <x:c r="E462" s="7" t="str">
        <x:v>S4022</x:v>
      </x:c>
      <x:c r="F462" s="7" t="str">
        <x:v>内容から分類（調査者・一次整理）</x:v>
      </x:c>
      <x:c r="G462" s="7" t="str">
        <x:v>周辺要素・実装部品。システム全体のAI／自動動作の確認ではない</x:v>
      </x:c>
      <x:c t="str" r="H462" s="21">
        <x:f>HYPERLINK("#'展示詳細'!A"&amp;MATCH("AC227",'展示詳細'!$A$1:$A$340,0),"AC227")</x:f>
        <x:v>AC227</x:v>
      </x:c>
      <x:c r="I462" s="7" t="str">
        <x:v>2026の具体記述：ワークの着座確認はもちろん、NC研削盤における回転砥石の自動位置決めなど、さまざまな用途で活用可能です。 / 「加工不良を減らしたい」「設備を安定稼働させたい」「自動化をさらに進めたい」 / ・主な用途：ワークと治具の密着確認・NC研削盤の回転砥石の自動位置決め</x:v>
      </x:c>
      <x:c r="J462" s="7" t="str">
        <x:v>EEX-EXH-2026-d1b2346e07cb38c8</x:v>
      </x:c>
      <x:c r="K462" s="7" t="str">
        <x:v>https://www.jimtof.org/search/jp/ESdetails?e=wCfQP1f4Amo</x:v>
      </x:c>
    </x:row>
    <x:row r="463" ht="84" customHeight="1">
      <x:c r="A463" s="7" t="str">
        <x:v>自動化</x:v>
      </x:c>
      <x:c r="B463" s="7" t="str">
        <x:v>ALFRED：クーラント濃度・pH監視</x:v>
      </x:c>
      <x:c r="C463" s="7" t="str">
        <x:v>株式会社ユシロ</x:v>
      </x:c>
      <x:c r="D463" s="7" t="str">
        <x:v>ALFRED：クーラント濃度・pH監視</x:v>
      </x:c>
      <x:c r="E463" s="7" t="str">
        <x:v>S3093</x:v>
      </x:c>
      <x:c r="F463" s="7" t="str">
        <x:v>内容から分類（調査者・一次整理）</x:v>
      </x:c>
      <x:c r="G463" s="7" t="str">
        <x:v>出展説明に基づく一次分類。方式・実装権限・提供段階は個別確認</x:v>
      </x:c>
      <x:c t="str" r="H463" s="21">
        <x:f>HYPERLINK("#'展示詳細'!A"&amp;MATCH("AC234",'展示詳細'!$A$1:$A$340,0),"AC234")</x:f>
        <x:v>AC234</x:v>
      </x:c>
      <x:c r="I463" s="7" t="str">
        <x:v>2026の具体記述：【初公開】クーラント管理の省力化・DX化を実現する「ALFRED」 / ALFREDは、クーラントの濃度・pHをリアルタイムで監視し、日々の状態を「見える化」。 / 省人化・DX化を進めたい方、クーラント管理に課題をお持ちの方は、ぜひ会場でALFREDをご覧ください。</x:v>
      </x:c>
      <x:c r="J463" s="7" t="str">
        <x:v>EEX-EXH-2026-1fb607fd5307c2fa
ERF-10
ERF-11</x:v>
      </x:c>
      <x:c r="K463" s="7" t="str">
        <x:v>https://www.jimtof.org/search/jp/ESdetails?e=-U1GqEJcgSM
https://www.yushiro.co.jp/news/社名変更のお知らせ
https://www.jimtof.org/2024/search/jp/ESdetails?e=He5z-J4NQm8</x:v>
      </x:c>
    </x:row>
    <x:row r="464" ht="84" customHeight="1">
      <x:c r="A464" s="7" t="str">
        <x:v>自動化</x:v>
      </x:c>
      <x:c r="B464" s="7" t="str">
        <x:v>周辺部品・機構</x:v>
      </x:c>
      <x:c r="C464" s="7" t="str">
        <x:v>株式会社ヴィクストリン</x:v>
      </x:c>
      <x:c r="D464" s="7" t="str">
        <x:v>自動ツールチェンジャー／手動ツールチェンジャー／衝突センサー「QuickSTOP™」／</x:v>
      </x:c>
      <x:c r="E464" s="7" t="str">
        <x:v>W4098</x:v>
      </x:c>
      <x:c r="F464" s="7" t="str">
        <x:v>内容から分類（調査者・一次整理）</x:v>
      </x:c>
      <x:c r="G464" s="7" t="str">
        <x:v>周辺要素・実装部品。システム全体のAI／自動動作の確認ではない</x:v>
      </x:c>
      <x:c t="str" r="H464" s="21">
        <x:f>HYPERLINK("#'展示詳細'!A"&amp;MATCH("AC027",'展示詳細'!$A$1:$A$340,0),"AC027")</x:f>
        <x:v>AC027</x:v>
      </x:c>
      <x:c r="I464" s="7" t="str">
        <x:v>2026の具体記述：以来、高度な産業用ロボットやオートメーションのエンジニアリング分野で、50年以上の実績を重ねてまいりました。 / 自動ツールチェンジャー／手動ツールチェンジャー／衝突センサー「QuickSTOP™」／</x:v>
      </x:c>
      <x:c r="J464" s="7" t="str">
        <x:v>EEX-EXH-2026-3884a355dc068f08</x:v>
      </x:c>
      <x:c r="K464" s="7" t="str">
        <x:v>https://www.jimtof.org/search/jp/ESdetails?e=aO10VG4tnUs</x:v>
      </x:c>
    </x:row>
    <x:row r="465" ht="84" customHeight="1">
      <x:c r="A465" s="7" t="str">
        <x:v>自動化</x:v>
      </x:c>
      <x:c r="B465" s="7" t="str">
        <x:v>精密NC研削盤(自動搬送、機上計測）</x:v>
      </x:c>
      <x:c r="C465" s="7" t="str">
        <x:v>株式会社三井ハイテック</x:v>
      </x:c>
      <x:c r="D465" s="7" t="str">
        <x:v>精密NC研削盤(自動搬送、機上計測）</x:v>
      </x:c>
      <x:c r="E465" s="7" t="str">
        <x:v>E7071</x:v>
      </x:c>
      <x:c r="F465" s="7" t="str">
        <x:v>内容から分類（調査者・一次整理）</x:v>
      </x:c>
      <x:c r="G465" s="7" t="str">
        <x:v>出展説明に基づく一次分類。方式・実装権限・提供段階は個別確認</x:v>
      </x:c>
      <x:c t="str" r="H465" s="21">
        <x:f>HYPERLINK("#'展示詳細'!A"&amp;MATCH("AC220",'展示詳細'!$A$1:$A$340,0),"AC220")</x:f>
        <x:v>AC220</x:v>
      </x:c>
      <x:c r="I465" s="7" t="str">
        <x:v>2026の具体記述：三井ハイテックは、精密加工を実現する小型多機能研削盤と、C&amp;Gシステムズの自動化生産支援システムを連携させたスマート研削加工ソリューションを展示します。 / デジタル技術を活用した作業の標準化、人的ミスの低減、効率的な工程管理により、段取り時間の短縮、品質の安定化、省人化を実現。 / ・精密NC研削盤(自動搬送、機上計測）</x:v>
      </x:c>
      <x:c r="J465" s="7" t="str">
        <x:v>EEX-EXH-2026-8278ec058d2d2947</x:v>
      </x:c>
      <x:c r="K465" s="7" t="str">
        <x:v>https://www.jimtof.org/search/jp/ESdetails?e=qoCbIK0OzT4</x:v>
      </x:c>
    </x:row>
    <x:row r="466" ht="84" customHeight="1">
      <x:c r="A466" s="7" t="str">
        <x:v>自動化</x:v>
      </x:c>
      <x:c r="B466" s="7" t="str">
        <x:v>JDHGT600TH_MG</x:v>
      </x:c>
      <x:c r="C466" s="7" t="str">
        <x:v>株式会社兼松ケージーケイ</x:v>
      </x:c>
      <x:c r="D466" s="7" t="str">
        <x:v>JDHGT600TH_MG</x:v>
      </x:c>
      <x:c r="E466" s="7" t="str">
        <x:v>S2017</x:v>
      </x:c>
      <x:c r="F466" s="7" t="str">
        <x:v>内容から分類（調査者・一次整理）</x:v>
      </x:c>
      <x:c r="G466" s="7" t="str">
        <x:v>出展説明に基づく一次分類。方式・実装権限・提供段階は個別確認</x:v>
      </x:c>
      <x:c t="str" r="H466" s="21">
        <x:f>HYPERLINK("#'展示詳細'!A"&amp;MATCH("AC052",'展示詳細'!$A$1:$A$340,0),"AC052")</x:f>
        <x:v>AC052</x:v>
      </x:c>
      <x:c r="I466" s="7" t="str">
        <x:v>2026の具体記述：精彫の「機内測定機能」を採用し、砥石のデータと加工中の孔のデータを自動的に取得でき、この2つのデータを通じて砥石の寸法を補正し、精確な研削を実現する。</x:v>
      </x:c>
      <x:c r="J466" s="7" t="str">
        <x:v>EEX-EXH-2026-8c94cb18f4807b4e</x:v>
      </x:c>
      <x:c r="K466" s="7" t="str">
        <x:v>https://www.jimtof.org/search/jp/ESdetails?e=soucpoaRRyI</x:v>
      </x:c>
    </x:row>
    <x:row r="467" ht="84" customHeight="1">
      <x:c r="A467" s="7" t="str">
        <x:v>自動化</x:v>
      </x:c>
      <x:c r="B467" s="7" t="str">
        <x:v>【精密模型による自動消火体験と、新商品『KZ2』を含む最新4機種を展示！】</x:v>
      </x:c>
      <x:c r="C467" s="7" t="str">
        <x:v>株式会社初田製作所</x:v>
      </x:c>
      <x:c r="D467" s="7" t="str">
        <x:v>【精密模型による自動消火体験と、新商品『KZ2』を含む最新4機種を展示！】</x:v>
      </x:c>
      <x:c r="E467" s="7" t="str">
        <x:v>S3083</x:v>
      </x:c>
      <x:c r="F467" s="7" t="str">
        <x:v>内容から分類（調査者・一次整理）</x:v>
      </x:c>
      <x:c r="G467" s="7" t="str">
        <x:v>出展説明に基づく一次分類。方式・実装権限・提供段階は個別確認</x:v>
      </x:c>
      <x:c t="str" r="H467" s="21">
        <x:f>HYPERLINK("#'展示詳細'!A"&amp;MATCH("AC189",'展示詳細'!$A$1:$A$340,0),"AC189")</x:f>
        <x:v>AC189</x:v>
      </x:c>
      <x:c r="I467" s="7" t="str">
        <x:v>2026の具体記述：初田製作所ブース（南3ホール S3083）では、万が一の工作機械火災から工場と従業員を守る「産業機械用自動消火システム」を出展いたします。 / 【精密模型による自動消火体験と、新商品『KZ2』を含む最新4機種を展示！】 / ①精密模型による『自動消火体験コーナー』 大型実機の代わりに、消火感知からガス放出・鎮火までの一連の流れをボタン1つでリアルに体験できるシミュレーター模型を設置。 / ⑤コンパクト設計『エアロゾル自動消火装置』 スピ</x:v>
      </x:c>
      <x:c r="J467" s="7" t="str">
        <x:v>EEX-EXH-2026-e73069bc80a68783</x:v>
      </x:c>
      <x:c r="K467" s="7" t="str">
        <x:v>https://www.jimtof.org/search/jp/ESdetails?e=Y8Hglfxxl6U</x:v>
      </x:c>
    </x:row>
    <x:row r="468" ht="84" customHeight="1">
      <x:c r="A468" s="7" t="str">
        <x:v>自動化</x:v>
      </x:c>
      <x:c r="B468" s="7" t="str">
        <x:v>周辺部品・機構</x:v>
      </x:c>
      <x:c r="C468" s="7" t="str">
        <x:v>株式会社北川鉄工所</x:v>
      </x:c>
      <x:c r="D468" s="7" t="str">
        <x:v>パワーチャック</x:v>
      </x:c>
      <x:c r="E468" s="7" t="str">
        <x:v>W2016</x:v>
      </x:c>
      <x:c r="F468" s="7" t="str">
        <x:v>内容から分類（調査者・一次整理）</x:v>
      </x:c>
      <x:c r="G468" s="7" t="str">
        <x:v>周辺要素・実装部品。システム全体のAI／自動動作の確認ではない</x:v>
      </x:c>
      <x:c t="str" r="H468" s="21">
        <x:f>HYPERLINK("#'展示詳細'!A"&amp;MATCH("AC057",'展示詳細'!$A$1:$A$340,0),"AC057")</x:f>
        <x:v>AC057</x:v>
      </x:c>
      <x:c r="I468" s="7" t="str">
        <x:v>2026の具体記述：また、3つのゾーンに共通して必要となる自動化・省人化のアイディアもご提案いたします。 / ロボットハンド</x:v>
      </x:c>
      <x:c r="J468" s="7" t="str">
        <x:v>EEX-EXH-2026-4e495b7a38654a48</x:v>
      </x:c>
      <x:c r="K468" s="7" t="str">
        <x:v>https://www.jimtof.org/search/jp/ESdetails?e=XAQiCUDqIGg</x:v>
      </x:c>
    </x:row>
    <x:row r="469" ht="84" customHeight="1">
      <x:c r="A469" s="7" t="str">
        <x:v>自動化</x:v>
      </x:c>
      <x:c r="B469" s="7" t="str">
        <x:v>内面研削旋盤KGIシリーズから受け継いだ高剛性ベース、刃物台のすべり案内には、X軸・Z軸ともにダブル山案内を採用し、KGI同様6面拘束構造とした。スラ</x:v>
      </x:c>
      <x:c r="C469" s="7" t="str">
        <x:v>株式会社北村製作所</x:v>
      </x:c>
      <x:c r="D469" s="7" t="str">
        <x:v>内面研削旋盤KGIシリーズから受け継いだ高剛性ベース、刃物台のすべり案内には、X軸・Z軸ともにダブル山案内を採用し、KGI同様6面拘束構造とした。スラ</x:v>
      </x:c>
      <x:c r="E469" s="7" t="str">
        <x:v>E7054</x:v>
      </x:c>
      <x:c r="F469" s="7" t="str">
        <x:v>内容から分類（調査者・一次整理）</x:v>
      </x:c>
      <x:c r="G469" s="7" t="str">
        <x:v>出展説明に基づく一次分類。方式・実装権限・提供段階は個別確認</x:v>
      </x:c>
      <x:c t="str" r="H469" s="21">
        <x:f>HYPERLINK("#'展示詳細'!A"&amp;MATCH("AC059",'展示詳細'!$A$1:$A$340,0),"AC059")</x:f>
        <x:v>AC059</x:v>
      </x:c>
      <x:c r="I469" s="7" t="str">
        <x:v>2026の具体記述：リーマンショック以降、設備の自動化や特殊ユニットを搭載したカスタマイズ仕様の需要が高まり、試行錯誤してきました。</x:v>
      </x:c>
      <x:c r="J469" s="7" t="str">
        <x:v>EEX-EXH-2026-99a305a4fe6032c4</x:v>
      </x:c>
      <x:c r="K469" s="7" t="str">
        <x:v>https://www.jimtof.org/search/jp/ESdetails?e=ggacRtFUF1k</x:v>
      </x:c>
    </x:row>
    <x:row r="470" ht="84" customHeight="1">
      <x:c r="A470" s="7" t="str">
        <x:v>自動化</x:v>
      </x:c>
      <x:c r="B470" s="7" t="str">
        <x:v>[Polyrix社 PolyScanV]</x:v>
      </x:c>
      <x:c r="C470" s="7" t="str">
        <x:v>株式会社原製作所</x:v>
      </x:c>
      <x:c r="D470" s="7" t="str">
        <x:v>[Polyrix社 PolyScanV]</x:v>
      </x:c>
      <x:c r="E470" s="7" t="str">
        <x:v>S4037</x:v>
      </x:c>
      <x:c r="F470" s="7" t="str">
        <x:v>内容から分類（調査者・一次整理）</x:v>
      </x:c>
      <x:c r="G470" s="7" t="str">
        <x:v>出展説明に基づく一次分類。方式・実装権限・提供段階は個別確認</x:v>
      </x:c>
      <x:c t="str" r="H470" s="21">
        <x:f>HYPERLINK("#'展示詳細'!A"&amp;MATCH("AC190",'展示詳細'!$A$1:$A$340,0),"AC190")</x:f>
        <x:v>AC190</x:v>
      </x:c>
      <x:c r="I470" s="7" t="str">
        <x:v>2026の具体記述：各支柱に搭載されたプロジェクターと3Dスキャナが、通過するワークを自動で捉え、全周囲の3Dデータを取得します。 / 自動車1台分を最速約30秒。 / ・自動車1台分を最速約30秒—タクトタイムに対応する測定速度 / ・LIVE INSPECTION—CADとの偏差をカラーマップでワーク表面に直接投影し、モニタを見ずにその場でズレを確認 / 航空宇宙/自動車業界を中心に導入が進む次世代3Dスキャンシステムです。 / 高精細3Dスキャナ＆3</x:v>
      </x:c>
      <x:c r="J470" s="7" t="str">
        <x:v>EEX-EXH-2026-8550e99361de2f5b</x:v>
      </x:c>
      <x:c r="K470" s="7" t="str">
        <x:v>https://www.jimtof.org/search/jp/ESdetails?e=LRuS5p7XpwI</x:v>
      </x:c>
    </x:row>
    <x:row r="471" ht="84" customHeight="1">
      <x:c r="A471" s="7" t="str">
        <x:v>自動化</x:v>
      </x:c>
      <x:c r="B471" s="7" t="str">
        <x:v>1. デジタルプロファイル研削盤 SPG-XV：AR砥石表示とリアルタイムギャップ表示で加工状態を見える化し、スキルレスで高精度・高再現性の加工を実現</x:v>
      </x:c>
      <x:c r="C471" s="7" t="str">
        <x:v>株式会社和井田製作所</x:v>
      </x:c>
      <x:c r="D471" s="7" t="str">
        <x:v>1. デジタルプロファイル研削盤 SPG-XV：AR砥石表示とリアルタイムギャップ表示で加工状態を見える化し、スキルレスで高精度・高再現性の加工を実現</x:v>
      </x:c>
      <x:c r="E471" s="7" t="str">
        <x:v>E7098</x:v>
      </x:c>
      <x:c r="F471" s="7" t="str">
        <x:v>内容から分類（調査者・一次整理）</x:v>
      </x:c>
      <x:c r="G471" s="7" t="str">
        <x:v>出展説明に基づく一次分類。方式・実装権限・提供段階は個別確認</x:v>
      </x:c>
      <x:c t="str" r="H471" s="21">
        <x:f>HYPERLINK("#'展示詳細'!A"&amp;MATCH("AC247",'展示詳細'!$A$1:$A$340,0),"AC247")</x:f>
        <x:v>AC247</x:v>
      </x:c>
      <x:c r="I471" s="7" t="str">
        <x:v>2026の具体記述：1. デジタルプロファイル研削盤 SPG-XV：AR砥石表示とリアルタイムギャップ表示で加工状態を見える化し、スキルレスで高精度・高再現性の加工を実現します。 / 3.全自動インサート外周研削盤 APX-40W：ワーク傾き計測装置によりダイレクトクラ / 4.全自動6軸刃先研削盤 GIG-202：全自動5軸インサート研削盤に回転割出装置を追加した6軸機。 / 交換式ボールカッターなど直刃工具の刃先加工に対応し、HSKツーリングによる自動</x:v>
      </x:c>
      <x:c r="J471" s="7" t="str">
        <x:v>EEX-EXH-2026-891a0e945d6e08f6</x:v>
      </x:c>
      <x:c r="K471" s="7" t="str">
        <x:v>https://www.jimtof.org/search/jp/ESdetails?e=TQR71SThQ18</x:v>
      </x:c>
    </x:row>
    <x:row r="472" ht="84" customHeight="1">
      <x:c r="A472" s="7" t="str">
        <x:v>自動化</x:v>
      </x:c>
      <x:c r="B472" s="7" t="str">
        <x:v>周辺部品・機構</x:v>
      </x:c>
      <x:c r="C472" s="7" t="str">
        <x:v>株式会社国盛化学</x:v>
      </x:c>
      <x:c r="D472" s="7" t="str">
        <x:v>サイルベア（低発塵・低振動・低発塵・低摩耗）のリンクレスケーブルチェーン）</x:v>
      </x:c>
      <x:c r="E472" s="7" t="str">
        <x:v>S3039</x:v>
      </x:c>
      <x:c r="F472" s="7" t="str">
        <x:v>内容から分類（調査者・一次整理）</x:v>
      </x:c>
      <x:c r="G472" s="7" t="str">
        <x:v>周辺要素・実装部品。システム全体のAI／自動動作の確認ではない</x:v>
      </x:c>
      <x:c t="str" r="H472" s="21">
        <x:f>HYPERLINK("#'展示詳細'!A"&amp;MATCH("AC065",'展示詳細'!$A$1:$A$340,0),"AC065")</x:f>
        <x:v>AC065</x:v>
      </x:c>
      <x:c r="I472" s="7" t="str">
        <x:v>2026の具体記述：中でも、多関節ロボット対応の サイルベアフレックス は、</x:v>
      </x:c>
      <x:c r="J472" s="7" t="str">
        <x:v>EEX-EXH-2026-494539b75342b5a9</x:v>
      </x:c>
      <x:c r="K472" s="7" t="str">
        <x:v>https://www.jimtof.org/search/jp/ESdetails?e=27tfI7tHVRI</x:v>
      </x:c>
    </x:row>
    <x:row r="473" ht="84" customHeight="1">
      <x:c r="A473" s="7" t="str">
        <x:v>自動化</x:v>
      </x:c>
      <x:c r="B473" s="7" t="str">
        <x:v>芯なし研削盤（センタレス研削盤）</x:v>
      </x:c>
      <x:c r="C473" s="7" t="str">
        <x:v>株式会社大宮マシナリー</x:v>
      </x:c>
      <x:c r="D473" s="7" t="str">
        <x:v>芯なし研削盤（センタレス研削盤）</x:v>
      </x:c>
      <x:c r="E473" s="7" t="str">
        <x:v>E7049</x:v>
      </x:c>
      <x:c r="F473" s="7" t="str">
        <x:v>内容から分類（調査者・一次整理）</x:v>
      </x:c>
      <x:c r="G473" s="7" t="str">
        <x:v>出展説明に基づく一次分類。方式・実装権限・提供段階は個別確認</x:v>
      </x:c>
      <x:c t="str" r="H473" s="21">
        <x:f>HYPERLINK("#'展示詳細'!A"&amp;MATCH("AC048",'展示詳細'!$A$1:$A$340,0),"AC048")</x:f>
        <x:v>AC048</x:v>
      </x:c>
      <x:c r="I473" s="7" t="str">
        <x:v>2026の具体記述：さらに弊社の強みである汎用標準機をベースとした多彩な自動化システムや、独自のオリジナルオプションなど、これからの時代を勝ち抜くための最適な生産設備をご提案いたします。</x:v>
      </x:c>
      <x:c r="J473" s="7" t="str">
        <x:v>EEX-EXH-2026-6703fc63c6ab91c5</x:v>
      </x:c>
      <x:c r="K473" s="7" t="str">
        <x:v>https://www.jimtof.org/search/jp/ESdetails?e=q6gAUajA3gE</x:v>
      </x:c>
    </x:row>
    <x:row r="474" ht="84" customHeight="1">
      <x:c r="A474" s="7" t="str">
        <x:v>自動化</x:v>
      </x:c>
      <x:c r="B474" s="7" t="str">
        <x:v>立形複合研削盤　TKV 85 with PH Cell 500</x:v>
      </x:c>
      <x:c r="C474" s="7" t="str">
        <x:v>株式会社太陽工機</x:v>
      </x:c>
      <x:c r="D474" s="7" t="str">
        <x:v>立形複合研削盤　TKV 85 with PH Cell 500</x:v>
      </x:c>
      <x:c r="E474" s="7" t="str">
        <x:v>E8007</x:v>
      </x:c>
      <x:c r="F474" s="7" t="str">
        <x:v>内容から分類（調査者・一次整理）</x:v>
      </x:c>
      <x:c r="G474" s="7" t="str">
        <x:v>出展説明に基づく一次分類。方式・実装権限・提供段階は個別確認</x:v>
      </x:c>
      <x:c t="str" r="H474" s="21">
        <x:f>HYPERLINK("#'展示詳細'!A"&amp;MATCH("AC129",'展示詳細'!$A$1:$A$340,0),"AC129")</x:f>
        <x:v>AC129</x:v>
      </x:c>
      <x:c r="I474" s="7" t="str">
        <x:v>2026の具体記述：中・大型ワーク向けの高精度研削加工に求められる「工程集約」「自動化」「品質安定性」「省エネ性」「DX対応」といった多面的な要求に応えるため、構造・制御・周辺設備の全領域を再設計した最新世代の立形研削盤TKV 85とDMG MORI 製自動化システム PH Cell 500を接続し、世界中でご使用いただける研削盤自動化ソリューションを展示します。 / 自動化システムにはDMG MORI 製 PH Cell 500を搭載。</x:v>
      </x:c>
      <x:c r="J474" s="7" t="str">
        <x:v>EEX-EXH-2026-68590f09050a3b5c</x:v>
      </x:c>
      <x:c r="K474" s="7" t="str">
        <x:v>https://www.jimtof.org/search/jp/ESdetails?e=p0lGaSOw5EY</x:v>
      </x:c>
    </x:row>
    <x:row r="475" ht="84" customHeight="1">
      <x:c r="A475" s="7" t="str">
        <x:v>自動化</x:v>
      </x:c>
      <x:c r="B475" s="7" t="str">
        <x:v>CNC工具研削盤　TGR-016α（インプロドレス機能搭載仕様）　TGR-032（自動搬送仕様）</x:v>
      </x:c>
      <x:c r="C475" s="7" t="str">
        <x:v>株式会社宇都宮製作所</x:v>
      </x:c>
      <x:c r="D475" s="7" t="str">
        <x:v>CNC工具研削盤　TGR-016α（インプロドレス機能搭載仕様）　TGR-032（自動搬送仕様）</x:v>
      </x:c>
      <x:c r="E475" s="7" t="str">
        <x:v>W1001</x:v>
      </x:c>
      <x:c r="F475" s="7" t="str">
        <x:v>内容から分類（調査者・一次整理）</x:v>
      </x:c>
      <x:c r="G475" s="7" t="str">
        <x:v>出展説明に基づく一次分類。方式・実装権限・提供段階は個別確認</x:v>
      </x:c>
      <x:c t="str" r="H475" s="21">
        <x:f>HYPERLINK("#'展示詳細'!A"&amp;MATCH("AC029",'展示詳細'!$A$1:$A$340,0),"AC029")</x:f>
        <x:v>AC029</x:v>
      </x:c>
      <x:c r="I475" s="7" t="str">
        <x:v>2026の具体記述：TGR-032は、自動ワーク交換装置・自動砥石交換装置を搭載し、機内計測により高精度な長時間運転を実現。 / パソコン対話型プログラムのバージョンアップ、自動搬送装置の小型化により省スペース化のみならずサイクルタイムも短縮。 / CNC工具研削盤　TGR-016α（インプロドレス機能搭載仕様）　TGR-032（自動搬送仕様）</x:v>
      </x:c>
      <x:c r="J475" s="7" t="str">
        <x:v>EEX-EXH-2026-cf22d85686acc029</x:v>
      </x:c>
      <x:c r="K475" s="7" t="str">
        <x:v>https://www.jimtof.org/search/jp/ESdetails?e=hU8LqSDiscs</x:v>
      </x:c>
    </x:row>
    <x:row r="476" ht="84" customHeight="1">
      <x:c r="A476" s="7" t="str">
        <x:v>自動化</x:v>
      </x:c>
      <x:c r="B476" s="7" t="str">
        <x:v>油圧プレス機【デスクロータリー】金型載せ替え不要。段取り時間を生産時間に。</x:v>
      </x:c>
      <x:c r="C476" s="7" t="str">
        <x:v>株式会社富士機工</x:v>
      </x:c>
      <x:c r="D476" s="7" t="str">
        <x:v>油圧プレス機【デスクロータリー】金型載せ替え不要。段取り時間を生産時間に。</x:v>
      </x:c>
      <x:c r="E476" s="7" t="str">
        <x:v>E1043</x:v>
      </x:c>
      <x:c r="F476" s="7" t="str">
        <x:v>内容から分類（調査者・一次整理）</x:v>
      </x:c>
      <x:c r="G476" s="7" t="str">
        <x:v>出展説明に基づく一次分類。方式・実装権限・提供段階は個別確認</x:v>
      </x:c>
      <x:c t="str" r="H476" s="21">
        <x:f>HYPERLINK("#'展示詳細'!A"&amp;MATCH("AC199",'展示詳細'!$A$1:$A$340,0),"AC199")</x:f>
        <x:v>AC199</x:v>
      </x:c>
      <x:c r="I476" s="7" t="str">
        <x:v>2026の具体記述：・【ボール盤NCβ２軸】自動位置決め装置付きで、長尺材の加工が速い。</x:v>
      </x:c>
      <x:c r="J476" s="7" t="str">
        <x:v>EEX-EXH-2026-dfd6e029520a8dd8</x:v>
      </x:c>
      <x:c r="K476" s="7" t="str">
        <x:v>https://www.jimtof.org/search/jp/ESdetails?e=krDglZoYKFc</x:v>
      </x:c>
    </x:row>
    <x:row r="477" ht="84" customHeight="1">
      <x:c r="A477" s="7" t="str">
        <x:v>自動化</x:v>
      </x:c>
      <x:c r="B477" s="7" t="str">
        <x:v>コンパクトマシニングセンタ（ブラザー：SPEEDIO S300Xd2）</x:v>
      </x:c>
      <x:c r="C477" s="7" t="str">
        <x:v>株式会社山善</x:v>
      </x:c>
      <x:c r="D477" s="7" t="str">
        <x:v>コンパクトマシニングセンタ（ブラザー：SPEEDIO S300Xd2）</x:v>
      </x:c>
      <x:c r="E477" s="7" t="str">
        <x:v>S1056</x:v>
      </x:c>
      <x:c r="F477" s="7" t="str">
        <x:v>内容から分類（調査者・一次整理）</x:v>
      </x:c>
      <x:c r="G477" s="7" t="str">
        <x:v>出展説明に基づく一次分類。方式・実装権限・提供段階は個別確認</x:v>
      </x:c>
      <x:c t="str" r="H477" s="21">
        <x:f>HYPERLINK("#'展示詳細'!A"&amp;MATCH("AC232",'展示詳細'!$A$1:$A$340,0),"AC232")</x:f>
        <x:v>AC232</x:v>
      </x:c>
      <x:c r="I477" s="7" t="str">
        <x:v>2026の具体記述：自動化・省人化をテーマに、コンパクトマシニングセンタ、協働ロボット、現場設置型三次元測定機を融合した自動化セルを実機展示します。 / また、設備管理や図面管理など製造現場のデジタル化を支援する「ゲンバト」も展示します。 / 自動化からデジタル化まで、製造現場の課題解決につながる実践的なソリューションをご覧いただけます。 / 協働ロボット（ファナック：CRX-20iA）</x:v>
      </x:c>
      <x:c r="J477" s="7" t="str">
        <x:v>EEX-EXH-2026-4be1498c7e4dd9c4</x:v>
      </x:c>
      <x:c r="K477" s="7" t="str">
        <x:v>https://www.jimtof.org/search/jp/ESdetails?e=KSoLpsGPfRQ</x:v>
      </x:c>
    </x:row>
    <x:row r="478" ht="84" customHeight="1">
      <x:c r="A478" s="7" t="str">
        <x:v>自動化</x:v>
      </x:c>
      <x:c r="B478" s="7" t="str">
        <x:v>今回の出展では、ものづくり現場における「省エネ」「省人化」「省スペース化」の技術を駆使した、【最適化（Optimization）】をメインコンセプトに</x:v>
      </x:c>
      <x:c r="C478" s="7" t="str">
        <x:v>株式会社岡本工作機械製作所</x:v>
      </x:c>
      <x:c r="D478" s="7" t="str">
        <x:v>今回の出展では、ものづくり現場における「省エネ」「省人化」「省スペース化」の技術を駆使した、【最適化（Optimization）】をメインコンセプトに</x:v>
      </x:c>
      <x:c r="E478" s="7" t="str">
        <x:v>E7095</x:v>
      </x:c>
      <x:c r="F478" s="7" t="str">
        <x:v>内容から分類（調査者・一次整理）</x:v>
      </x:c>
      <x:c r="G478" s="7" t="str">
        <x:v>出展説明に基づく一次分類。方式・実装権限・提供段階は個別確認</x:v>
      </x:c>
      <x:c t="str" r="H478" s="21">
        <x:f>HYPERLINK("#'展示詳細'!A"&amp;MATCH("AC049",'展示詳細'!$A$1:$A$340,0),"AC049")</x:f>
        <x:v>AC049</x:v>
      </x:c>
      <x:c r="I478" s="7" t="str">
        <x:v>2026の具体記述：今回の出展では、ものづくり現場における「省エネ」「省人化」「省スペース化」の技術を駆使した、【最適化（Optimization）】をメインコンセプトに掲げ、全4機種の最新ソリューションをご提案いたします。 / 創業90年を超える研削盤メーカーとしての卓越した技術力を結集し、 / 次世代のスマートファクトリーへつながる最適な製品と加工技術をご紹介いたします。</x:v>
      </x:c>
      <x:c r="J478" s="7" t="str">
        <x:v>EEX-EXH-2026-6c8f6fc8882f6c9c</x:v>
      </x:c>
      <x:c r="K478" s="7" t="str">
        <x:v>https://www.jimtof.org/search/jp/ESdetails?e=cWqFNxFT9X8</x:v>
      </x:c>
    </x:row>
    <x:row r="479" ht="84" customHeight="1">
      <x:c r="A479" s="7" t="str">
        <x:v>自動化</x:v>
      </x:c>
      <x:c r="B479" s="7" t="str">
        <x:v>NITRONAVI®搭載 窒化 / 軟窒化処理設備 RAV-N型</x:v>
      </x:c>
      <x:c r="C479" s="7" t="str">
        <x:v>株式会社広築</x:v>
      </x:c>
      <x:c r="D479" s="7" t="str">
        <x:v>NITRONAVI®搭載 窒化 / 軟窒化処理設備 RAV-N型</x:v>
      </x:c>
      <x:c r="E479" s="7" t="str">
        <x:v>E1016</x:v>
      </x:c>
      <x:c r="F479" s="7" t="str">
        <x:v>内容から分類（調査者・一次整理）</x:v>
      </x:c>
      <x:c r="G479" s="7" t="str">
        <x:v>出展説明に基づく一次分類。方式・実装権限・提供段階は個別確認</x:v>
      </x:c>
      <x:c t="str" r="H479" s="21">
        <x:f>HYPERLINK("#'展示詳細'!A"&amp;MATCH("AC191",'展示詳細'!$A$1:$A$340,0),"AC191")</x:f>
        <x:v>AC191</x:v>
      </x:c>
      <x:c r="I479" s="7" t="str">
        <x:v>2026の具体記述：● 雰囲気制御による⾼精度窒化 / 軟窒化が実現可能な設備 / ● タイムリー且つスキルフリーのオペレーション / ● ⾃動制御による処理時間の最適化/最短化[エネルギー削減] / ● 処理品に対するトレーサビリティ / NITRONAVI®搭載 窒化 / 軟窒化処理設備 RAV-N型 / NITRONAVI®[制御ガス 窒化/軟窒化処理]を適⽤する最⼤のメリットは表⾯相制御による機械的特性の改善あります。 / NITRONAVI®を具</x:v>
      </x:c>
      <x:c r="J479" s="7" t="str">
        <x:v>EEX-EXH-2026-85b5faf8f6b2498f</x:v>
      </x:c>
      <x:c r="K479" s="7" t="str">
        <x:v>https://www.jimtof.org/search/jp/ESdetails?e=tTqTOqglEMs</x:v>
      </x:c>
    </x:row>
    <x:row r="480" ht="84" customHeight="1">
      <x:c r="A480" s="7" t="str">
        <x:v>自動化</x:v>
      </x:c>
      <x:c r="B480" s="7" t="str">
        <x:v>周辺部品・機構</x:v>
      </x:c>
      <x:c r="C480" s="7" t="str">
        <x:v>株式会社日研工作所</x:v>
      </x:c>
      <x:c r="D480" s="7" t="str">
        <x:v>防錆メンテナンスに費やす現場の負担を軽減し自動化に寄与する黒のホルダを中心に、切削工具の長寿命化に寄与する振れ調整機構内蔵ツールホルダ、独自の振動減衰</x:v>
      </x:c>
      <x:c r="E480" s="7" t="str">
        <x:v>W2039</x:v>
      </x:c>
      <x:c r="F480" s="7" t="str">
        <x:v>内容から分類（調査者・一次整理）</x:v>
      </x:c>
      <x:c r="G480" s="7" t="str">
        <x:v>周辺要素・実装部品。システム全体のAI／自動動作の確認ではない</x:v>
      </x:c>
      <x:c t="str" r="H480" s="21">
        <x:f>HYPERLINK("#'展示詳細'!A"&amp;MATCH("AC165",'展示詳細'!$A$1:$A$340,0),"AC165")</x:f>
        <x:v>AC165</x:v>
      </x:c>
      <x:c r="I480" s="7" t="str">
        <x:v>2026の具体記述：人手不足の製造現場に向けた自動化・省人化を加速させる様々なアイデア、需要が急拡大する中でもっと賢く・もっと早く・もっと沢山削れるツーリング技術、半導体・航空宇宙産業など新しいユーザ様への新技術など、３つのソリューションを核に、日研ならではの提案を行わせていただきます。 / 防錆メンテナンスに費やす現場の負担を軽減し自動化に寄与する黒のホルダを中心に、切削工具の長寿命化に寄与する振れ調整機構内蔵ツールホルダ、独自の振動減衰機構内蔵ツールホ</x:v>
      </x:c>
      <x:c r="J480" s="7" t="str">
        <x:v>EEX-EXH-2026-1afd1df5c219afb2</x:v>
      </x:c>
      <x:c r="K480" s="7" t="str">
        <x:v>https://www.jimtof.org/search/jp/ESdetails?e=efMi0oAzay8</x:v>
      </x:c>
    </x:row>
    <x:row r="481" ht="84" customHeight="1">
      <x:c r="A481" s="7" t="str">
        <x:v>自動化</x:v>
      </x:c>
      <x:c r="B481" s="7" t="str">
        <x:v>ホーニング盤、砥石、マンドレル、ツール、ジェットノズル</x:v>
      </x:c>
      <x:c r="C481" s="7" t="str">
        <x:v>株式会社日進ProSOL</x:v>
      </x:c>
      <x:c r="D481" s="7" t="str">
        <x:v>ホーニング盤、砥石、マンドレル、ツール、ジェットノズル</x:v>
      </x:c>
      <x:c r="E481" s="7" t="str">
        <x:v>E7070</x:v>
      </x:c>
      <x:c r="F481" s="7" t="str">
        <x:v>内容から分類（調査者・一次整理）</x:v>
      </x:c>
      <x:c r="G481" s="7" t="str">
        <x:v>出展説明に基づく一次分類。方式・実装権限・提供段階は個別確認</x:v>
      </x:c>
      <x:c t="str" r="H481" s="21">
        <x:f>HYPERLINK("#'展示詳細'!A"&amp;MATCH("AC167",'展示詳細'!$A$1:$A$340,0),"AC167")</x:f>
        <x:v>AC167</x:v>
      </x:c>
      <x:c r="I481" s="7" t="str">
        <x:v>2026の具体記述：労働力不足や技術継承が製造業の課題となっている今、自動化・省人化ニーズが拡大し、熟練技能者の経験や勘に依存しない加工品質の実現が求められています。</x:v>
      </x:c>
      <x:c r="J481" s="7" t="str">
        <x:v>EEX-EXH-2026-434b1ee92cad6bf5</x:v>
      </x:c>
      <x:c r="K481" s="7" t="str">
        <x:v>https://www.jimtof.org/search/jp/ESdetails?e=Odvw9koeMx8</x:v>
      </x:c>
    </x:row>
    <x:row r="482" ht="84" customHeight="1">
      <x:c r="A482" s="7" t="str">
        <x:v>自動化</x:v>
      </x:c>
      <x:c r="B482" s="7" t="str">
        <x:v>①マーテルハンド：母の手で包む様に持つことができるマジックハンド</x:v>
      </x:c>
      <x:c r="C482" s="7" t="str">
        <x:v>株式会社旭商工社</x:v>
      </x:c>
      <x:c r="D482" s="7" t="str">
        <x:v>①マーテルハンド：母の手で包む様に持つことができるマジックハンド</x:v>
      </x:c>
      <x:c r="E482" s="7" t="str">
        <x:v>W3043</x:v>
      </x:c>
      <x:c r="F482" s="7" t="str">
        <x:v>内容から分類（調査者・一次整理）</x:v>
      </x:c>
      <x:c r="G482" s="7" t="str">
        <x:v>出展説明に基づく一次分類。方式・実装権限・提供段階は個別確認</x:v>
      </x:c>
      <x:c t="str" r="H482" s="21">
        <x:f>HYPERLINK("#'展示詳細'!A"&amp;MATCH("AC005",'展示詳細'!$A$1:$A$340,0),"AC005")</x:f>
        <x:v>AC005</x:v>
      </x:c>
      <x:c r="I482" s="7" t="str">
        <x:v>2026の具体記述：⑥各種ロボットシステム：驚きしかない！ 世にないロボットシステム</x:v>
      </x:c>
      <x:c r="J482" s="7" t="str">
        <x:v>EEX-EXH-2026-907ef152949f6105</x:v>
      </x:c>
      <x:c r="K482" s="7" t="str">
        <x:v>https://www.jimtof.org/search/jp/ESdetails?e=16et4DWBUOg</x:v>
      </x:c>
    </x:row>
    <x:row r="483" ht="84" customHeight="1">
      <x:c r="A483" s="7" t="str">
        <x:v>自動化</x:v>
      </x:c>
      <x:c r="B483" s="7" t="str">
        <x:v>長尺研削高精度自動化システム</x:v>
      </x:c>
      <x:c r="C483" s="7" t="str">
        <x:v>株式会社東振テクニカル</x:v>
      </x:c>
      <x:c r="D483" s="7" t="str">
        <x:v>長尺研削高精度自動化システム</x:v>
      </x:c>
      <x:c r="E483" s="7" t="str">
        <x:v>E7037</x:v>
      </x:c>
      <x:c r="F483" s="7" t="str">
        <x:v>内容から分類（調査者・一次整理）</x:v>
      </x:c>
      <x:c r="G483" s="7" t="str">
        <x:v>出展説明に基づく一次分類。方式・実装権限・提供段階は個別確認</x:v>
      </x:c>
      <x:c t="str" r="H483" s="21">
        <x:f>HYPERLINK("#'展示詳細'!A"&amp;MATCH("AC149",'展示詳細'!$A$1:$A$340,0),"AC149")</x:f>
        <x:v>AC149</x:v>
      </x:c>
      <x:c r="I483" s="7" t="str">
        <x:v>2026の具体記述：長尺ワーク研削の困りごとを解決する「長尺研削高精度自動化システム」の展示ならびに、 / ●長尺研削高精度自動化システム</x:v>
      </x:c>
      <x:c r="J483" s="7" t="str">
        <x:v>EEX-EXH-2026-990d4d4c729ff139</x:v>
      </x:c>
      <x:c r="K483" s="7" t="str">
        <x:v>https://www.jimtof.org/search/jp/ESdetails?e=GFSwCXSxe9o</x:v>
      </x:c>
    </x:row>
    <x:row r="484" ht="84" customHeight="1">
      <x:c r="A484" s="7" t="str">
        <x:v>自動化</x:v>
      </x:c>
      <x:c r="B484" s="7" t="str">
        <x:v>西研｜深穴加工工具「クレアボーラー」</x:v>
      </x:c>
      <x:c r="C484" s="7" t="str">
        <x:v>株式会社東陽</x:v>
      </x:c>
      <x:c r="D484" s="7" t="str">
        <x:v>西研｜深穴加工工具「クレアボーラー」</x:v>
      </x:c>
      <x:c r="E484" s="7" t="str">
        <x:v>S2016</x:v>
      </x:c>
      <x:c r="F484" s="7" t="str">
        <x:v>内容から分類（調査者・一次整理）</x:v>
      </x:c>
      <x:c r="G484" s="7" t="str">
        <x:v>出展説明に基づく一次分類。方式・実装権限・提供段階は個別確認</x:v>
      </x:c>
      <x:c t="str" r="H484" s="21">
        <x:f>HYPERLINK("#'展示詳細'!A"&amp;MATCH("AC150",'展示詳細'!$A$1:$A$340,0),"AC150")</x:f>
        <x:v>AC150</x:v>
      </x:c>
      <x:c r="I484" s="7" t="str">
        <x:v>2026の具体記述：深穴加工の品質向上から自動化、液管理、環境改善まで、工場改善につながる８つのテーマを展示。 / 自動化・省人化・内製化を支援</x:v>
      </x:c>
      <x:c r="J484" s="7" t="str">
        <x:v>EEX-EXH-2026-3a8078c51f45a046</x:v>
      </x:c>
      <x:c r="K484" s="7" t="str">
        <x:v>https://www.jimtof.org/search/jp/ESdetails?e=E_004g97THo</x:v>
      </x:c>
    </x:row>
    <x:row r="485" ht="84" customHeight="1">
      <x:c r="A485" s="7" t="str">
        <x:v>自動化</x:v>
      </x:c>
      <x:c r="B485" s="7" t="str">
        <x:v>同じ2機種でも、見る角度で強みが変わります。</x:v>
      </x:c>
      <x:c r="C485" s="7" t="str">
        <x:v>株式会社松楽産業</x:v>
      </x:c>
      <x:c r="D485" s="7" t="str">
        <x:v>同じ2機種でも、見る角度で強みが変わります。</x:v>
      </x:c>
      <x:c r="E485" s="7" t="str">
        <x:v>S3105</x:v>
      </x:c>
      <x:c r="F485" s="7" t="str">
        <x:v>内容から分類（調査者・一次整理）</x:v>
      </x:c>
      <x:c r="G485" s="7" t="str">
        <x:v>出展説明に基づく一次分類。方式・実装権限・提供段階は個別確認</x:v>
      </x:c>
      <x:c t="str" r="H485" s="21">
        <x:f>HYPERLINK("#'展示詳細'!A"&amp;MATCH("AC107",'展示詳細'!$A$1:$A$340,0),"AC107")</x:f>
        <x:v>AC107</x:v>
      </x:c>
      <x:c r="I485" s="7" t="str">
        <x:v>2026の具体記述：JIMTOF2026では、カメラ画像処理とAI制御による最新の計数技術を2機種でご紹介します。 / AI学習機能により、両機種とも使うほどに精度が向上します。 / ②2方向ミラー分光画像処理型ビジョンカウンター®：世界初の粒度分布計でゴミ・ホコリを自動除外し、空中落差誤差補正装置と分散バーで排出時の数量誤差を防止。</x:v>
      </x:c>
      <x:c r="J485" s="7" t="str">
        <x:v>EEX-EXH-2026-652d399463a4c9e2</x:v>
      </x:c>
      <x:c r="K485" s="7" t="str">
        <x:v>https://www.jimtof.org/search/jp/ESdetails?e=L-V39ptNjvw</x:v>
      </x:c>
    </x:row>
    <x:row r="486" ht="84" customHeight="1">
      <x:c r="A486" s="7" t="str">
        <x:v>自動化</x:v>
      </x:c>
      <x:c r="B486" s="7" t="str">
        <x:v>ヘッドチェンジ型多軸加工機(CUBIC6)</x:v>
      </x:c>
      <x:c r="C486" s="7" t="str">
        <x:v>株式会社桜井製作所</x:v>
      </x:c>
      <x:c r="D486" s="7" t="str">
        <x:v>ヘッドチェンジ型多軸加工機(CUBIC6)</x:v>
      </x:c>
      <x:c r="E486" s="7" t="str">
        <x:v>E2005</x:v>
      </x:c>
      <x:c r="F486" s="7" t="str">
        <x:v>内容から分類（調査者・一次整理）</x:v>
      </x:c>
      <x:c r="G486" s="7" t="str">
        <x:v>出展説明に基づく一次分類。方式・実装権限・提供段階は個別確認</x:v>
      </x:c>
      <x:c t="str" r="H486" s="21">
        <x:f>HYPERLINK("#'展示詳細'!A"&amp;MATCH("AC086",'展示詳細'!$A$1:$A$340,0),"AC086")</x:f>
        <x:v>AC086</x:v>
      </x:c>
      <x:c r="I486" s="7" t="str">
        <x:v>2026の具体記述：【ロボット加工機】 / 省スペース化、低コストな大型ロボットを使った加工機を是非ご検討ください。 / ロボット加工機(SAKU270F)</x:v>
      </x:c>
      <x:c r="J486" s="7" t="str">
        <x:v>EEX-EXH-2026-84b51f9f321194ba</x:v>
      </x:c>
      <x:c r="K486" s="7" t="str">
        <x:v>https://www.jimtof.org/search/jp/ESdetails?e=vrzq9i_9GIk</x:v>
      </x:c>
    </x:row>
    <x:row r="487" ht="84" customHeight="1">
      <x:c r="A487" s="7" t="str">
        <x:v>自動化</x:v>
      </x:c>
      <x:c r="B487" s="7" t="str">
        <x:v>各業界における取り組み</x:v>
      </x:c>
      <x:c r="C487" s="7" t="str">
        <x:v>株式会社池貝</x:v>
      </x:c>
      <x:c r="D487" s="7" t="str">
        <x:v>各業界における取り組み</x:v>
      </x:c>
      <x:c r="E487" s="7" t="str">
        <x:v>E3002</x:v>
      </x:c>
      <x:c r="F487" s="7" t="str">
        <x:v>内容から分類（調査者・一次整理）</x:v>
      </x:c>
      <x:c r="G487" s="7" t="str">
        <x:v>出展説明に基づく一次分類。方式・実装権限・提供段階は個別確認</x:v>
      </x:c>
      <x:c t="str" r="H487" s="21">
        <x:f>HYPERLINK("#'展示詳細'!A"&amp;MATCH("AC015",'展示詳細'!$A$1:$A$340,0),"AC015")</x:f>
        <x:v>AC015</x:v>
      </x:c>
      <x:c r="I487" s="7" t="str">
        <x:v>2026の具体記述：また、こうした技術をお客様仕様にあわせ、自動化・省人化のノウハウを組み込んだ各種実績や新機種シリーズ「NeoV-MⅡ」「HPS-BⅡ」など、進化・深化するSNK・池貝技術の数々を多彩なコンテンツでご覧いただけます。</x:v>
      </x:c>
      <x:c r="J487" s="7" t="str">
        <x:v>EEX-EXH-2026-b13a1cbd634179d5</x:v>
      </x:c>
      <x:c r="K487" s="7" t="str">
        <x:v>https://www.jimtof.org/search/jp/ESdetails?e=WS9ql5D41fQ</x:v>
      </x:c>
    </x:row>
    <x:row r="488" ht="84" customHeight="1">
      <x:c r="A488" s="7" t="str">
        <x:v>自動化</x:v>
      </x:c>
      <x:c r="B488" s="7" t="str">
        <x:v>AMRによる切り屑自動回収</x:v>
      </x:c>
      <x:c r="C488" s="7" t="str">
        <x:v>株式会社白山機工</x:v>
      </x:c>
      <x:c r="D488" s="7" t="str">
        <x:v>AMRによる切り屑自動回収</x:v>
      </x:c>
      <x:c r="E488" s="7" t="str">
        <x:v>E2007</x:v>
      </x:c>
      <x:c r="F488" s="7" t="str">
        <x:v>内容から分類（調査者・一次整理）</x:v>
      </x:c>
      <x:c r="G488" s="7" t="str">
        <x:v>出展説明に基づく一次分類。方式・実装権限・提供段階は個別確認</x:v>
      </x:c>
      <x:c t="str" r="H488" s="21">
        <x:f>HYPERLINK("#'展示詳細'!A"&amp;MATCH("AC186",'展示詳細'!$A$1:$A$340,0),"AC186")</x:f>
        <x:v>AC186</x:v>
      </x:c>
      <x:c r="I488" s="7" t="str">
        <x:v>2026の具体記述：今回は、切り屑・プレススクラップの搬送から自動回収、クーラントの高精度ろ過まで、工場の生産現場における「省人化・省スペース化・コスト削減」を実現する技術を展示します。 / 自由なレイアウトに対応するサークルコンベヤや、AMRを活用した切り屑自動回収システムを実演・模型で紹介。 / ■切り屑自動回収システム：AMRを使った切り屑自動回収システム。 / AMRによる自動回収で集中コンベヤなどの大掛かりな設備投資が不要となり、無人での回収処理</x:v>
      </x:c>
      <x:c r="J488" s="7" t="str">
        <x:v>EEX-EXH-2026-d8a50e23a9101b11
EDP-29</x:v>
      </x:c>
      <x:c r="K488" s="7" t="str">
        <x:v>https://www.jimtof.org/search/jp/ESdetails?e=FNFR7REQOl4
https://www.hakusankiko.co.jp/news/event/8837/</x:v>
      </x:c>
    </x:row>
    <x:row r="489" ht="84" customHeight="1">
      <x:c r="A489" s="7" t="str">
        <x:v>自動化</x:v>
      </x:c>
      <x:c r="B489" s="7" t="str">
        <x:v>ギヤホーニングマシーン</x:v>
      </x:c>
      <x:c r="C489" s="7" t="str">
        <x:v>株式会社神崎高級工機製作所</x:v>
      </x:c>
      <x:c r="D489" s="7" t="str">
        <x:v>ギヤホーニングマシーン</x:v>
      </x:c>
      <x:c r="E489" s="7" t="str">
        <x:v>E1071</x:v>
      </x:c>
      <x:c r="F489" s="7" t="str">
        <x:v>内容から分類（調査者・一次整理）</x:v>
      </x:c>
      <x:c r="G489" s="7" t="str">
        <x:v>出展説明に基づく一次分類。方式・実装権限・提供段階は個別確認</x:v>
      </x:c>
      <x:c t="str" r="H489" s="21">
        <x:f>HYPERLINK("#'展示詳細'!A"&amp;MATCH("AC054",'展示詳細'!$A$1:$A$340,0),"AC054")</x:f>
        <x:v>AC054</x:v>
      </x:c>
      <x:c r="I489" s="7" t="str">
        <x:v>2026の具体記述：自動歯合わせ機能と、加工前のワーク状態を確認するギヤチェッカーを搭載し、 / FD100は自動歯合わせ機能と加工前のワーク状態を確認するギヤチェッカーを搭載し、段取り時間の短縮と安定した加工を支援します。</x:v>
      </x:c>
      <x:c r="J489" s="7" t="str">
        <x:v>EEX-EXH-2026-91aa8dd094a4a7b2</x:v>
      </x:c>
      <x:c r="K489" s="7" t="str">
        <x:v>https://www.jimtof.org/search/jp/ESdetails?e=bpuT_4Xpv_c</x:v>
      </x:c>
    </x:row>
    <x:row r="490" ht="84" customHeight="1">
      <x:c r="A490" s="7" t="str">
        <x:v>自動化</x:v>
      </x:c>
      <x:c r="B490" s="7" t="str">
        <x:v>空気/電気マイクロメータデジタル表示ユニット『Smp2』、電気マイクロメータ『ダイメトロン』、小径内径測定機『IDM-30EX-S』、タップ穴自動検査</x:v>
      </x:c>
      <x:c r="C490" s="7" t="str">
        <x:v>株式会社第一測範製作所</x:v>
      </x:c>
      <x:c r="D490" s="7" t="str">
        <x:v>空気/電気マイクロメータデジタル表示ユニット『Smp2』、電気マイクロメータ『ダイメトロン』、小径内径測定機『IDM-30EX-S』、タップ穴自動検査</x:v>
      </x:c>
      <x:c r="E490" s="7" t="str">
        <x:v>E7004</x:v>
      </x:c>
      <x:c r="F490" s="7" t="str">
        <x:v>内容から分類（調査者・一次整理）</x:v>
      </x:c>
      <x:c r="G490" s="7" t="str">
        <x:v>出展説明に基づく一次分類。方式・実装権限・提供段階は個別確認</x:v>
      </x:c>
      <x:c t="str" r="H490" s="21">
        <x:f>HYPERLINK("#'展示詳細'!A"&amp;MATCH("AC125",'展示詳細'!$A$1:$A$340,0),"AC125")</x:f>
        <x:v>AC125</x:v>
      </x:c>
      <x:c r="I490" s="7" t="str">
        <x:v>2026の具体記述：アナログからデジタルへ。 / 第一測範製作所（ISSOKU）は、長年培ってきたゲージ・精密測定技術を礎に、センシング、自動測定、デジタル技術を融合し、測定の新たな可能性を提案します。 / 今回の展示では、従来のゲージから最新の測定技術を活用した自動測定・検査まで、幅広い製品・ソリューションをご紹介。 / 「測る・合わせる・つなぐ」をキーワードに、測定を品質保証だけでなく、生産の自動化・省力化、データ活用へつなげます。 / エアマイクロや</x:v>
      </x:c>
      <x:c r="J490" s="7" t="str">
        <x:v>EEX-EXH-2026-6a2286521c8a84e7</x:v>
      </x:c>
      <x:c r="K490" s="7" t="str">
        <x:v>https://www.jimtof.org/search/jp/ESdetails?e=RFZbEhJ7OQ4</x:v>
      </x:c>
    </x:row>
    <x:row r="491" ht="84" customHeight="1">
      <x:c r="A491" s="7" t="str">
        <x:v>自動化</x:v>
      </x:c>
      <x:c r="B491" s="7" t="str">
        <x:v>周辺部品・機構</x:v>
      </x:c>
      <x:c r="C491" s="7" t="str">
        <x:v>株式会社近藤製作所</x:v>
      </x:c>
      <x:c r="D491" s="7" t="str">
        <x:v>FANUC㈱CRXシリーズ プラグイン対応周辺機器（デモ）</x:v>
      </x:c>
      <x:c r="E491" s="7" t="str">
        <x:v>E7096</x:v>
      </x:c>
      <x:c r="F491" s="7" t="str">
        <x:v>内容から分類（調査者・一次整理）</x:v>
      </x:c>
      <x:c r="G491" s="7" t="str">
        <x:v>周辺要素・実装部品。システム全体のAI／自動動作の確認ではない</x:v>
      </x:c>
      <x:c t="str" r="H491" s="21">
        <x:f>HYPERLINK("#'展示詳細'!A"&amp;MATCH("AC081",'展示詳細'!$A$1:$A$340,0),"AC081")</x:f>
        <x:v>AC081</x:v>
      </x:c>
      <x:c r="I491" s="7" t="str">
        <x:v>2026の具体記述：メカトロ機器事業部では、FANUC製協働ロボットとカメラ、自社製周辺機器のデモを実施します。 / 他にも、工作機械向けの「Wチャックユニット」、緊急時にもワークを保持する「落下防止ハンド」のデモの実施、作業効率を高める「ロータリージョイント」「ツールチェンジャー」「クイックアジャスタ」といったロボット周辺機器のデモも実施します。 / メカトロ機械事業部では「段取り替え自動化」と「スペース確保」を両立するスマートスペースロボを展示。</x:v>
      </x:c>
      <x:c r="J491" s="7" t="str">
        <x:v>EEX-EXH-2026-ff39ef77fc84bf6f</x:v>
      </x:c>
      <x:c r="K491" s="7" t="str">
        <x:v>https://www.jimtof.org/search/jp/ESdetails?e=2lZ4aWGpFxM</x:v>
      </x:c>
    </x:row>
    <x:row r="492" ht="84" customHeight="1">
      <x:c r="A492" s="7" t="str">
        <x:v>自動化</x:v>
      </x:c>
      <x:c r="B492" s="7" t="str">
        <x:v>展示会では、複合加工と自動化を軸に、当社の最新ソリューションを紹介します。</x:v>
      </x:c>
      <x:c r="C492" s="7" t="str">
        <x:v>株式会社長谷川機械製作所</x:v>
      </x:c>
      <x:c r="D492" s="7" t="str">
        <x:v>展示会では、複合加工と自動化を軸に、当社の最新ソリューションを紹介します。</x:v>
      </x:c>
      <x:c r="E492" s="7" t="str">
        <x:v>E7051</x:v>
      </x:c>
      <x:c r="F492" s="7" t="str">
        <x:v>内容から分類（調査者・一次整理）</x:v>
      </x:c>
      <x:c r="G492" s="7" t="str">
        <x:v>出展説明に基づく一次分類。方式・実装権限・提供段階は個別確認</x:v>
      </x:c>
      <x:c t="str" r="H492" s="21">
        <x:f>HYPERLINK("#'展示詳細'!A"&amp;MATCH("AC188",'展示詳細'!$A$1:$A$340,0),"AC188")</x:f>
        <x:v>AC188</x:v>
      </x:c>
      <x:c r="I492" s="7" t="str">
        <x:v>2026の具体記述：今回の展示会では、「複合加工と自動化」をテーマに掲げます。 / 製造現場では人手不足への対応として自動化の重要性もますます高まっています。 / 展示会では、複合加工と自動化を軸に、当社の最新ソリューションを紹介します。 / 旋削機能を搭載した同時5軸マシニングセンタ「PM320-5XT」に自動供給ロボットを / 組み合わせた自動化システムを展示します。</x:v>
      </x:c>
      <x:c r="J492" s="7" t="str">
        <x:v>EEX-EXH-2026-e84a14f7dc6094b9</x:v>
      </x:c>
      <x:c r="K492" s="7" t="str">
        <x:v>https://www.jimtof.org/search/jp/ESdetails?e=gRk0brhHn-M</x:v>
      </x:c>
    </x:row>
    <x:row r="493" ht="84" customHeight="1">
      <x:c r="A493" s="7" t="str">
        <x:v>自動化</x:v>
      </x:c>
      <x:c r="B493" s="7" t="str">
        <x:v>周辺部品・機構</x:v>
      </x:c>
      <x:c r="C493" s="7" t="str">
        <x:v>永興電機工業株式会社</x:v>
      </x:c>
      <x:c r="D493" s="7" t="str">
        <x:v>精密電動マイクログラインダE-FOFCE、多種多様な先端工具と専用工具</x:v>
      </x:c>
      <x:c r="E493" s="7" t="str">
        <x:v>W3057</x:v>
      </x:c>
      <x:c r="F493" s="7" t="str">
        <x:v>内容から分類（調査者・一次整理）</x:v>
      </x:c>
      <x:c r="G493" s="7" t="str">
        <x:v>周辺要素・実装部品。システム全体のAI／自動動作の確認ではない</x:v>
      </x:c>
      <x:c t="str" r="H493" s="21">
        <x:f>HYPERLINK("#'展示詳細'!A"&amp;MATCH("AC030",'展示詳細'!$A$1:$A$340,0),"AC030")</x:f>
        <x:v>AC030</x:v>
      </x:c>
      <x:c r="I493" s="7" t="str">
        <x:v>2026の具体記述：アタッチメントは9種類、モータはブラシレスモータを採用でスピードタイプとトルクタイプの2種類、高トルク作業用の減速機を用意し、ロボットや設備への搭載も可能。</x:v>
      </x:c>
      <x:c r="J493" s="7" t="str">
        <x:v>EEX-EXH-2026-6ef0e5bdfc35158c</x:v>
      </x:c>
      <x:c r="K493" s="7" t="str">
        <x:v>https://www.jimtof.org/search/jp/ESdetails?e=rF_cWwycdK4</x:v>
      </x:c>
    </x:row>
    <x:row r="494" ht="84" customHeight="1">
      <x:c r="A494" s="7" t="str">
        <x:v>自動化</x:v>
      </x:c>
      <x:c r="B494" s="7" t="str">
        <x:v>周辺部品・機構</x:v>
      </x:c>
      <x:c r="C494" s="7" t="str">
        <x:v>津田駒工業株式会社</x:v>
      </x:c>
      <x:c r="D494" s="7" t="str">
        <x:v>ブロックビルド方式のNC円テーブル</x:v>
      </x:c>
      <x:c r="E494" s="7" t="str">
        <x:v>W2035</x:v>
      </x:c>
      <x:c r="F494" s="7" t="str">
        <x:v>内容から分類（調査者・一次整理）</x:v>
      </x:c>
      <x:c r="G494" s="7" t="str">
        <x:v>周辺要素・実装部品。システム全体のAI／自動動作の確認ではない</x:v>
      </x:c>
      <x:c t="str" r="H494" s="21">
        <x:f>HYPERLINK("#'展示詳細'!A"&amp;MATCH("AC141",'展示詳細'!$A$1:$A$340,0),"AC141")</x:f>
        <x:v>AC141</x:v>
      </x:c>
      <x:c r="I494" s="7" t="str">
        <x:v>2026の具体記述：また、「AWC₋自動ワーク交換装置　スカラー仕様」を初出展。 / ・自動ワーク交換装置AWC　スカラー仕様</x:v>
      </x:c>
      <x:c r="J494" s="7" t="str">
        <x:v>EEX-EXH-2026-a5adb522f7d7861d</x:v>
      </x:c>
      <x:c r="K494" s="7" t="str">
        <x:v>https://www.jimtof.org/search/jp/ESdetails?e=U6GMfQNeW4w</x:v>
      </x:c>
    </x:row>
    <x:row r="495" ht="84" customHeight="1">
      <x:c r="A495" s="7" t="str">
        <x:v>自動化</x:v>
      </x:c>
      <x:c r="B495" s="7" t="str">
        <x:v>CNCホブ盤</x:v>
      </x:c>
      <x:c r="C495" s="7" t="str">
        <x:v>清和ジーテック株式会社</x:v>
      </x:c>
      <x:c r="D495" s="7" t="str">
        <x:v>CNCホブ盤</x:v>
      </x:c>
      <x:c r="E495" s="7" t="str">
        <x:v>E3007</x:v>
      </x:c>
      <x:c r="F495" s="7" t="str">
        <x:v>内容から分類（調査者・一次整理）</x:v>
      </x:c>
      <x:c r="G495" s="7" t="str">
        <x:v>出展説明に基づく一次分類。方式・実装権限・提供段階は個別確認</x:v>
      </x:c>
      <x:c t="str" r="H495" s="21">
        <x:f>HYPERLINK("#'展示詳細'!A"&amp;MATCH("AC118",'展示詳細'!$A$1:$A$340,0),"AC118")</x:f>
        <x:v>AC118</x:v>
      </x:c>
      <x:c r="I495" s="7" t="str">
        <x:v>2026の具体記述：ヒューマノイドロボットに代表されるロボット技術の急激な進化に伴い、そのための歯車加工技術もまた、進化を要求されています。 / その他極小ワーク精密加工に特化した新仕様、及び自動化の提案等、弊社ブース実機にてご確認ください。</x:v>
      </x:c>
      <x:c r="J495" s="7" t="str">
        <x:v>EEX-EXH-2026-1046494d602d0d79</x:v>
      </x:c>
      <x:c r="K495" s="7" t="str">
        <x:v>https://www.jimtof.org/search/jp/ESdetails?e=UZiobfgROkY</x:v>
      </x:c>
    </x:row>
    <x:row r="496" ht="84" customHeight="1">
      <x:c r="A496" s="7" t="str">
        <x:v>自動化</x:v>
      </x:c>
      <x:c r="B496" s="7" t="str">
        <x:v>高精密CNC工具研削盤SG10EX</x:v>
      </x:c>
      <x:c r="C496" s="7" t="str">
        <x:v>牧野フライス精機株式会社</x:v>
      </x:c>
      <x:c r="D496" s="7" t="str">
        <x:v>高精密CNC工具研削盤SG10EX</x:v>
      </x:c>
      <x:c r="E496" s="7" t="str">
        <x:v>E7090</x:v>
      </x:c>
      <x:c r="F496" s="7" t="str">
        <x:v>内容から分類（調査者・一次整理）</x:v>
      </x:c>
      <x:c r="G496" s="7" t="str">
        <x:v>出展説明に基づく一次分類。方式・実装権限・提供段階は個別確認</x:v>
      </x:c>
      <x:c t="str" r="H496" s="21">
        <x:f>HYPERLINK("#'展示詳細'!A"&amp;MATCH("AC209",'展示詳細'!$A$1:$A$340,0),"AC209")</x:f>
        <x:v>AC209</x:v>
      </x:c>
      <x:c r="I496" s="7" t="str">
        <x:v>2026の具体記述：弊社は、工具製造のさらなる高精度化・自動化を実現する最新技術を出展。 / 今回の展示では、新機種1台を含む計3台のCNC工具研削盤を出展するほか、内蔵型マイクロビジョンシステム「monocam2」の新機能を公開。 / また、小径工具の機内測定に対応する新システム「nanocam」を発表し、小径工具研削の新たなソリューションを提案。</x:v>
      </x:c>
      <x:c r="J496" s="7" t="str">
        <x:v>EEX-EXH-2026-41a8f9ad241e4c0e</x:v>
      </x:c>
      <x:c r="K496" s="7" t="str">
        <x:v>https://www.jimtof.org/search/jp/ESdetails?e=jlC7OSSk2O4</x:v>
      </x:c>
    </x:row>
    <x:row r="497" ht="84" customHeight="1">
      <x:c r="A497" s="7" t="str">
        <x:v>自動化</x:v>
      </x:c>
      <x:c r="B497" s="7" t="str">
        <x:v>パレット供給</x:v>
      </x:c>
      <x:c r="C497" s="7" t="str">
        <x:v>牧野フライス製作所</x:v>
      </x:c>
      <x:c r="D497" s="7" t="str">
        <x:v>パレット自動化／MAS・ラインエンジニアリング</x:v>
      </x:c>
      <x:c r="E497" s="7" t="str">
        <x:v>E1024</x:v>
      </x:c>
      <x:c r="F497" s="7" t="str">
        <x:v>内容から分類（調査者）</x:v>
      </x:c>
      <x:c r="G497" s="7" t="str">
        <x:v>固定手順・生成・判定・補正等の自動化／支援</x:v>
      </x:c>
      <x:c t="str" r="H497" s="21">
        <x:f>HYPERLINK("#'展示詳細'!A"&amp;MATCH("FC046",'展示詳細'!$A$1:$A$340,0),"FC046")</x:f>
        <x:v>FC046</x:v>
      </x:c>
      <x:c r="I497" s="7" t="str">
        <x:v>人が行っていた処理・作業を機械又はソフトで行う機能に分類。提案の採用や例外対応に人が残るものを含む。</x:v>
      </x:c>
      <x:c r="J497" s="7" t="str">
        <x:v>EOV-V027-2026-1</x:v>
      </x:c>
      <x:c r="K497" s="7" t="str">
        <x:v>https://www.jimtof.org/search/jp/ESdetails?e=M5OL10ECBTE</x:v>
      </x:c>
    </x:row>
    <x:row r="498" ht="84" customHeight="1">
      <x:c r="A498" s="7" t="str">
        <x:v>自動化</x:v>
      </x:c>
      <x:c r="B498" s="7" t="str">
        <x:v>超高精度高速微細加工機　AndroidⅢ</x:v>
      </x:c>
      <x:c r="C498" s="7" t="str">
        <x:v>碌々スマートテクノロジー株式会社</x:v>
      </x:c>
      <x:c r="D498" s="7" t="str">
        <x:v>超高精度高速微細加工機　AndroidⅢ</x:v>
      </x:c>
      <x:c r="E498" s="7" t="str">
        <x:v>E2025</x:v>
      </x:c>
      <x:c r="F498" s="7" t="str">
        <x:v>内容から分類（調査者・一次整理）</x:v>
      </x:c>
      <x:c r="G498" s="7" t="str">
        <x:v>出展説明に基づく一次分類。方式・実装権限・提供段階は個別確認</x:v>
      </x:c>
      <x:c t="str" r="H498" s="21">
        <x:f>HYPERLINK("#'展示詳細'!A"&amp;MATCH("AC244",'展示詳細'!$A$1:$A$340,0),"AC244")</x:f>
        <x:v>AC244</x:v>
      </x:c>
      <x:c r="I498" s="7" t="str">
        <x:v>2026の具体記述：微細加工における「困りごと」である加工技術、補正技術、可視化技術、計測技術、予測技術、自動化技術など、さまざまな課題の解決に向けて、お客様の課題解決と成果創出に貢献するソリューションカンパニーとして、最適なご提案をいたします。</x:v>
      </x:c>
      <x:c r="J498" s="7" t="str">
        <x:v>EEX-EXH-2026-06412089488b96b5</x:v>
      </x:c>
      <x:c r="K498" s="7" t="str">
        <x:v>https://www.jimtof.org/search/jp/ESdetails?e=qZD6fx1n_QM</x:v>
      </x:c>
    </x:row>
    <x:row r="499" ht="84" customHeight="1">
      <x:c r="A499" s="7" t="str">
        <x:v>自動化</x:v>
      </x:c>
      <x:c r="B499" s="7" t="str">
        <x:v>今回の展示会では、加工機（ロボドリル）とロボットをワイヤレス接続した / 協働ロボットによるワーク搬送システムをご紹介いたします。 / ロボットが加工</x:v>
      </x:c>
      <x:c r="C499" s="7" t="str">
        <x:v>筑波エンジニアリング株式会社</x:v>
      </x:c>
      <x:c r="D499" s="7" t="str">
        <x:v>今回の展示会では、加工機（ロボドリル）とロボットをワイヤレス接続した / 協働ロボットによるワーク搬送システムをご紹介いたします。 / ロボットが加工</x:v>
      </x:c>
      <x:c r="E499" s="7" t="str">
        <x:v>S3098</x:v>
      </x:c>
      <x:c r="F499" s="7" t="str">
        <x:v>内容から分類（調査者・一次整理）</x:v>
      </x:c>
      <x:c r="G499" s="7" t="str">
        <x:v>出展説明に基づく一次分類。方式・実装権限・提供段階は個別確認</x:v>
      </x:c>
      <x:c t="str" r="H499" s="21">
        <x:f>HYPERLINK("#'展示詳細'!A"&amp;MATCH("AC140",'展示詳細'!$A$1:$A$340,0),"AC140")</x:f>
        <x:v>AC140</x:v>
      </x:c>
      <x:c r="I499" s="7" t="str">
        <x:v>2026の具体記述：今回の展示会では、加工機（ロボドリル）とロボットをワイヤレス接続した / 協働ロボットによるワーク搬送システムをご紹介いたします。 / ロボットが加工機の扉の開閉も行うため / 自動扉のない既存の加工機にもそのまま導入できるのが特長です。</x:v>
      </x:c>
      <x:c r="J499" s="7" t="str">
        <x:v>EEX-EXH-2026-d2a941b3c53a5d69</x:v>
      </x:c>
      <x:c r="K499" s="7" t="str">
        <x:v>https://www.jimtof.org/search/jp/ESdetails?e=2n2W_oYqO3w</x:v>
      </x:c>
    </x:row>
    <x:row r="500" ht="84" customHeight="1">
      <x:c r="A500" s="7" t="str">
        <x:v>自動化</x:v>
      </x:c>
      <x:c r="B500" s="7" t="str">
        <x:v>過酷環境の撮像</x:v>
      </x:c>
      <x:c r="C500" s="7" t="str">
        <x:v>興和オプトロニクス</x:v>
      </x:c>
      <x:c r="D500" s="7" t="str">
        <x:v>RW耐環境ビジョンユニット</x:v>
      </x:c>
      <x:c r="E500" s="7" t="str">
        <x:v>S3104</x:v>
      </x:c>
      <x:c r="F500" s="7" t="str">
        <x:v>内容から分類（調査者）</x:v>
      </x:c>
      <x:c r="G500" s="7" t="str">
        <x:v>固定手順・生成・判定・補正等の自動化／支援</x:v>
      </x:c>
      <x:c t="str" r="H500" s="21">
        <x:f>HYPERLINK("#'展示詳細'!A"&amp;MATCH("FC063",'展示詳細'!$A$1:$A$340,0),"FC063")</x:f>
        <x:v>FC063</x:v>
      </x:c>
      <x:c r="I500" s="7" t="str">
        <x:v>人が行っていた処理・作業を機械又はソフトで行う機能に分類。提案の採用や例外対応に人が残るものを含む。</x:v>
      </x:c>
      <x:c r="J500" s="7" t="str">
        <x:v>EOV-V042-2026-1
EDP-33</x:v>
      </x:c>
      <x:c r="K500" s="7" t="str">
        <x:v>https://www.jimtof.org/search/jp/ESdetails?e=v6nw4APC-vQ
https://optical.kowa-opt.co.jp/camera-rw/</x:v>
      </x:c>
    </x:row>
    <x:row r="501" ht="84" customHeight="1">
      <x:c r="A501" s="7" t="str">
        <x:v>自動化</x:v>
      </x:c>
      <x:c r="B501" s="7" t="str">
        <x:v>コンパクトかつ高剛性なテーブル形横中ぐり盤BTD-200QSを出展します。直径200mmのクイルを標準装備し、突き出し加工に優れ、強力な重切削が可能で</x:v>
      </x:c>
      <x:c r="C501" s="7" t="str">
        <x:v>芝浦機械株式会社</x:v>
      </x:c>
      <x:c r="D501" s="7" t="str">
        <x:v>コンパクトかつ高剛性なテーブル形横中ぐり盤BTD-200QSを出展します。直径200mmのクイルを標準装備し、突き出し加工に優れ、強力な重切削が可能で</x:v>
      </x:c>
      <x:c r="E501" s="7" t="str">
        <x:v>E2031</x:v>
      </x:c>
      <x:c r="F501" s="7" t="str">
        <x:v>内容から分類（調査者・一次整理）</x:v>
      </x:c>
      <x:c r="G501" s="7" t="str">
        <x:v>出展説明に基づく一次分類。方式・実装権限・提供段階は個別確認</x:v>
      </x:c>
      <x:c t="str" r="H501" s="21">
        <x:f>HYPERLINK("#'展示詳細'!A"&amp;MATCH("AC103",'展示詳細'!$A$1:$A$340,0),"AC103")</x:f>
        <x:v>AC103</x:v>
      </x:c>
      <x:c r="I501" s="7" t="str">
        <x:v>2026の具体記述：機械展示と合わせ、工場/機械の見える化や生産性向上を支援するDXの展示もございます。</x:v>
      </x:c>
      <x:c r="J501" s="7" t="str">
        <x:v>EEX-EXH-2026-2d71c6ed52b9c1a3</x:v>
      </x:c>
      <x:c r="K501" s="7" t="str">
        <x:v>https://www.jimtof.org/search/jp/ESdetails?e=-bHzD_rkD3E</x:v>
      </x:c>
    </x:row>
    <x:row r="502" ht="84" customHeight="1">
      <x:c r="A502" s="7" t="str">
        <x:v>自動化</x:v>
      </x:c>
      <x:c r="B502" s="7" t="str">
        <x:v>周辺部品・機構</x:v>
      </x:c>
      <x:c r="C502" s="7" t="str">
        <x:v>菱高精機株式会社</x:v>
      </x:c>
      <x:c r="D502" s="7" t="str">
        <x:v>CNC自動ドリルホーニング加工専用機 「ORION+」</x:v>
      </x:c>
      <x:c r="E502" s="7" t="str">
        <x:v>W1014</x:v>
      </x:c>
      <x:c r="F502" s="7" t="str">
        <x:v>内容から分類（調査者・一次整理）</x:v>
      </x:c>
      <x:c r="G502" s="7" t="str">
        <x:v>周辺要素・実装部品。システム全体のAI／自動動作の確認ではない</x:v>
      </x:c>
      <x:c t="str" r="H502" s="21">
        <x:f>HYPERLINK("#'展示詳細'!A"&amp;MATCH("AC242",'展示詳細'!$A$1:$A$340,0),"AC242")</x:f>
        <x:v>AC242</x:v>
      </x:c>
      <x:c r="I502" s="7" t="str">
        <x:v>2026の具体記述：清掃用工具(切屑を人の手から自動化へ清掃する工具) / CNC自動ドリルホーニング加工専用機 「ORION+」 / 自動清掃用工具「Titan」</x:v>
      </x:c>
      <x:c r="J502" s="7" t="str">
        <x:v>EEX-EXH-2026-1f5c719008ea72e9</x:v>
      </x:c>
      <x:c r="K502" s="7" t="str">
        <x:v>https://www.jimtof.org/search/jp/ESdetails?e=NwMMephg4LA</x:v>
      </x:c>
    </x:row>
    <x:row r="503" ht="84" customHeight="1">
      <x:c r="A503" s="7" t="str">
        <x:v>自動化</x:v>
      </x:c>
      <x:c r="B503" s="7" t="str">
        <x:v>大型超硬丸鋸切断機【NHC-400H】</x:v>
      </x:c>
      <x:c r="C503" s="7" t="str">
        <x:v>西島株式会社</x:v>
      </x:c>
      <x:c r="D503" s="7" t="str">
        <x:v>大型超硬丸鋸切断機【NHC-400H】</x:v>
      </x:c>
      <x:c r="E503" s="7" t="str">
        <x:v>S1055</x:v>
      </x:c>
      <x:c r="F503" s="7" t="str">
        <x:v>内容から分類（調査者・一次整理）</x:v>
      </x:c>
      <x:c r="G503" s="7" t="str">
        <x:v>出展説明に基づく一次分類。方式・実装権限・提供段階は個別確認</x:v>
      </x:c>
      <x:c t="str" r="H503" s="21">
        <x:f>HYPERLINK("#'展示詳細'!A"&amp;MATCH("AC164",'展示詳細'!$A$1:$A$340,0),"AC164")</x:f>
        <x:v>AC164</x:v>
      </x:c>
      <x:c r="I503" s="7" t="str">
        <x:v>2026の具体記述：単体機にとどまらず、搬送を含む自動化ライン構築やロボットを駆使した供給、 / 〇高精度ボールねじ専用転造盤「NTR-15HP」：ロボット関節用ボールねじの転造加工を実演 / 1世紀にわたる機械製造の技術力と、次世代の自動化システム構築力を融合させ、 / ロボット関節用ボールねじの転造加工を実演 / 搬入搬出の自動化システムも提案可能</x:v>
      </x:c>
      <x:c r="J503" s="7" t="str">
        <x:v>EEX-EXH-2026-3f157feb25f0c4df</x:v>
      </x:c>
      <x:c r="K503" s="7" t="str">
        <x:v>https://www.jimtof.org/search/jp/ESdetails?e=Al_kYRBXQb0</x:v>
      </x:c>
    </x:row>
    <x:row r="504" ht="84" customHeight="1">
      <x:c r="A504" s="7" t="str">
        <x:v>自動化</x:v>
      </x:c>
      <x:c r="B504" s="7" t="str">
        <x:v>適応制御・加工監視システム「ACM（Adaptive Control &amp; Monitoring）」</x:v>
      </x:c>
      <x:c r="C504" s="7" t="str">
        <x:v>西部商工株式会社</x:v>
      </x:c>
      <x:c r="D504" s="7" t="str">
        <x:v>適応制御・加工監視システム「ACM（Adaptive Control &amp; Monitoring）」</x:v>
      </x:c>
      <x:c r="E504" s="7" t="str">
        <x:v>S3020</x:v>
      </x:c>
      <x:c r="F504" s="7" t="str">
        <x:v>内容から分類（調査者・一次整理）</x:v>
      </x:c>
      <x:c r="G504" s="7" t="str">
        <x:v>出展説明に基づく一次分類。方式・実装権限・提供段階は個別確認</x:v>
      </x:c>
      <x:c t="str" r="H504" s="21">
        <x:f>HYPERLINK("#'展示詳細'!A"&amp;MATCH("AC115",'展示詳細'!$A$1:$A$340,0),"AC115")</x:f>
        <x:v>AC115</x:v>
      </x:c>
      <x:c r="I504" s="7" t="str">
        <x:v>2026の具体記述：また、加工状態の監視、適応制御、仮想立ち上げ、工場自動化などのデジタル技術にも取り組んでいます。 / 自動車・EV、航空宇宙、精密部品、歯車、ロボット、産業機器など、幅広い分野のお客様を支援しています。 / 適応制御・加工監視システム「ACM（Adaptive Control &amp; Monitoring）」 / ACMは、加工中の主軸負荷をリアルタイムに監視し、負荷の変化に応じて送り速度を自動調整するシステムです。</x:v>
      </x:c>
      <x:c r="J504" s="7" t="str">
        <x:v>EEX-EXH-2026-107042c6cf64ba96</x:v>
      </x:c>
      <x:c r="K504" s="7" t="str">
        <x:v>https://www.jimtof.org/search/jp/ESdetails?e=OC6R-wdDduM</x:v>
      </x:c>
    </x:row>
    <x:row r="505" ht="84" customHeight="1">
      <x:c r="A505" s="7" t="str">
        <x:v>自動化</x:v>
      </x:c>
      <x:c r="B505" s="7" t="str">
        <x:v>超精密仕様ワイヤ放電加工機　M35LP</x:v>
      </x:c>
      <x:c r="C505" s="7" t="str">
        <x:v>西部電機株式会社</x:v>
      </x:c>
      <x:c r="D505" s="7" t="str">
        <x:v>超精密仕様ワイヤ放電加工機　M35LP</x:v>
      </x:c>
      <x:c r="E505" s="7" t="str">
        <x:v>E2015</x:v>
      </x:c>
      <x:c r="F505" s="7" t="str">
        <x:v>内容から分類（調査者・一次整理）</x:v>
      </x:c>
      <x:c r="G505" s="7" t="str">
        <x:v>出展説明に基づく一次分類。方式・実装権限・提供段階は個別確認</x:v>
      </x:c>
      <x:c t="str" r="H505" s="21">
        <x:f>HYPERLINK("#'展示詳細'!A"&amp;MATCH("AC116",'展示詳細'!$A$1:$A$340,0),"AC116")</x:f>
        <x:v>AC116</x:v>
      </x:c>
      <x:c r="I505" s="7" t="str">
        <x:v>2026の具体記述：近年需要が拡大している半導体、データセンター、AI関連分野にも対応しており、大型高精度加工において優れたパフォーマンスを発揮します。 / また、「高精度加工」や「自動化・省人化」を実現する先端技術に加え、ワンチャックで切削加工と研削加工を可能にした高精密自由形状内面研削機「SFGシリーズ」のサンプルワークもご用意しております。</x:v>
      </x:c>
      <x:c r="J505" s="7" t="str">
        <x:v>EEX-EXH-2026-80abc40ff2c32d3f</x:v>
      </x:c>
      <x:c r="K505" s="7" t="str">
        <x:v>https://www.jimtof.org/search/jp/ESdetails?e=LqNWsydMu7s</x:v>
      </x:c>
    </x:row>
    <x:row r="506" ht="84" customHeight="1">
      <x:c r="A506" s="7" t="str">
        <x:v>自動化</x:v>
      </x:c>
      <x:c r="B506" s="7" t="str">
        <x:v>周辺部品・機構</x:v>
      </x:c>
      <x:c r="C506" s="7" t="str">
        <x:v>進桜電機株式会社</x:v>
      </x:c>
      <x:c r="D506" s="7" t="str">
        <x:v>協働ロボット（FANUC CRX・安川電機HC10）を使用したロボットバリ取り・研磨システム、ATC（自動工具交換）スピンドルモーター、アルミダイカス</x:v>
      </x:c>
      <x:c r="E506" s="7" t="str">
        <x:v>S3049</x:v>
      </x:c>
      <x:c r="F506" s="7" t="str">
        <x:v>内容から分類（調査者・一次整理）</x:v>
      </x:c>
      <x:c r="G506" s="7" t="str">
        <x:v>周辺要素・実装部品。システム全体のAI／自動動作の確認ではない</x:v>
      </x:c>
      <x:c t="str" r="H506" s="21">
        <x:f>HYPERLINK("#'展示詳細'!A"&amp;MATCH("AC108",'展示詳細'!$A$1:$A$340,0),"AC108")</x:f>
        <x:v>AC108</x:v>
      </x:c>
      <x:c r="I506" s="7" t="str">
        <x:v>2026の具体記述：協働ロボット（FANUC CRX・安川電機HC10）を使用したロボットバリ取り・研磨システム、ATC（自動工具交換）スピンドルモーター、アルミダイカストのバリ取り用高剛性スピンドルモーター、高速・高精度ACスピンドルモーター</x:v>
      </x:c>
      <x:c r="J506" s="7" t="str">
        <x:v>EEX-EXH-2026-90247bcf7f6d80c5</x:v>
      </x:c>
      <x:c r="K506" s="7" t="str">
        <x:v>https://www.jimtof.org/search/jp/ESdetails?e=8aXnlzFtkVQ</x:v>
      </x:c>
    </x:row>
    <x:row r="507" ht="84" customHeight="1">
      <x:c r="A507" s="7" t="str">
        <x:v>自動化</x:v>
      </x:c>
      <x:c r="B507" s="7" t="str">
        <x:v>周辺部品・機構</x:v>
      </x:c>
      <x:c r="C507" s="7" t="str">
        <x:v>鍋屋バイテック会社</x:v>
      </x:c>
      <x:c r="D507" s="7" t="str">
        <x:v>ロボットハンド</x:v>
      </x:c>
      <x:c r="E507" s="7" t="str">
        <x:v>W2068</x:v>
      </x:c>
      <x:c r="F507" s="7" t="str">
        <x:v>内容から分類（調査者・一次整理）</x:v>
      </x:c>
      <x:c r="G507" s="7" t="str">
        <x:v>周辺要素・実装部品。システム全体のAI／自動動作の確認ではない</x:v>
      </x:c>
      <x:c t="str" r="H507" s="21">
        <x:f>HYPERLINK("#'展示詳細'!A"&amp;MATCH("AC158",'展示詳細'!$A$1:$A$340,0),"AC158")</x:f>
        <x:v>AC158</x:v>
      </x:c>
      <x:c r="I507" s="7" t="str">
        <x:v>2026の具体記述：・ロボットハンド / NBKのロボットハンドは、小型・軽量なのに高把持力。 / 把持力をそのままにロボットハンドを小型化・軽量化ができます。</x:v>
      </x:c>
      <x:c r="J507" s="7" t="str">
        <x:v>EEX-EXH-2026-18f3d6af15ce3d5c</x:v>
      </x:c>
      <x:c r="K507" s="7" t="str">
        <x:v>https://www.jimtof.org/search/jp/ESdetails?e=oAJf-RFYInA</x:v>
      </x:c>
    </x:row>
    <x:row r="508" ht="84" customHeight="1">
      <x:c r="A508" s="7" t="str">
        <x:v>自動化</x:v>
      </x:c>
      <x:c r="B508" s="7" t="str">
        <x:v>出展製品：小型加工機[MULTIPRO6]</x:v>
      </x:c>
      <x:c r="C508" s="7" t="str">
        <x:v>高島産業株式会社</x:v>
      </x:c>
      <x:c r="D508" s="7" t="str">
        <x:v>出展製品：小型加工機[MULTIPRO6]</x:v>
      </x:c>
      <x:c r="E508" s="7" t="str">
        <x:v>S1010</x:v>
      </x:c>
      <x:c r="F508" s="7" t="str">
        <x:v>内容から分類（調査者・一次整理）</x:v>
      </x:c>
      <x:c r="G508" s="7" t="str">
        <x:v>出展説明に基づく一次分類。方式・実装権限・提供段階は個別確認</x:v>
      </x:c>
      <x:c t="str" r="H508" s="21">
        <x:f>HYPERLINK("#'展示詳細'!A"&amp;MATCH("AC130",'展示詳細'!$A$1:$A$340,0),"AC130")</x:f>
        <x:v>AC130</x:v>
      </x:c>
      <x:c r="I508" s="7" t="str">
        <x:v>2026の具体記述：◆ロボットを活用した小型マシニングセンタ MULTIPROのご紹介</x:v>
      </x:c>
      <x:c r="J508" s="7" t="str">
        <x:v>EEX-EXH-2026-51b26370956d2831</x:v>
      </x:c>
      <x:c r="K508" s="7" t="str">
        <x:v>https://www.jimtof.org/search/jp/ESdetails?e=CkrmvOrMu0I</x:v>
      </x:c>
    </x:row>
    <x:row r="509" ht="84" customHeight="1">
      <x:c r="A509" s="7" t="str">
        <x:v>自動化</x:v>
      </x:c>
      <x:c r="B509" s="7" t="str">
        <x:v>【高精度加工を実現する一台】</x:v>
      </x:c>
      <x:c r="C509" s="7" t="str">
        <x:v>黒田精工株式会社</x:v>
      </x:c>
      <x:c r="D509" s="7" t="str">
        <x:v>【高精度加工を実現する一台】</x:v>
      </x:c>
      <x:c r="E509" s="7" t="str">
        <x:v>E7091</x:v>
      </x:c>
      <x:c r="F509" s="7" t="str">
        <x:v>内容から分類（調査者・一次整理）</x:v>
      </x:c>
      <x:c r="G509" s="7" t="str">
        <x:v>出展説明に基づく一次分類。方式・実装権限・提供段階は個別確認</x:v>
      </x:c>
      <x:c t="str" r="H509" s="21">
        <x:f>HYPERLINK("#'展示詳細'!A"&amp;MATCH("AC068",'展示詳細'!$A$1:$A$340,0),"AC068")</x:f>
        <x:v>AC068</x:v>
      </x:c>
      <x:c r="I509" s="7" t="str">
        <x:v>2026の具体記述：自動車業界を筆頭に豊富な採用実績を有する「ハイドロリックツール」は、時間のかかる芯出し作業が誰でも簡単に行える精密油圧治具。 / 歯車加工の芯出し作業の効率化や歯車計測の自動化対応例を出展いたします。 / －歯車加工の芯出し作業の効率化や歯車計測の自動対応例などを展示</x:v>
      </x:c>
      <x:c r="J509" s="7" t="str">
        <x:v>EEX-EXH-2026-d1c4b808057b7341</x:v>
      </x:c>
      <x:c r="K509" s="7" t="str">
        <x:v>https://www.jimtof.org/search/jp/ESdetails?e=46cG1q7GwI4</x:v>
      </x:c>
    </x:row>
    <x:row r="510" ht="84" customHeight="1">
      <x:c r="A510" s="7" t="str">
        <x:v>自律化</x:v>
      </x:c>
      <x:c r="B510" s="7" t="str">
        <x:v>自律走行搬送</x:v>
      </x:c>
      <x:c r="C510" s="7" t="str">
        <x:v>DMG森精機</x:v>
      </x:c>
      <x:c r="D510" s="7" t="str">
        <x:v>AMR 1000</x:v>
      </x:c>
      <x:c r="E510" s="7" t="str">
        <x:v>E8005</x:v>
      </x:c>
      <x:c r="F510" s="7" t="str">
        <x:v>メーカー明示</x:v>
      </x:c>
      <x:c r="G510" s="7" t="str">
        <x:v>限定タスク：AMRの走行。受渡し・例外は未確認</x:v>
      </x:c>
      <x:c t="str" r="H510" s="21">
        <x:f>HYPERLINK("#'展示詳細'!A"&amp;MATCH("FC001",'展示詳細'!$A$1:$A$340,0),"FC001")</x:f>
        <x:v>FC001</x:v>
      </x:c>
      <x:c r="I510" s="7" t="str">
        <x:v>自律走行ロボットと記載。工場全体の無人化や自律運用とはしない。</x:v>
      </x:c>
      <x:c r="J510" s="7" t="str">
        <x:v>EOV-V001-2026-1</x:v>
      </x:c>
      <x:c r="K510" s="7" t="str">
        <x:v>https://www.jimtof.org/search/jp/ESdetails?e=zcqDj1lSkGs</x:v>
      </x:c>
    </x:row>
    <x:row r="511" ht="84" customHeight="1">
      <x:c r="A511" s="7" t="str">
        <x:v>自律化</x:v>
      </x:c>
      <x:c r="B511" s="7" t="str">
        <x:v>TM-2800：AMR・ロボット・加工機の統合</x:v>
      </x:c>
      <x:c r="C511" s="7" t="str">
        <x:v>FNS株式会社</x:v>
      </x:c>
      <x:c r="D511" s="7" t="str">
        <x:v>TM-2800：AMR・ロボット・加工機の統合</x:v>
      </x:c>
      <x:c r="E511" s="7" t="str">
        <x:v>E2034</x:v>
      </x:c>
      <x:c r="F511" s="7" t="str">
        <x:v>内容から分類（調査者・一次整理）</x:v>
      </x:c>
      <x:c r="G511" s="7" t="str">
        <x:v>工程間の統合制御。自律再計画・未知例外復帰は未確認</x:v>
      </x:c>
      <x:c t="str" r="H511" s="21">
        <x:f>HYPERLINK("#'展示詳細'!A"&amp;MATCH("AC039",'展示詳細'!$A$1:$A$340,0),"AC039")</x:f>
        <x:v>AC039</x:v>
      </x:c>
      <x:c r="I511" s="7" t="str">
        <x:v>2026の具体記述：あとは、TM-2800自身がAMRや協働ロボット、加工機を手足のように駆使し、効率のよい生産を行ってくれます。 / AMR、ロボット、加工機を統合・制御することで、極限まで省人化された生産現場が構築されます。 / 移動式ロボットシステム「RM-1000」</x:v>
      </x:c>
      <x:c r="J511" s="7" t="str">
        <x:v>EEX-EXH-2026-9022dcaec2b02dde
EDP-25</x:v>
      </x:c>
      <x:c r="K511" s="7" t="str">
        <x:v>https://www.jimtof.org/search/jp/ESdetails?e=_q_YetP8_og
https://www.fns-inc.jp/%E3%83%AD%E3%83%9C%E3%83%83%E3%83%88%E3%82%B7%E3%82%B9%E3%83%86%E3%83%A0</x:v>
      </x:c>
    </x:row>
    <x:row r="512" ht="84" customHeight="1">
      <x:c r="A512" s="7" t="str">
        <x:v>自律化</x:v>
      </x:c>
      <x:c r="B512" s="7" t="str">
        <x:v>boxcon：工具貸出・返却・在庫管理</x:v>
      </x:c>
      <x:c r="C512" s="7" t="str">
        <x:v>INCOS INC</x:v>
      </x:c>
      <x:c r="D512" s="7" t="str">
        <x:v>boxcon：工具貸出・返却・在庫管理</x:v>
      </x:c>
      <x:c r="E512" s="7" t="str">
        <x:v>S3006</x:v>
      </x:c>
      <x:c r="F512" s="7" t="str">
        <x:v>内容から分類（調査者・一次整理）</x:v>
      </x:c>
      <x:c r="G512" s="7" t="str">
        <x:v>自律製造向け工具管理基盤。自律的な補充判断は未確認</x:v>
      </x:c>
      <x:c t="str" r="H512" s="21">
        <x:f>HYPERLINK("#'展示詳細'!A"&amp;MATCH("AC265",'展示詳細'!$A$1:$A$340,0),"AC265")</x:f>
        <x:v>AC265</x:v>
      </x:c>
      <x:c r="I512" s="7" t="str">
        <x:v>2026の具体記述：ボックスコーン boxcon 自動販売機 / スマートツールキャビネット「boxcon」– インダストリー4.0時代を切り拓く自律製造対応Tool Management System / ボックスコーンは、インダストリー4.0と自律製造の実現に向けて開発された次世代Tool Management System（工具管理システム）です。 / 現場の工具管理を完全デジタル化し、デジタルファクトリー（デジタル工場）の構築を 支援します。 / </x:v>
      </x:c>
      <x:c r="J512" s="7" t="str">
        <x:v>EEX-EXH-2026-50a336f6fb27482a</x:v>
      </x:c>
      <x:c r="K512" s="7" t="str">
        <x:v>https://www.jimtof.org/search/jp/ESdetails?e=fAg9O7WHKh0</x:v>
      </x:c>
    </x:row>
    <x:row r="513" ht="84" customHeight="1">
      <x:c r="A513" s="7" t="str">
        <x:v>自律化</x:v>
      </x:c>
      <x:c r="B513" s="7" t="str">
        <x:v>TRINIX：CADから物理シミュレーション用データ生成</x:v>
      </x:c>
      <x:c r="C513" s="7" t="str">
        <x:v>NdotLight Co., Ltd.</x:v>
      </x:c>
      <x:c r="D513" s="7" t="str">
        <x:v>TRINIX：CADから物理シミュレーション用データ生成</x:v>
      </x:c>
      <x:c r="E513" s="7" t="str">
        <x:v>S4004</x:v>
      </x:c>
      <x:c r="F513" s="7" t="str">
        <x:v>内容から分類（調査者・一次整理）</x:v>
      </x:c>
      <x:c r="G513" s="7" t="str">
        <x:v>データ生成・検証の自己修正というメーカー説明。実機自律性とは別</x:v>
      </x:c>
      <x:c t="str" r="H513" s="21">
        <x:f>HYPERLINK("#'展示詳細'!A"&amp;MATCH("AC273",'展示詳細'!$A$1:$A$340,0),"AC273")</x:f>
        <x:v>AC273</x:v>
      </x:c>
      <x:c r="I513" s="7" t="str">
        <x:v>2026の具体記述：TRINIX is an AI-native platform that turns text, images and existing CAD or mesh data into simulation-ready 3D assets automatically. Describe what you need, or upload STEP, IGES or USD files. Then, TRINIX will generate f</x:v>
      </x:c>
      <x:c r="J513" s="7" t="str">
        <x:v>EEX-EXH-2026-016097f87d1914b2
EEX-WNDOT
ERF-06
ERF-07
ERF-08
ERF-09</x:v>
      </x:c>
      <x:c r="K513" s="7" t="str">
        <x:v>https://www.jimtof.org/search/jp/ESdetails?e=6Ds1v9hxvrY
https://ndotlight.com/newsroom/ndotlight-proposes-a-new-3d-data-standard-for-the-physical-ai-era-with-trinix
https://ndotlight.com/
https://docs.omniverse.nvidia.com/simready/latest/simready-faq.html
https://docs.omniverse.nvidia.com/simready/latest/simready-asset-creation/physics-best-practices.html
https://ndotlight.com/newsroom/ndotlight-to-co-develop-dexbench-a-global-standard-for-humanoid-evaluation-with-nvidia-and-rlwrld</x:v>
      </x:c>
    </x:row>
    <x:row r="514" ht="84" customHeight="1">
      <x:c r="A514" s="7" t="str">
        <x:v>自律化</x:v>
      </x:c>
      <x:c r="B514" s="7" t="str">
        <x:v>Road to Automation：工具研削の自律性向上提案</x:v>
      </x:c>
      <x:c r="C514" s="7" t="str">
        <x:v>Rollomatic Japan株式会社</x:v>
      </x:c>
      <x:c r="D514" s="7" t="str">
        <x:v>Road to Automation：工具研削の自律性向上提案</x:v>
      </x:c>
      <x:c r="E514" s="7" t="str">
        <x:v>S2005</x:v>
      </x:c>
      <x:c r="F514" s="7" t="str">
        <x:v>内容から分類（調査者・一次整理）</x:v>
      </x:c>
      <x:c r="G514" s="7" t="str">
        <x:v>メーカーの自律性向上提案。個別判断・製品範囲未特定</x:v>
      </x:c>
      <x:c t="str" r="H514" s="21">
        <x:f>HYPERLINK("#'展示詳細'!A"&amp;MATCH("AC245",'展示詳細'!$A$1:$A$340,0),"AC245")</x:f>
        <x:v>AC245</x:v>
      </x:c>
      <x:c r="I514" s="7" t="str">
        <x:v>2026の具体記述：Road to Automation — 自動化への最短ルートを、あなたとともに。 / Rollomaticは、長年にわたる自動研削の専門知識と経験を活かし、あらゆる規模・業種のお客様に最適な自動化ソリューションをご提案します。 / 私たちの「Road to Automation」は6つのステップで構成されており、研削プロセスの高度化からトレーニング、導入後のサポートまで、すべての段階でお客様を力強くサポートします。 / ・機械の自律性</x:v>
      </x:c>
      <x:c r="J514" s="7" t="str">
        <x:v>EEX-EXH-2026-d26755a7bc74fe39</x:v>
      </x:c>
      <x:c r="K514" s="7" t="str">
        <x:v>https://www.jimtof.org/search/jp/ESdetails?e=9af8P2FUMY8</x:v>
      </x:c>
    </x:row>
    <x:row r="515" ht="84" customHeight="1">
      <x:c r="A515" s="7" t="str">
        <x:v>自律化</x:v>
      </x:c>
      <x:c r="B515" s="7" t="str">
        <x:v>協働ロボット・自律移動ロボットとツーリング</x:v>
      </x:c>
      <x:c r="C515" s="7" t="str">
        <x:v>System 3R International AB</x:v>
      </x:c>
      <x:c r="D515" s="7" t="str">
        <x:v>協働ロボット・自律移動ロボットとツーリング</x:v>
      </x:c>
      <x:c r="E515" s="7" t="str">
        <x:v>W2078</x:v>
      </x:c>
      <x:c r="F515" s="7" t="str">
        <x:v>内容から分類（調査者・一次整理）</x:v>
      </x:c>
      <x:c r="G515" s="7" t="str">
        <x:v>自律移動ロボットの掲載。走行以外の判断は未確認</x:v>
      </x:c>
      <x:c t="str" r="H515" s="21">
        <x:f>HYPERLINK("#'展示詳細'!A"&amp;MATCH("AC287",'展示詳細'!$A$1:$A$340,0),"AC287")</x:f>
        <x:v>AC287</x:v>
      </x:c>
      <x:c r="I515" s="7" t="str">
        <x:v>2026の具体記述：超高精度ゼロポイントツーリング、自動化、ソフトウェアシステム分野のエキスパートであるシステム3Rは、製造業全体に向けて包括的なソリューションを提供し、製造プロセスの合理化と効率向上を実現しています。 / ロータリーマガジン付協働型ロボット、自律移動ロボット、ツーリング</x:v>
      </x:c>
      <x:c r="J515" s="7" t="str">
        <x:v>EEX-EXH-2026-60afae6de145a809</x:v>
      </x:c>
      <x:c r="K515" s="7" t="str">
        <x:v>https://www.jimtof.org/search/jp/ESdetails?e=c7Q6gr0wYyY</x:v>
      </x:c>
    </x:row>
    <x:row r="516" ht="84" customHeight="1">
      <x:c r="A516" s="7" t="str">
        <x:v>自律化</x:v>
      </x:c>
      <x:c r="B516" s="7" t="str">
        <x:v>状況判断を伴う切粉除去</x:v>
      </x:c>
      <x:c r="C516" s="7" t="str">
        <x:v>TAKISAWA</x:v>
      </x:c>
      <x:c r="D516" s="7" t="str">
        <x:v>TR-20W：主軸の切粉除去</x:v>
      </x:c>
      <x:c r="E516" s="7" t="str">
        <x:v>E3013</x:v>
      </x:c>
      <x:c r="F516" s="7" t="str">
        <x:v>内容から分類（調査者）</x:v>
      </x:c>
      <x:c r="G516" s="7" t="str">
        <x:v>限定タスクの参考出品。成功率・復帰は未検証</x:v>
      </x:c>
      <x:c t="str" r="H516" s="21">
        <x:f>HYPERLINK("#'展示詳細'!A"&amp;MATCH("FC049",'展示詳細'!$A$1:$A$340,0),"FC049")</x:f>
        <x:v>FC049</x:v>
      </x:c>
      <x:c r="I516" s="7" t="str">
        <x:v>切粉の絡まりを自ら判断・除去する記述に基づく。未知状況への汎化は確認していない。</x:v>
      </x:c>
      <x:c r="J516" s="7" t="str">
        <x:v>EOV-V030-2026-1
EAT-N01
EAT-N02
ERF-13</x:v>
      </x:c>
      <x:c r="K516" s="7" t="str">
        <x:v>https://www.jimtof.org/search/jp/ESdetails?e=3dTDRAMwZpM
https://www.nidec.com/jp/products/machine-tools/contents/machine-tool-jimtof2026/
https://www.nidec.com/jp/product/news/2024/news1101-03/</x:v>
      </x:c>
    </x:row>
    <x:row r="517" ht="84" customHeight="1">
      <x:c r="A517" s="7" t="str">
        <x:v>自律化</x:v>
      </x:c>
      <x:c r="B517" s="7" t="str">
        <x:v>自律工場の連携デモ</x:v>
      </x:c>
      <x:c r="C517" s="7" t="str">
        <x:v>ソフィックス</x:v>
      </x:c>
      <x:c r="D517" s="7" t="str">
        <x:v>SOFIXCAN Fleeter＋AI Forecast：ミニ工場</x:v>
      </x:c>
      <x:c r="E517" s="7" t="str">
        <x:v>E1067</x:v>
      </x:c>
      <x:c r="F517" s="7" t="str">
        <x:v>メーカー明示</x:v>
      </x:c>
      <x:c r="G517" s="7" t="str">
        <x:v>メーカーの提案テーマ。自律判断の範囲未確認</x:v>
      </x:c>
      <x:c t="str" r="H517" s="21">
        <x:f>HYPERLINK("#'展示詳細'!A"&amp;MATCH("FC030",'展示詳細'!$A$1:$A$340,0),"FC030")</x:f>
        <x:v>FC030</x:v>
      </x:c>
      <x:c r="I517" s="7" t="str">
        <x:v>工場の自律化を掲げるミニ工場デモ。商用自律工場の実績として扱わない。</x:v>
      </x:c>
      <x:c r="J517" s="7" t="str">
        <x:v>EOV-V015-2026-1
EDP-21
EDP-22
EDP-23</x:v>
      </x:c>
      <x:c r="K517" s="7" t="str">
        <x:v>https://www.jimtof.org/search/jp/ESdetails?e=rYRhOM0muPQ
https://www.sofix.co.jp/products/sofixcan_ai_forecast/
https://www.sofix.co.jp/products/sofixcan_fleeter/
https://www.sofix.co.jp/</x:v>
      </x:c>
    </x:row>
    <x:row r="518" ht="84" customHeight="1">
      <x:c r="A518" s="7" t="str">
        <x:v>自律化</x:v>
      </x:c>
      <x:c r="B518" s="7" t="str">
        <x:v>AMRを含む工程連携</x:v>
      </x:c>
      <x:c r="C518" s="7" t="str">
        <x:v>三菱商事テクノス</x:v>
      </x:c>
      <x:c r="D518" s="7" t="str">
        <x:v>ロボット＋AMRの工程間連携デモ</x:v>
      </x:c>
      <x:c r="E518" s="7" t="str">
        <x:v>S3100</x:v>
      </x:c>
      <x:c r="F518" s="7" t="str">
        <x:v>メーカー明示</x:v>
      </x:c>
      <x:c r="G518" s="7" t="str">
        <x:v>自律走行搬送を含む。セル全体の判断は未確認</x:v>
      </x:c>
      <x:c t="str" r="H518" s="21">
        <x:f>HYPERLINK("#'展示詳細'!A"&amp;MATCH("FC067",'展示詳細'!$A$1:$A$340,0),"FC067")</x:f>
        <x:v>FC067</x:v>
      </x:c>
      <x:c r="I518" s="7" t="str">
        <x:v>AMRを自律走行搬送ロボットと明記。ロボットとの協調判断まで自律的とは認定しない。</x:v>
      </x:c>
      <x:c r="J518" s="7" t="str">
        <x:v>EAT-V044-2026-1</x:v>
      </x:c>
      <x:c r="K518" s="7" t="str">
        <x:v>https://www.jimtof.org/search/jp/ESdetails?e=YIwM2AR4N4M</x:v>
      </x:c>
    </x:row>
    <x:row r="519" ht="84" customHeight="1">
      <x:c r="A519" s="7" t="str">
        <x:v>自律化</x:v>
      </x:c>
      <x:c r="B519" s="7" t="str">
        <x:v>業務処理の自律実行</x:v>
      </x:c>
      <x:c r="C519" s="7" t="str">
        <x:v>匠技研工業</x:v>
      </x:c>
      <x:c r="D519" s="7" t="str">
        <x:v>匠フォース：業務AIエージェント</x:v>
      </x:c>
      <x:c r="E519" s="7" t="str">
        <x:v>S3011</x:v>
      </x:c>
      <x:c r="F519" s="7" t="str">
        <x:v>メーカー明示</x:v>
      </x:c>
      <x:c r="G519" s="7" t="str">
        <x:v>メーカー主張。人が承認・判断</x:v>
      </x:c>
      <x:c t="str" r="H519" s="21">
        <x:f>HYPERLINK("#'展示詳細'!A"&amp;MATCH("FC062",'展示詳細'!$A$1:$A$340,0),"FC062")</x:f>
        <x:v>FC062</x:v>
      </x:c>
      <x:c r="I519" s="7" t="str">
        <x:v>AIが自律的に作業を進めるとの記載。作業範囲・外部操作の具体化は必要。</x:v>
      </x:c>
      <x:c r="J519" s="7" t="str">
        <x:v>EOV-V041-2026-1
EDP-05</x:v>
      </x:c>
      <x:c r="K519" s="7" t="str">
        <x:v>https://www.jimtof.org/search/jp/ESdetails?e=i_4zCxJP258
https://prtimes.jp/main/html/rd/p/000000031.000057137.html</x:v>
      </x:c>
    </x:row>
    <x:row r="520" ht="84" customHeight="1">
      <x:c r="A520" s="7" t="str">
        <x:v>自律化</x:v>
      </x:c>
      <x:c r="B520" s="7" t="str">
        <x:v>3D形状認識・教示不要の面取り／皿もみ</x:v>
      </x:c>
      <x:c r="C520" s="7" t="str">
        <x:v>東京エレクトロンデバイス株式会社</x:v>
      </x:c>
      <x:c r="D520" s="7" t="str">
        <x:v>3D形状認識・教示不要の面取り／皿もみ</x:v>
      </x:c>
      <x:c r="E520" s="7" t="str">
        <x:v>E7073</x:v>
      </x:c>
      <x:c r="F520" s="7" t="str">
        <x:v>内容から分類（調査者・一次整理）</x:v>
      </x:c>
      <x:c r="G520" s="7" t="str">
        <x:v>形状認識から軌道生成・加工。AI利用・未知形状の限界は未確認</x:v>
      </x:c>
      <x:c t="str" r="H520" s="21">
        <x:f>HYPERLINK("#'展示詳細'!A"&amp;MATCH("AC146",'展示詳細'!$A$1:$A$340,0),"AC146")</x:f>
        <x:v>AC146</x:v>
      </x:c>
      <x:c r="I520" s="7" t="str">
        <x:v>2026の具体記述：実機によるティーチングレス自動面取り・皿もみ・バリ取り加工のデモンストレーションを実施します。 / ビジョンローダーから供給された未ティーチングの不定形ワークをレーザースキャンで瞬時に認識し、加工プログラムを自動生成。 / ロボットティーチングを行うことなく、自動で面取り・皿もみ加工を実現します。 / 従来は熟練作業者や事前ティーチングが必要だった工程を、3D画像処理技術により完全自動化した様子を実機でご覧いただけます。 / ティーチン</x:v>
      </x:c>
      <x:c r="J520" s="7" t="str">
        <x:v>EEX-EXH-2026-8c08de1ffed47316
EEX-WTED</x:v>
      </x:c>
      <x:c r="K520" s="7" t="str">
        <x:v>https://www.jimtof.org/search/jp/ESdetails?e=c4cChQniAm8
https://www.inrevium.com/news-event/event/p7331/</x:v>
      </x:c>
    </x:row>
    <x:row r="521" ht="84" customHeight="1">
      <x:c r="A521" s="7" t="str">
        <x:v>自律化</x:v>
      </x:c>
      <x:c r="B521" s="7" t="str">
        <x:v>人協働型パレタイズロボット「GentleGaiant」と自動搬送AMR「iRAYPE」を組み合わせた次世代ソリューションや生産ラインの省人化・自動化ソ</x:v>
      </x:c>
      <x:c r="C521" s="7" t="str">
        <x:v>株式会社SANMATSU</x:v>
      </x:c>
      <x:c r="D521" s="7" t="str">
        <x:v>人協働型パレタイズロボット「GentleGaiant」と自動搬送AMR「iRAYPE」を組み合わせた次世代ソリューションや生産ラインの省人化・自動化ソ</x:v>
      </x:c>
      <x:c r="E521" s="7" t="str">
        <x:v>S3102</x:v>
      </x:c>
      <x:c r="F521" s="7" t="str">
        <x:v>内容から分類（調査者・一次整理）</x:v>
      </x:c>
      <x:c r="G521" s="7" t="str">
        <x:v>AMRの限定走行。パレタイズとの協調判断は未確認</x:v>
      </x:c>
      <x:c t="str" r="H521" s="21">
        <x:f>HYPERLINK("#'展示詳細'!A"&amp;MATCH("AC090",'展示詳細'!$A$1:$A$340,0),"AC090")</x:f>
        <x:v>AC090</x:v>
      </x:c>
      <x:c r="I521" s="7" t="str">
        <x:v>2026の具体記述：当社ブースでは人協働型パレタイズロボット「GentleGaiant」と自動搬送AMR「iRAYPE」を組み合わせた次世代ソリューションや生産ラインの省人化・自動化ソリューションをご紹介します。 / 【GentleGaiant】は30kg可搬を実現しながら省スペース設計。 / タッチパネルによる品種登録や段積みパターン設定、多様なロボットハンド設計を通じて、あらゆる商品パレタイズに柔軟対応します。 / 今回は「パレタイズロボットをAMRで</x:v>
      </x:c>
      <x:c r="J521" s="7" t="str">
        <x:v>EEX-EXH-2026-b00bbfd6ce23a97e</x:v>
      </x:c>
      <x:c r="K521" s="7" t="str">
        <x:v>https://www.jimtof.org/search/jp/ESdetails?e=ox2LGS2B2t4</x:v>
      </x:c>
    </x:row>
    <x:row r="522" ht="84" customHeight="1">
      <x:c r="A522" s="7" t="str">
        <x:v>自律化</x:v>
      </x:c>
      <x:c r="B522" s="7" t="str">
        <x:v>AMRによる切り屑自動回収</x:v>
      </x:c>
      <x:c r="C522" s="7" t="str">
        <x:v>株式会社白山機工</x:v>
      </x:c>
      <x:c r="D522" s="7" t="str">
        <x:v>AMRによる切り屑自動回収</x:v>
      </x:c>
      <x:c r="E522" s="7" t="str">
        <x:v>E2007</x:v>
      </x:c>
      <x:c r="F522" s="7" t="str">
        <x:v>内容から分類（調査者・一次整理）</x:v>
      </x:c>
      <x:c r="G522" s="7" t="str">
        <x:v>AMRによる切り屑回収。容器受渡し・例外処理は未確認</x:v>
      </x:c>
      <x:c t="str" r="H522" s="21">
        <x:f>HYPERLINK("#'展示詳細'!A"&amp;MATCH("AC186",'展示詳細'!$A$1:$A$340,0),"AC186")</x:f>
        <x:v>AC186</x:v>
      </x:c>
      <x:c r="I522" s="7" t="str">
        <x:v>2026の具体記述：今回は、切り屑・プレススクラップの搬送から自動回収、クーラントの高精度ろ過まで、工場の生産現場における「省人化・省スペース化・コスト削減」を実現する技術を展示します。 / 自由なレイアウトに対応するサークルコンベヤや、AMRを活用した切り屑自動回収システムを実演・模型で紹介。 / ■切り屑自動回収システム：AMRを使った切り屑自動回収システム。 / AMRによる自動回収で集中コンベヤなどの大掛かりな設備投資が不要となり、無人での回収処理</x:v>
      </x:c>
      <x:c r="J522" s="7" t="str">
        <x:v>EEX-EXH-2026-d8a50e23a9101b11
EDP-29</x:v>
      </x:c>
      <x:c r="K522" s="7" t="str">
        <x:v>https://www.jimtof.org/search/jp/ESdetails?e=FNFR7REQOl4
https://www.hakusankiko.co.jp/news/event/8837/</x:v>
      </x:c>
    </x:row>
    <x:row r="523" ht="84" customHeight="1">
      <x:c r="A523" s="7" t="str">
        <x:v>AI実装・連携基盤</x:v>
      </x:c>
      <x:c r="B523" s="7" t="str">
        <x:v>周辺部品・機構</x:v>
      </x:c>
      <x:c r="C523" s="7" t="str">
        <x:v>BizLink Special Cables (Changzhou) Co., Ltd.</x:v>
      </x:c>
      <x:c r="D523" s="7" t="str">
        <x:v>* 重要インフラ向けケーブル</x:v>
      </x:c>
      <x:c r="E523" s="7" t="str">
        <x:v>S1052</x:v>
      </x:c>
      <x:c r="F523" s="7" t="str">
        <x:v>内容から分類（調査者・一次整理）</x:v>
      </x:c>
      <x:c r="G523" s="7" t="str">
        <x:v>周辺要素・実装部品。システム全体のAI／自動動作の確認ではない</x:v>
      </x:c>
      <x:c t="str" r="H523" s="21">
        <x:f>HYPERLINK("#'展示詳細'!A"&amp;MATCH("AC250",'展示詳細'!$A$1:$A$340,0),"AC250")</x:f>
        <x:v>AC250</x:v>
      </x:c>
      <x:c r="I523" s="7" t="str">
        <x:v>2026の具体記述：さらにBizLinkは、ロボット用ケーブルおよびアセンブリ、ホース＆チューブ、ドレスパックシステム、すぐに導入可能な統合型ロボット、ロボットプログラミング、ならびに対面（講師指導）またはオンラインでの自動化システムトレーニングを提供しています。 / また、急速に高まるデジタル化の潮流に応え、センサー技術を活用した統合型かつインテリジェントな計測ソリューションも提供しています。 / * ロボット用リトラクトシステム</x:v>
      </x:c>
      <x:c r="J523" s="7" t="str">
        <x:v>EEX-EXH-2026-50111527cf450bde</x:v>
      </x:c>
      <x:c r="K523" s="7" t="str">
        <x:v>https://www.jimtof.org/search/jp/ESdetails?e=mONQNxkEoi8</x:v>
      </x:c>
    </x:row>
    <x:row r="524" ht="84" customHeight="1">
      <x:c r="A524" s="7" t="str">
        <x:v>AI実装・連携基盤</x:v>
      </x:c>
      <x:c r="B524" s="7" t="str">
        <x:v>『ToolsUnited』(ツールズユナイテッド)</x:v>
      </x:c>
      <x:c r="C524" s="7" t="str">
        <x:v>CIMSOURCE Japan株式会社</x:v>
      </x:c>
      <x:c r="D524" s="7" t="str">
        <x:v>『ToolsUnited』(ツールズユナイテッド)</x:v>
      </x:c>
      <x:c r="E524" s="7" t="str">
        <x:v>W1085</x:v>
      </x:c>
      <x:c r="F524" s="7" t="str">
        <x:v>内容から分類（調査者・一次整理）</x:v>
      </x:c>
      <x:c r="G524" s="7" t="str">
        <x:v>出展説明に基づく一次分類。方式・実装権限・提供段階は個別確認</x:v>
      </x:c>
      <x:c t="str" r="H524" s="21">
        <x:f>HYPERLINK("#'展示詳細'!A"&amp;MATCH("AC104",'展示詳細'!$A$1:$A$340,0),"AC104")</x:f>
        <x:v>AC104</x:v>
      </x:c>
      <x:c r="I524" s="7" t="str">
        <x:v>2026の具体記述：切削工具のデジタル情報で効率化に貢献する / 工具管理システム(TMS)やCAMへの工具登録を支援、国際規格ISO13399やドイツDIN4000に準拠した工具データおよび図面データ3D STEP,2D DXFファイルを提供する。 / 『ToolsUnited』に掲載されていない、工具においても必要な状況を依頼が出来る『ToolLink』(ツールリンク)、クラウドベースの工具管理システム『ToolPal』(ツールパル)など、貴社の工具の</x:v>
      </x:c>
      <x:c r="J524" s="7" t="str">
        <x:v>EEX-EXH-2026-01e20e87bdb59892</x:v>
      </x:c>
      <x:c r="K524" s="7" t="str">
        <x:v>https://www.jimtof.org/search/jp/ESdetails?e=qRD_BxF9DJo</x:v>
      </x:c>
    </x:row>
    <x:row r="525" ht="84" customHeight="1">
      <x:c r="A525" s="7" t="str">
        <x:v>AI実装・連携基盤</x:v>
      </x:c>
      <x:c r="B525" s="7" t="str">
        <x:v>周辺部品・機構</x:v>
      </x:c>
      <x:c r="C525" s="7" t="str">
        <x:v>HAWEジャパン株式会社</x:v>
      </x:c>
      <x:c r="D525" s="7" t="str">
        <x:v>当社は、油圧技術と電子制御技術を融合した省エネルギー・高機能ソリューションを提案します。切削用工作機械向けでは、インバータ技術により従来型油圧システム</x:v>
      </x:c>
      <x:c r="E525" s="7" t="str">
        <x:v>E3005</x:v>
      </x:c>
      <x:c r="F525" s="7" t="str">
        <x:v>内容から分類（調査者・一次整理）</x:v>
      </x:c>
      <x:c r="G525" s="7" t="str">
        <x:v>周辺要素・実装部品。システム全体のAI／自動動作の確認ではない</x:v>
      </x:c>
      <x:c t="str" r="H525" s="21">
        <x:f>HYPERLINK("#'展示詳細'!A"&amp;MATCH("AC185",'展示詳細'!$A$1:$A$340,0),"AC185")</x:f>
        <x:v>AC185</x:v>
      </x:c>
      <x:c r="I525" s="7" t="str">
        <x:v>2026の具体記述：生産に関わる工程を、「切削用工作機械」「治具クランプ」「マテリアルハンドリング」「新製品」の4分野に分け、それぞれの分野において、省エネおよびIoT対応を実現するシステム・製品をご提案いたします。 / 切削用工作機械向けでは、インバータ技術により従来型油圧システム比で約70～80％の消費電力削減を実現する省エネ油圧システムや、IoTを活用した予防保全・メンテナンス効率向上ソリューションを紹介します。 / 治具クランプ向けには、FA化に対</x:v>
      </x:c>
      <x:c r="J525" s="7" t="str">
        <x:v>EEX-EXH-2026-9f03016f633961ce</x:v>
      </x:c>
      <x:c r="K525" s="7" t="str">
        <x:v>https://www.jimtof.org/search/jp/ESdetails?e=uvRSrTznX5g</x:v>
      </x:c>
    </x:row>
    <x:row r="526" ht="84" customHeight="1">
      <x:c r="A526" s="7" t="str">
        <x:v>AI実装・連携基盤</x:v>
      </x:c>
      <x:c r="B526" s="7" t="str">
        <x:v>周辺部品・機構</x:v>
      </x:c>
      <x:c r="C526" s="7" t="str">
        <x:v>IDEC株式会社</x:v>
      </x:c>
      <x:c r="D526" s="7" t="str">
        <x:v>IDECブースでは、「安全が支える止まらない現場」をテーマに、</x:v>
      </x:c>
      <x:c r="E526" s="7" t="str">
        <x:v>W4090</x:v>
      </x:c>
      <x:c r="F526" s="7" t="str">
        <x:v>内容から分類（調査者・一次整理）</x:v>
      </x:c>
      <x:c r="G526" s="7" t="str">
        <x:v>周辺要素・実装部品。システム全体のAI／自動動作の確認ではない</x:v>
      </x:c>
      <x:c t="str" r="H526" s="21">
        <x:f>HYPERLINK("#'展示詳細'!A"&amp;MATCH("AC002",'展示詳細'!$A$1:$A$340,0),"AC002")</x:f>
        <x:v>AC002</x:v>
      </x:c>
      <x:c r="I526" s="7" t="str">
        <x:v>2026の具体記述：近年、工作機械の現場では、自動化や無人運転の拡大に伴い、 / 非接触方式によるガード扉監視を実現し、高い耐久性と設置自由度で工作機械の安全性向上をサポートします。</x:v>
      </x:c>
      <x:c r="J526" s="7" t="str">
        <x:v>EEX-EXH-2026-7d2e05044c8b6788</x:v>
      </x:c>
      <x:c r="K526" s="7" t="str">
        <x:v>https://www.jimtof.org/search/jp/ESdetails?e=26-u-N6DHfQ</x:v>
      </x:c>
    </x:row>
    <x:row r="527" ht="84" customHeight="1">
      <x:c r="A527" s="7" t="str">
        <x:v>AI実装・連携基盤</x:v>
      </x:c>
      <x:c r="B527" s="7" t="str">
        <x:v>工作機械センシングの知能化による生産性向上：</x:v>
      </x:c>
      <x:c r="C527" s="7" t="str">
        <x:v>Masterlink</x:v>
      </x:c>
      <x:c r="D527" s="7" t="str">
        <x:v>工作機械センシングの知能化による生産性向上：</x:v>
      </x:c>
      <x:c r="E527" s="7" t="str">
        <x:v>E1050</x:v>
      </x:c>
      <x:c r="F527" s="7" t="str">
        <x:v>内容から分類（調査者・一次整理）</x:v>
      </x:c>
      <x:c r="G527" s="7" t="str">
        <x:v>出展説明に基づく一次分類。方式・実装権限・提供段階は個別確認</x:v>
      </x:c>
      <x:c t="str" r="H527" s="21">
        <x:f>HYPERLINK("#'展示詳細'!A"&amp;MATCH("AC271",'展示詳細'!$A$1:$A$340,0),"AC271")</x:f>
        <x:v>AC271</x:v>
      </x:c>
      <x:c r="I527" s="7" t="str">
        <x:v>2026の具体記述：工具監視システム： / 重荷重パレタイジングロボット： / インテリジェント IoT ゲートウェイ： / 工具監視システム： / 重荷重パレタイジングロボット： / インテリジェント IoT ゲートウェイ：</x:v>
      </x:c>
      <x:c r="J527" s="7" t="str">
        <x:v>EEX-EXH-2026-19ce238d137fe275</x:v>
      </x:c>
      <x:c r="K527" s="7" t="str">
        <x:v>https://www.jimtof.org/search/jp/ESdetails?e=kygm0UxJL-M</x:v>
      </x:c>
    </x:row>
    <x:row r="528" ht="84" customHeight="1">
      <x:c r="A528" s="7" t="str">
        <x:v>AI実装・連携基盤</x:v>
      </x:c>
      <x:c r="B528" s="7" t="str">
        <x:v>TRINIX：CADから物理シミュレーション用データ生成</x:v>
      </x:c>
      <x:c r="C528" s="7" t="str">
        <x:v>NdotLight Co., Ltd.</x:v>
      </x:c>
      <x:c r="D528" s="7" t="str">
        <x:v>TRINIX：CADから物理シミュレーション用データ生成</x:v>
      </x:c>
      <x:c r="E528" s="7" t="str">
        <x:v>S4004</x:v>
      </x:c>
      <x:c r="F528" s="7" t="str">
        <x:v>内容から分類（調査者・一次整理）</x:v>
      </x:c>
      <x:c r="G528" s="7" t="str">
        <x:v>出展説明に基づく一次分類。方式・実装権限・提供段階は個別確認</x:v>
      </x:c>
      <x:c t="str" r="H528" s="21">
        <x:f>HYPERLINK("#'展示詳細'!A"&amp;MATCH("AC273",'展示詳細'!$A$1:$A$340,0),"AC273")</x:f>
        <x:v>AC273</x:v>
      </x:c>
      <x:c r="I528" s="7" t="str">
        <x:v>2026の具体記述：TRINIX is an AI-native platform that turns text, images and existing CAD or mesh data into simulation-ready 3D assets automatically. Describe what you need, or upload STEP, IGES or USD files. Then, TRINIX will generate f</x:v>
      </x:c>
      <x:c r="J528" s="7" t="str">
        <x:v>EEX-EXH-2026-016097f87d1914b2
EEX-WNDOT
ERF-06
ERF-07
ERF-08
ERF-09</x:v>
      </x:c>
      <x:c r="K528" s="7" t="str">
        <x:v>https://www.jimtof.org/search/jp/ESdetails?e=6Ds1v9hxvrY
https://ndotlight.com/newsroom/ndotlight-proposes-a-new-3d-data-standard-for-the-physical-ai-era-with-trinix
https://ndotlight.com/
https://docs.omniverse.nvidia.com/simready/latest/simready-faq.html
https://docs.omniverse.nvidia.com/simready/latest/simready-asset-creation/physics-best-practices.html
https://ndotlight.com/newsroom/ndotlight-to-co-develop-dexbench-a-global-standard-for-humanoid-evaluation-with-nvidia-and-rlwrld</x:v>
      </x:c>
    </x:row>
    <x:row r="529" ht="84" customHeight="1">
      <x:c r="A529" s="7" t="str">
        <x:v>AI実装・連携基盤</x:v>
      </x:c>
      <x:c r="B529" s="7" t="str">
        <x:v>CAD/CAMソフトウェアの開発を加速する、強力な3Dツールキット。 / 工作機械のデジタルツインや高精度な加工シミュレーション、CADデータ連携の開</x:v>
      </x:c>
      <x:c r="C529" s="7" t="str">
        <x:v>Spatial Corp.</x:v>
      </x:c>
      <x:c r="D529" s="7" t="str">
        <x:v>CAD/CAMソフトウェアの開発を加速する、強力な3Dツールキット。 / 工作機械のデジタルツインや高精度な加工シミュレーション、CADデータ連携の開</x:v>
      </x:c>
      <x:c r="E529" s="7" t="str">
        <x:v>E1063</x:v>
      </x:c>
      <x:c r="F529" s="7" t="str">
        <x:v>内容から分類（調査者・一次整理）</x:v>
      </x:c>
      <x:c r="G529" s="7" t="str">
        <x:v>出展説明に基づく一次分類。方式・実装権限・提供段階は個別確認</x:v>
      </x:c>
      <x:c t="str" r="H529" s="21">
        <x:f>HYPERLINK("#'展示詳細'!A"&amp;MATCH("AC286",'展示詳細'!$A$1:$A$340,0),"AC286")</x:f>
        <x:v>AC286</x:v>
      </x:c>
      <x:c r="I529" s="7" t="str">
        <x:v>2026の具体記述：CAD/CAMソフトウェアの開発を加速する、強力な3Dツールキット。 / 工作機械のデジタルツインや高精度な加工シミュレーション、CADデータ連携の開発にお悩みではありませんか？ / ダッソー・システムズ傘下のスペイシャルは、世界中の製造業で採用される3Dモデリング・CAD変換・メッシュ生成・可視化SDKを提供しています。</x:v>
      </x:c>
      <x:c r="J529" s="7" t="str">
        <x:v>EEX-EXH-2026-b723f9bd97c08837</x:v>
      </x:c>
      <x:c r="K529" s="7" t="str">
        <x:v>https://www.jimtof.org/search/jp/ESdetails?e=bsgsYcvbud4</x:v>
      </x:c>
    </x:row>
    <x:row r="530" ht="84" customHeight="1">
      <x:c r="A530" s="7" t="str">
        <x:v>AI実装・連携基盤</x:v>
      </x:c>
      <x:c r="B530" s="7" t="str">
        <x:v>1.インテリジェント・ビルトインスピンドル（台湾精品賞受賞）</x:v>
      </x:c>
      <x:c r="C530" s="7" t="str">
        <x:v>Theta Precision Co., Ltd.</x:v>
      </x:c>
      <x:c r="D530" s="7" t="str">
        <x:v>1.インテリジェント・ビルトインスピンドル（台湾精品賞受賞）</x:v>
      </x:c>
      <x:c r="E530" s="7" t="str">
        <x:v>W3003</x:v>
      </x:c>
      <x:c r="F530" s="7" t="str">
        <x:v>内容から分類（調査者・一次整理）</x:v>
      </x:c>
      <x:c r="G530" s="7" t="str">
        <x:v>出展説明に基づく一次分類。方式・実装権限・提供段階は個別確認</x:v>
      </x:c>
      <x:c t="str" r="H530" s="21">
        <x:f>HYPERLINK("#'展示詳細'!A"&amp;MATCH("AC288",'展示詳細'!$A$1:$A$340,0),"AC288")</x:f>
        <x:v>AC288</x:v>
      </x:c>
      <x:c r="I530" s="7" t="str">
        <x:v>2026の具体記述：1.スマート製造を加速する監視システム：独自技術で振動・温度・ベアリング安全係数をリアルタイム検知。 / 2.半導体・精密研削市場への高度なカスタム性：AI産業向け高要求スピンドル市場へ本格参入。 / 振動、温度、熱変位をリアルタイム監視。</x:v>
      </x:c>
      <x:c r="J530" s="7" t="str">
        <x:v>EEX-EXH-2026-b8cf89f9a09c5a9c</x:v>
      </x:c>
      <x:c r="K530" s="7" t="str">
        <x:v>https://www.jimtof.org/search/jp/ESdetails?e=-qpqVRprqhs</x:v>
      </x:c>
    </x:row>
    <x:row r="531" ht="84" customHeight="1">
      <x:c r="A531" s="7" t="str">
        <x:v>AI実装・連携基盤</x:v>
      </x:c>
      <x:c r="B531" s="7" t="str">
        <x:v>異機種・旧設備の接続</x:v>
      </x:c>
      <x:c r="C531" s="7" t="str">
        <x:v>たけびし</x:v>
      </x:c>
      <x:c r="D531" s="7" t="str">
        <x:v>OPC UA情報モデルとエージェント連携</x:v>
      </x:c>
      <x:c r="E531" s="7" t="str">
        <x:v>S3015</x:v>
      </x:c>
      <x:c r="F531" s="7" t="str">
        <x:v>内容から分類（調査者）</x:v>
      </x:c>
      <x:c r="G531" s="7" t="str">
        <x:v>モデル実装・データ・撮像・制御基盤</x:v>
      </x:c>
      <x:c t="str" r="H531" s="21">
        <x:f>HYPERLINK("#'展示詳細'!A"&amp;MATCH("FC024",'展示詳細'!$A$1:$A$340,0),"FC024")</x:f>
        <x:v>FC024</x:v>
      </x:c>
      <x:c r="I531" s="7" t="str">
        <x:v>AIモデルを制御へ載せる、入力データを得る、機器・上位系へ接続する役割で分類。</x:v>
      </x:c>
      <x:c r="J531" s="7" t="str">
        <x:v>EOV-V011-2026-1
EDP-06</x:v>
      </x:c>
      <x:c r="K531" s="7" t="str">
        <x:v>https://www.jimtof.org/search/jp/ESdetails?e=Qh27DAtEkbw
https://opcconnect.opcfoundation.org/2026/06/toward-realizing-ai-utilization-in-manufacturing-exploring-the-potential-of-integrating-the-opc-ua-information-model-with-ai-agents/</x:v>
      </x:c>
    </x:row>
    <x:row r="532" ht="84" customHeight="1">
      <x:c r="A532" s="7" t="str">
        <x:v>AI実装・連携基盤</x:v>
      </x:c>
      <x:c r="B532" s="7" t="str">
        <x:v>アズビルTACO</x:v>
      </x:c>
      <x:c r="C532" s="7" t="str">
        <x:v>アズビルTACO株式会社</x:v>
      </x:c>
      <x:c r="D532" s="7" t="str">
        <x:v>アズビルTACO</x:v>
      </x:c>
      <x:c r="E532" s="7" t="str">
        <x:v>W4070</x:v>
      </x:c>
      <x:c r="F532" s="7" t="str">
        <x:v>内容から分類（調査者・一次整理）</x:v>
      </x:c>
      <x:c r="G532" s="7" t="str">
        <x:v>出展説明に基づく一次分類。方式・実装権限・提供段階は個別確認</x:v>
      </x:c>
      <x:c t="str" r="H532" s="21">
        <x:f>HYPERLINK("#'展示詳細'!A"&amp;MATCH("AC007",'展示詳細'!$A$1:$A$340,0),"AC007")</x:f>
        <x:v>AC007</x:v>
      </x:c>
      <x:c r="I532" s="7" t="str">
        <x:v>2026の具体記述：① 工作機械の自動扉に合わせた形状で、確実に挟まれを検知する、セーフティエッジスイッチ。 / ・工作機械の自動扉の挟まれ検知に最適なエッジスイッチ / ・自動扉の形状に合わせて設置可能。 / ② 状態監視用振動・温度センサ　形:QM30VT3 / ・3軸振動・温度監視と自動しきい値設定機能を搭載したコンパクトな状態監視センサ。</x:v>
      </x:c>
      <x:c r="J532" s="7" t="str">
        <x:v>EEX-EXH-2026-2c48cf1373cedc75</x:v>
      </x:c>
      <x:c r="K532" s="7" t="str">
        <x:v>https://www.jimtof.org/search/jp/ESdetails?e=x6DdroBnfSA</x:v>
      </x:c>
    </x:row>
    <x:row r="533" ht="84" customHeight="1">
      <x:c r="A533" s="7" t="str">
        <x:v>AI実装・連携基盤</x:v>
      </x:c>
      <x:c r="B533" s="7" t="str">
        <x:v>長距離、省配線を実現する産業用イーサーネット</x:v>
      </x:c>
      <x:c r="C533" s="7" t="str">
        <x:v>アナログ・デバイセズ株式会社</x:v>
      </x:c>
      <x:c r="D533" s="7" t="str">
        <x:v>長距離、省配線を実現する産業用イーサーネット</x:v>
      </x:c>
      <x:c r="E533" s="7" t="str">
        <x:v>S3003</x:v>
      </x:c>
      <x:c r="F533" s="7" t="str">
        <x:v>内容から分類（調査者・一次整理）</x:v>
      </x:c>
      <x:c r="G533" s="7" t="str">
        <x:v>出展説明に基づく一次分類。方式・実装権限・提供段階は個別確認</x:v>
      </x:c>
      <x:c t="str" r="H533" s="21">
        <x:f>HYPERLINK("#'展示詳細'!A"&amp;MATCH("AC008",'展示詳細'!$A$1:$A$340,0),"AC008")</x:f>
        <x:v>AC008</x:v>
      </x:c>
      <x:c r="I533" s="7" t="str">
        <x:v>2026の具体記述：- AIを、確実な制御へ - / AIを現場価値へ変えるために必要な全てを、ADIの技術でつなぐ</x:v>
      </x:c>
      <x:c r="J533" s="7" t="str">
        <x:v>EEX-EXH-2026-5fe4f7b65e7b1d1b</x:v>
      </x:c>
      <x:c r="K533" s="7" t="str">
        <x:v>https://www.jimtof.org/search/jp/ESdetails?e=KmFutdwRdo0</x:v>
      </x:c>
    </x:row>
    <x:row r="534" ht="84" customHeight="1">
      <x:c r="A534" s="7" t="str">
        <x:v>AI実装・連携基盤</x:v>
      </x:c>
      <x:c r="B534" s="7" t="str">
        <x:v>周辺部品・機構</x:v>
      </x:c>
      <x:c r="C534" s="7" t="str">
        <x:v>イグス株式会社</x:v>
      </x:c>
      <x:c r="D534" s="7" t="str">
        <x:v>直動及び旋回用ケーブル保護管 [エナジーチェーン]、3D動作用ケーブル保護管 [トライフレックスR]</x:v>
      </x:c>
      <x:c r="E534" s="7" t="str">
        <x:v>E3004</x:v>
      </x:c>
      <x:c r="F534" s="7" t="str">
        <x:v>内容から分類（調査者・一次整理）</x:v>
      </x:c>
      <x:c r="G534" s="7" t="str">
        <x:v>周辺要素・実装部品。システム全体のAI／自動動作の確認ではない</x:v>
      </x:c>
      <x:c t="str" r="H534" s="21">
        <x:f>HYPERLINK("#'展示詳細'!A"&amp;MATCH("AC014",'展示詳細'!$A$1:$A$340,0),"AC014")</x:f>
        <x:v>AC014</x:v>
      </x:c>
      <x:c r="I534" s="7" t="str">
        <x:v>2026の具体記述：予知保全・状態監視システム [スマートプラスチック]</x:v>
      </x:c>
      <x:c r="J534" s="7" t="str">
        <x:v>EEX-EXH-2026-d7f06610e0cfe3de</x:v>
      </x:c>
      <x:c r="K534" s="7" t="str">
        <x:v>https://www.jimtof.org/search/jp/ESdetails?e=BnXXMpSPRVw</x:v>
      </x:c>
    </x:row>
    <x:row r="535" ht="84" customHeight="1">
      <x:c r="A535" s="7" t="str">
        <x:v>AI実装・連携基盤</x:v>
      </x:c>
      <x:c r="B535" s="7" t="str">
        <x:v>IPC・分散I/O基盤</x:v>
      </x:c>
      <x:c r="C535" s="7" t="str">
        <x:v>ケーメックス・オートメーション</x:v>
      </x:c>
      <x:c r="D535" s="7" t="str">
        <x:v>産業用IPC／VARIO-X・分散I/O</x:v>
      </x:c>
      <x:c r="E535" s="7" t="str">
        <x:v>S3024</x:v>
      </x:c>
      <x:c r="F535" s="7" t="str">
        <x:v>内容から分類（調査者）</x:v>
      </x:c>
      <x:c r="G535" s="7" t="str">
        <x:v>モデル実装・データ・撮像・制御基盤</x:v>
      </x:c>
      <x:c t="str" r="H535" s="21">
        <x:f>HYPERLINK("#'展示詳細'!A"&amp;MATCH("FC068",'展示詳細'!$A$1:$A$340,0),"FC068")</x:f>
        <x:v>FC068</x:v>
      </x:c>
      <x:c r="I535" s="7" t="str">
        <x:v>AIモデルを制御へ載せる、入力データを得る、機器・上位系へ接続する役割で分類。</x:v>
      </x:c>
      <x:c r="J535" s="7" t="str">
        <x:v>EAT-V045-2026-1</x:v>
      </x:c>
      <x:c r="K535" s="7" t="str">
        <x:v>https://www.jimtof.org/search/jp/ESdetails?e=bz4bGc4T6ag</x:v>
      </x:c>
    </x:row>
    <x:row r="536" ht="84" customHeight="1">
      <x:c r="A536" s="7" t="str">
        <x:v>AI実装・連携基盤</x:v>
      </x:c>
      <x:c r="B536" s="7" t="str">
        <x:v>周辺部品・機構</x:v>
      </x:c>
      <x:c r="C536" s="7" t="str">
        <x:v>コアーテック株式会社</x:v>
      </x:c>
      <x:c r="D536" s="7" t="str">
        <x:v>電動ねじ式多段伸縮ポール『ロボポール』は新開発の特許製品です。今まで世の中に無かった電動モータによるねじ駆動方式です。</x:v>
      </x:c>
      <x:c r="E536" s="7" t="str">
        <x:v>E7018</x:v>
      </x:c>
      <x:c r="F536" s="7" t="str">
        <x:v>内容から分類（調査者・一次整理）</x:v>
      </x:c>
      <x:c r="G536" s="7" t="str">
        <x:v>周辺要素・実装部品。システム全体のAI／自動動作の確認ではない</x:v>
      </x:c>
      <x:c t="str" r="H536" s="21">
        <x:f>HYPERLINK("#'展示詳細'!A"&amp;MATCH("AC072",'展示詳細'!$A$1:$A$340,0),"AC072")</x:f>
        <x:v>AC072</x:v>
      </x:c>
      <x:c r="I536" s="7" t="str">
        <x:v>2026の具体記述：・エルゴ社、ボーゲン社、プレシジカ社のリニアエンコーダ，回転エンコーダ，電池電源位置測定表示器、長尺ノギス，デジタル巻き尺（10ｍ）を展示いたします。 / パラレルリンク、ＸZθ軸ロボットへの応用が可能です。</x:v>
      </x:c>
      <x:c r="J536" s="7" t="str">
        <x:v>EEX-EXH-2026-01761b7d0056c58f</x:v>
      </x:c>
      <x:c r="K536" s="7" t="str">
        <x:v>https://www.jimtof.org/search/jp/ESdetails?e=TfkhiNP60VQ</x:v>
      </x:c>
    </x:row>
    <x:row r="537" ht="84" customHeight="1">
      <x:c r="A537" s="7" t="str">
        <x:v>AI実装・連携基盤</x:v>
      </x:c>
      <x:c r="B537" s="7" t="str">
        <x:v>異機種・旧設備の接続</x:v>
      </x:c>
      <x:c r="C537" s="7" t="str">
        <x:v>シーイーシー</x:v>
      </x:c>
      <x:c r="D537" s="7" t="str">
        <x:v>Facteye／Resolana</x:v>
      </x:c>
      <x:c r="E537" s="7" t="str">
        <x:v>E2006</x:v>
      </x:c>
      <x:c r="F537" s="7" t="str">
        <x:v>内容から分類（調査者）</x:v>
      </x:c>
      <x:c r="G537" s="7" t="str">
        <x:v>モデル実装・データ・撮像・制御基盤</x:v>
      </x:c>
      <x:c t="str" r="H537" s="21">
        <x:f>HYPERLINK("#'展示詳細'!A"&amp;MATCH("FC025",'展示詳細'!$A$1:$A$340,0),"FC025")</x:f>
        <x:v>FC025</x:v>
      </x:c>
      <x:c r="I537" s="7" t="str">
        <x:v>AIモデルを制御へ載せる、入力データを得る、機器・上位系へ接続する役割で分類。</x:v>
      </x:c>
      <x:c r="J537" s="7" t="str">
        <x:v>EOV-V012-2026-1</x:v>
      </x:c>
      <x:c r="K537" s="7" t="str">
        <x:v>https://www.jimtof.org/search/jp/ESdetails?e=tW-C9oF94EQ</x:v>
      </x:c>
    </x:row>
    <x:row r="538" ht="84" customHeight="1">
      <x:c r="A538" s="7" t="str">
        <x:v>AI実装・連携基盤</x:v>
      </x:c>
      <x:c r="B538" s="7" t="str">
        <x:v>異機種・旧設備の接続</x:v>
      </x:c>
      <x:c r="C538" s="7" t="str">
        <x:v>ソフィックス</x:v>
      </x:c>
      <x:c r="D538" s="7" t="str">
        <x:v>SOFIXCAN Ω Eye</x:v>
      </x:c>
      <x:c r="E538" s="7" t="str">
        <x:v>E1067</x:v>
      </x:c>
      <x:c r="F538" s="7" t="str">
        <x:v>内容から分類（調査者）</x:v>
      </x:c>
      <x:c r="G538" s="7" t="str">
        <x:v>モデル実装・データ・撮像・制御基盤</x:v>
      </x:c>
      <x:c t="str" r="H538" s="21">
        <x:f>HYPERLINK("#'展示詳細'!A"&amp;MATCH("FC029",'展示詳細'!$A$1:$A$340,0),"FC029")</x:f>
        <x:v>FC029</x:v>
      </x:c>
      <x:c r="I538" s="7" t="str">
        <x:v>AIモデルを制御へ載せる、入力データを得る、機器・上位系へ接続する役割で分類。</x:v>
      </x:c>
      <x:c r="J538" s="7" t="str">
        <x:v>EOV-V015-2026-1</x:v>
      </x:c>
      <x:c r="K538" s="7" t="str">
        <x:v>https://www.jimtof.org/search/jp/ESdetails?e=rYRhOM0muPQ</x:v>
      </x:c>
    </x:row>
    <x:row r="539" ht="84" customHeight="1">
      <x:c r="A539" s="7" t="str">
        <x:v>AI実装・連携基盤</x:v>
      </x:c>
      <x:c r="B539" s="7" t="str">
        <x:v>工場内搬送</x:v>
      </x:c>
      <x:c r="C539" s="7" t="str">
        <x:v>ソフィックス</x:v>
      </x:c>
      <x:c r="D539" s="7" t="str">
        <x:v>SOFIXCAN Fleeter＋AI Forecast：ミニ工場</x:v>
      </x:c>
      <x:c r="E539" s="7" t="str">
        <x:v>E1067</x:v>
      </x:c>
      <x:c r="F539" s="7" t="str">
        <x:v>内容から分類（調査者）</x:v>
      </x:c>
      <x:c r="G539" s="7" t="str">
        <x:v>モデル実装・データ・撮像・制御基盤</x:v>
      </x:c>
      <x:c t="str" r="H539" s="21">
        <x:f>HYPERLINK("#'展示詳細'!A"&amp;MATCH("FC030",'展示詳細'!$A$1:$A$340,0),"FC030")</x:f>
        <x:v>FC030</x:v>
      </x:c>
      <x:c r="I539" s="7" t="str">
        <x:v>AIモデルを制御へ載せる、入力データを得る、機器・上位系へ接続する役割で分類。</x:v>
      </x:c>
      <x:c r="J539" s="7" t="str">
        <x:v>EOV-V015-2026-1
EDP-21
EDP-22
EDP-23</x:v>
      </x:c>
      <x:c r="K539" s="7" t="str">
        <x:v>https://www.jimtof.org/search/jp/ESdetails?e=rYRhOM0muPQ
https://www.sofix.co.jp/products/sofixcan_ai_forecast/
https://www.sofix.co.jp/products/sofixcan_fleeter/
https://www.sofix.co.jp/</x:v>
      </x:c>
    </x:row>
    <x:row r="540" ht="84" customHeight="1">
      <x:c r="A540" s="7" t="str">
        <x:v>AI実装・連携基盤</x:v>
      </x:c>
      <x:c r="B540" s="7" t="str">
        <x:v>周辺部品・機構</x:v>
      </x:c>
      <x:c r="C540" s="7" t="str">
        <x:v>ヘラマンタイトン株式会社</x:v>
      </x:c>
      <x:c r="D540" s="7" t="str">
        <x:v>ローヘッドタイ</x:v>
      </x:c>
      <x:c r="E540" s="7" t="str">
        <x:v>S3063</x:v>
      </x:c>
      <x:c r="F540" s="7" t="str">
        <x:v>内容から分類（調査者・一次整理）</x:v>
      </x:c>
      <x:c r="G540" s="7" t="str">
        <x:v>周辺要素・実装部品。システム全体のAI／自動動作の確認ではない</x:v>
      </x:c>
      <x:c t="str" r="H540" s="21">
        <x:f>HYPERLINK("#'展示詳細'!A"&amp;MATCH("AC208",'展示詳細'!$A$1:$A$340,0),"AC208")</x:f>
        <x:v>AC208</x:v>
      </x:c>
      <x:c r="I540" s="7" t="str">
        <x:v>2026の具体記述：ヘラマンタイトン株式会社は、結束バンドの代名詞「インシュロック」をはじめとした、配線結束・固定・保護製品を展開する配線資材メーカーです。 / 会場では、製造現場の省人化・作業品質向上を実現するソリューションや、新製品も紹介いたしますので是非お立ち寄りください。 / ●ローヘッドタイ / 周辺の電線被覆を傷つけにくい、作業者にも安全なデザインの省スペース用結束バンドです。 / ●アルミパイプフレーム用固定具 / 生産現場の設備ユニットのア</x:v>
      </x:c>
      <x:c r="J540" s="7" t="str">
        <x:v>EEX-EXH-2026-61c5e32e01981e4b</x:v>
      </x:c>
      <x:c r="K540" s="7" t="str">
        <x:v>https://www.jimtof.org/search/jp/ESdetails?e=xEXdOEK7Vpc</x:v>
      </x:c>
    </x:row>
    <x:row r="541" ht="84" customHeight="1">
      <x:c r="A541" s="7" t="str">
        <x:v>AI実装・連携基盤</x:v>
      </x:c>
      <x:c r="B541" s="7" t="str">
        <x:v>学習モデル実装</x:v>
      </x:c>
      <x:c r="C541" s="7" t="str">
        <x:v>ベッコフオートメーション</x:v>
      </x:c>
      <x:c r="D541" s="7" t="str">
        <x:v>TwinCAT Machine Learning Creator</x:v>
      </x:c>
      <x:c r="E541" s="7" t="str">
        <x:v>E2028</x:v>
      </x:c>
      <x:c r="F541" s="7" t="str">
        <x:v>内容から分類（調査者）</x:v>
      </x:c>
      <x:c r="G541" s="7" t="str">
        <x:v>モデル実装・データ・撮像・制御基盤</x:v>
      </x:c>
      <x:c t="str" r="H541" s="21">
        <x:f>HYPERLINK("#'展示詳細'!A"&amp;MATCH("FC014",'展示詳細'!$A$1:$A$340,0),"FC014")</x:f>
        <x:v>FC014</x:v>
      </x:c>
      <x:c r="I541" s="7" t="str">
        <x:v>AIモデルを制御へ載せる、入力データを得る、機器・上位系へ接続する役割で分類。</x:v>
      </x:c>
      <x:c r="J541" s="7" t="str">
        <x:v>EOV-V005-2026-1
EOV-W01
EDP-04</x:v>
      </x:c>
      <x:c r="K541" s="7" t="str">
        <x:v>https://www.jimtof.org/search/jp/ESdetails?e=K7DqahO2h08
https://www.beckhoff.com/en-za/products/automation/twincat/texxxx-twincat-3-engineering/te3850.html
https://www.beckhoff.com/media/downloads/information-media/pc-control/pcc_0224_e.pdf</x:v>
      </x:c>
    </x:row>
    <x:row r="542" ht="84" customHeight="1">
      <x:c r="A542" s="7" t="str">
        <x:v>AI実装・連携基盤</x:v>
      </x:c>
      <x:c r="B542" s="7" t="str">
        <x:v>加工信号解析</x:v>
      </x:c>
      <x:c r="C542" s="7" t="str">
        <x:v>ベッコフオートメーション</x:v>
      </x:c>
      <x:c r="D542" s="7" t="str">
        <x:v>TwinCAT CNC：切削信号の解析・独自制御</x:v>
      </x:c>
      <x:c r="E542" s="7" t="str">
        <x:v>E2028</x:v>
      </x:c>
      <x:c r="F542" s="7" t="str">
        <x:v>内容から分類（調査者）</x:v>
      </x:c>
      <x:c r="G542" s="7" t="str">
        <x:v>モデル実装・データ・撮像・制御基盤</x:v>
      </x:c>
      <x:c t="str" r="H542" s="21">
        <x:f>HYPERLINK("#'展示詳細'!A"&amp;MATCH("FC015",'展示詳細'!$A$1:$A$340,0),"FC015")</x:f>
        <x:v>FC015</x:v>
      </x:c>
      <x:c r="I542" s="7" t="str">
        <x:v>AIモデルを制御へ載せる、入力データを得る、機器・上位系へ接続する役割で分類。</x:v>
      </x:c>
      <x:c r="J542" s="7" t="str">
        <x:v>EOV-V005-2026-1</x:v>
      </x:c>
      <x:c r="K542" s="7" t="str">
        <x:v>https://www.jimtof.org/search/jp/ESdetails?e=K7DqahO2h08</x:v>
      </x:c>
    </x:row>
    <x:row r="543" ht="84" customHeight="1">
      <x:c r="A543" s="7" t="str">
        <x:v>AI実装・連携基盤</x:v>
      </x:c>
      <x:c r="B543" s="7" t="str">
        <x:v>周辺部品・機構</x:v>
      </x:c>
      <x:c r="C543" s="7" t="str">
        <x:v>ミネベアミツミ株式会社</x:v>
      </x:c>
      <x:c r="D543" s="7" t="str">
        <x:v>アキシャル/ラジアルベアリング</x:v>
      </x:c>
      <x:c r="E543" s="7" t="str">
        <x:v>W2029</x:v>
      </x:c>
      <x:c r="F543" s="7" t="str">
        <x:v>内容から分類（調査者・一次整理）</x:v>
      </x:c>
      <x:c r="G543" s="7" t="str">
        <x:v>周辺要素・実装部品。システム全体のAI／自動動作の確認ではない</x:v>
      </x:c>
      <x:c t="str" r="H543" s="21">
        <x:f>HYPERLINK("#'展示詳細'!A"&amp;MATCH("AC222",'展示詳細'!$A$1:$A$340,0),"AC222")</x:f>
        <x:v>AC222</x:v>
      </x:c>
      <x:c r="I543" s="7" t="str">
        <x:v>2026の具体記述：ミネベアミツミブースでは、工作機械やロボットの高度化・自動化に貢献する製品群を3つのカテゴリで一堂に展示いたします。 / ②【精密な駆動とセンシング】：高い応答性と制御性を誇るHB（ハイブリッド）モーターに加え、ロボットの精密動作や力加減を感知する6軸力覚センサーなど、高度な自動化を支える駆動・センシングソリューションをご提案します。</x:v>
      </x:c>
      <x:c r="J543" s="7" t="str">
        <x:v>EEX-EXH-2026-fb52066b04681c9c</x:v>
      </x:c>
      <x:c r="K543" s="7" t="str">
        <x:v>https://www.jimtof.org/search/jp/ESdetails?e=-h838KuejOA</x:v>
      </x:c>
    </x:row>
    <x:row r="544" ht="84" customHeight="1">
      <x:c r="A544" s="7" t="str">
        <x:v>AI実装・連携基盤</x:v>
      </x:c>
      <x:c r="B544" s="7" t="str">
        <x:v>制御盤用筐体 VX</x:v>
      </x:c>
      <x:c r="C544" s="7" t="str">
        <x:v>リタール株式会社</x:v>
      </x:c>
      <x:c r="D544" s="7" t="str">
        <x:v>制御盤用筐体 VX</x:v>
      </x:c>
      <x:c r="E544" s="7" t="str">
        <x:v>S1067</x:v>
      </x:c>
      <x:c r="F544" s="7" t="str">
        <x:v>内容から分類（調査者・一次整理）</x:v>
      </x:c>
      <x:c r="G544" s="7" t="str">
        <x:v>出展説明に基づく一次分類。方式・実装権限・提供段階は個別確認</x:v>
      </x:c>
      <x:c t="str" r="H544" s="21">
        <x:f>HYPERLINK("#'展示詳細'!A"&amp;MATCH("AC240",'展示詳細'!$A$1:$A$340,0),"AC240")</x:f>
        <x:v>AC240</x:v>
      </x:c>
      <x:c r="I544" s="7" t="str">
        <x:v>2026の具体記述：国際規格を多数取得、高い保護等級を有するリタールの盤用筐体や小型ボックス各種、工作機械の操作盤に最適の高さ調節式サポートアームシステム、オープンプラットフォームのバスバーシステム、そして、製造業のIoT化を推進するクーラー付ITラック・エッジコンピューティング用ラックも展示します。</x:v>
      </x:c>
      <x:c r="J544" s="7" t="str">
        <x:v>EEX-EXH-2026-ede0d52617ac3762</x:v>
      </x:c>
      <x:c r="K544" s="7" t="str">
        <x:v>https://www.jimtof.org/search/jp/ESdetails?e=20GFOkXi--c</x:v>
      </x:c>
    </x:row>
    <x:row r="545" ht="84" customHeight="1">
      <x:c r="A545" s="7" t="str">
        <x:v>AI実装・連携基盤</x:v>
      </x:c>
      <x:c r="B545" s="7" t="str">
        <x:v>旋削工具、回転工具・ソリッド工具</x:v>
      </x:c>
      <x:c r="C545" s="7" t="str">
        <x:v>京セラ株式会社</x:v>
      </x:c>
      <x:c r="D545" s="7" t="str">
        <x:v>旋削工具、回転工具・ソリッド工具</x:v>
      </x:c>
      <x:c r="E545" s="7" t="str">
        <x:v>W1046</x:v>
      </x:c>
      <x:c r="F545" s="7" t="str">
        <x:v>内容から分類（調査者・一次整理）</x:v>
      </x:c>
      <x:c r="G545" s="7" t="str">
        <x:v>出展説明に基づく一次分類。方式・実装権限・提供段階は個別確認</x:v>
      </x:c>
      <x:c t="str" r="H545" s="21">
        <x:f>HYPERLINK("#'展示詳細'!A"&amp;MATCH("AC062",'展示詳細'!$A$1:$A$340,0),"AC062")</x:f>
        <x:v>AC062</x:v>
      </x:c>
      <x:c r="I545" s="7" t="str">
        <x:v>2026の具体記述：京セラは「Creating Sustainable Value in Machining」をコンセプトに出展します。 / 加工状態を可視化・監視・分析するセンシングソリューション「VIMOA」、工具選定を支援する「EASY TOOL GUIDE」を展示し、生産現場のDX推進を支援します。 / また、CAD／CAMメーカー様や加工ユーザー様との連携事例を通じ、加工課題の解決につながる最適なソリューションを紹介します。</x:v>
      </x:c>
      <x:c r="J545" s="7" t="str">
        <x:v>EEX-EXH-2026-916418fd838030de</x:v>
      </x:c>
      <x:c r="K545" s="7" t="str">
        <x:v>https://www.jimtof.org/search/jp/ESdetails?e=E4SA18YM2G4</x:v>
      </x:c>
    </x:row>
    <x:row r="546" ht="84" customHeight="1">
      <x:c r="A546" s="7" t="str">
        <x:v>AI実装・連携基盤</x:v>
      </x:c>
      <x:c r="B546" s="7" t="str">
        <x:v>【水晶圧電式ワイヤレス回転式動力計9171B】</x:v>
      </x:c>
      <x:c r="C546" s="7" t="str">
        <x:v>日本キスラー合同会社</x:v>
      </x:c>
      <x:c r="D546" s="7" t="str">
        <x:v>【水晶圧電式ワイヤレス回転式動力計9171B】</x:v>
      </x:c>
      <x:c r="E546" s="7" t="str">
        <x:v>S4031</x:v>
      </x:c>
      <x:c r="F546" s="7" t="str">
        <x:v>内容から分類（調査者・一次整理）</x:v>
      </x:c>
      <x:c r="G546" s="7" t="str">
        <x:v>出展説明に基づく一次分類。方式・実装権限・提供段階は個別確認</x:v>
      </x:c>
      <x:c t="str" r="H546" s="21">
        <x:f>HYPERLINK("#'展示詳細'!A"&amp;MATCH("AC175",'展示詳細'!$A$1:$A$340,0),"AC175")</x:f>
        <x:v>AC175</x:v>
      </x:c>
      <x:c r="I546" s="7" t="str">
        <x:v>2026の具体記述：タレット旋盤、多軸加工機、ロボット、組立ラインなどの稼働構造部での連続的な測定を実現します。 / ・自動分析ソフトウェア（Piezo Tool System）</x:v>
      </x:c>
      <x:c r="J546" s="7" t="str">
        <x:v>EEX-EXH-2026-e0340858cb52d52f</x:v>
      </x:c>
      <x:c r="K546" s="7" t="str">
        <x:v>https://www.jimtof.org/search/jp/ESdetails?e=7Gt1ylw_a8s</x:v>
      </x:c>
    </x:row>
    <x:row r="547" ht="84" customHeight="1">
      <x:c r="A547" s="7" t="str">
        <x:v>AI実装・連携基盤</x:v>
      </x:c>
      <x:c r="B547" s="7" t="str">
        <x:v>周辺部品・機構</x:v>
      </x:c>
      <x:c r="C547" s="7" t="str">
        <x:v>有限会社デュブリン・ジャパン・リミテッド</x:v>
      </x:c>
      <x:c r="D547" s="7" t="str">
        <x:v>工作機械向けロータリーユニオンおよび産業用スリップリングの最新技術を展示します。</x:v>
      </x:c>
      <x:c r="E547" s="7" t="str">
        <x:v>WA024</x:v>
      </x:c>
      <x:c r="F547" s="7" t="str">
        <x:v>内容から分類（調査者・一次整理）</x:v>
      </x:c>
      <x:c r="G547" s="7" t="str">
        <x:v>周辺要素・実装部品。システム全体のAI／自動動作の確認ではない</x:v>
      </x:c>
      <x:c t="str" r="H547" s="21">
        <x:f>HYPERLINK("#'展示詳細'!A"&amp;MATCH("AC145",'展示詳細'!$A$1:$A$340,0),"AC145")</x:f>
        <x:v>AC145</x:v>
      </x:c>
      <x:c r="I547" s="7" t="str">
        <x:v>2026の具体記述：使用する流体を自動的に感知し、最適なシール状態へ切り替える独自技術です。 / 工作機械、自動化設備、ロボット、回転テーブルなど幅広い用途に対応します。 / スリップリングでは、電力・信号・産業用ネットワーク・高速データ通信に対応した各種製品を展示し、自動化設備や回転機器における安定したデータ伝送ソリューションをご提案します。</x:v>
      </x:c>
      <x:c r="J547" s="7" t="str">
        <x:v>EEX-EXH-2026-c9f3df91b8488aae</x:v>
      </x:c>
      <x:c r="K547" s="7" t="str">
        <x:v>https://www.jimtof.org/search/jp/ESdetails?e=PjO1_W-zmqI</x:v>
      </x:c>
    </x:row>
    <x:row r="548" ht="84" customHeight="1">
      <x:c r="A548" s="7" t="str">
        <x:v>AI実装・連携基盤</x:v>
      </x:c>
      <x:c r="B548" s="7" t="str">
        <x:v>周辺部品・機構</x:v>
      </x:c>
      <x:c r="C548" s="7" t="str">
        <x:v>株式会社ネオフレックス</x:v>
      </x:c>
      <x:c r="D548" s="7" t="str">
        <x:v>1.フレキシブル電線保護管（金属製・樹脂製）</x:v>
      </x:c>
      <x:c r="E548" s="7" t="str">
        <x:v>S3039</x:v>
      </x:c>
      <x:c r="F548" s="7" t="str">
        <x:v>内容から分類（調査者・一次整理）</x:v>
      </x:c>
      <x:c r="G548" s="7" t="str">
        <x:v>周辺要素・実装部品。システム全体のAI／自動動作の確認ではない</x:v>
      </x:c>
      <x:c t="str" r="H548" s="21">
        <x:f>HYPERLINK("#'展示詳細'!A"&amp;MATCH("AC182",'展示詳細'!$A$1:$A$340,0),"AC182")</x:f>
        <x:v>AC182</x:v>
      </x:c>
      <x:c r="I548" s="7" t="str">
        <x:v>2026の具体記述：当社は、工作機械、産業機械、船舶、鉄道車両、建設機械、プラント建設、トンネル工事、ロボット、自動機、工場設備など、幅広い用途向けのフレキシブル電線保護管およびコネクターを製造・販売しています。</x:v>
      </x:c>
      <x:c r="J548" s="7" t="str">
        <x:v>EEX-EXH-2026-7e162011f9184cc6</x:v>
      </x:c>
      <x:c r="K548" s="7" t="str">
        <x:v>https://www.jimtof.org/search/jp/ESdetails?e=CQ20cW795qg</x:v>
      </x:c>
    </x:row>
    <x:row r="549" ht="84" customHeight="1">
      <x:c r="A549" s="7" t="str">
        <x:v>AI実装・連携基盤</x:v>
      </x:c>
      <x:c r="B549" s="7" t="str">
        <x:v>【AIカメラ】</x:v>
      </x:c>
      <x:c r="C549" s="7" t="str">
        <x:v>株式会社マザーツール</x:v>
      </x:c>
      <x:c r="D549" s="7" t="str">
        <x:v>【AIカメラ】</x:v>
      </x:c>
      <x:c r="E549" s="7" t="str">
        <x:v>S4038</x:v>
      </x:c>
      <x:c r="F549" s="7" t="str">
        <x:v>内容から分類（調査者・一次整理）</x:v>
      </x:c>
      <x:c r="G549" s="7" t="str">
        <x:v>出展説明に基づく一次分類。方式・実装権限・提供段階は個別確認</x:v>
      </x:c>
      <x:c t="str" r="H549" s="21">
        <x:f>HYPERLINK("#'展示詳細'!A"&amp;MATCH("AC210",'展示詳細'!$A$1:$A$340,0),"AC210")</x:f>
        <x:v>AC210</x:v>
      </x:c>
      <x:c r="I549" s="7" t="str">
        <x:v>2026の具体記述：サーモグラフィカメラによる設備の温度監視・異常発熱の検知、高解像度カメラによる作業状況の記録など、カメラを活用した「見える化」を実現します。 / AIカメラでは、作業者の危険箇所への侵入を検知して設備停止につなげたり、一人作業の現場や薬品庫など、人が常駐しないエリアでの転倒を検知してアラームでお知らせしたりするなど、工場内の安全対策もサポートします。 / その他にも、簡単に導入できるワイヤレスカメラモニターセット、熱を持つ設備の保守点検</x:v>
      </x:c>
      <x:c r="J549" s="7" t="str">
        <x:v>EEX-EXH-2026-57f4a98dc1098522</x:v>
      </x:c>
      <x:c r="K549" s="7" t="str">
        <x:v>https://www.jimtof.org/search/jp/ESdetails?e=BoITLU2Wxfk</x:v>
      </x:c>
    </x:row>
    <x:row r="550" ht="84" customHeight="1">
      <x:c r="A550" s="7" t="str">
        <x:v>AI実装・連携基盤</x:v>
      </x:c>
      <x:c r="B550" s="7" t="str">
        <x:v>周辺部品・機構</x:v>
      </x:c>
      <x:c r="C550" s="7" t="str">
        <x:v>株式会社メトロール</x:v>
      </x:c>
      <x:c r="D550" s="7" t="str">
        <x:v>【エアミクロンセンサ】</x:v>
      </x:c>
      <x:c r="E550" s="7" t="str">
        <x:v>S4022</x:v>
      </x:c>
      <x:c r="F550" s="7" t="str">
        <x:v>内容から分類（調査者・一次整理）</x:v>
      </x:c>
      <x:c r="G550" s="7" t="str">
        <x:v>周辺要素・実装部品。システム全体のAI／自動動作の確認ではない</x:v>
      </x:c>
      <x:c t="str" r="H550" s="21">
        <x:f>HYPERLINK("#'展示詳細'!A"&amp;MATCH("AC227",'展示詳細'!$A$1:$A$340,0),"AC227")</x:f>
        <x:v>AC227</x:v>
      </x:c>
      <x:c r="I550" s="7" t="str">
        <x:v>2026の具体記述：ワークの着座確認はもちろん、NC研削盤における回転砥石の自動位置決めなど、さまざまな用途で活用可能です。 / 「加工不良を減らしたい」「設備を安定稼働させたい」「自動化をさらに進めたい」 / ・主な用途：ワークと治具の密着確認・NC研削盤の回転砥石の自動位置決め</x:v>
      </x:c>
      <x:c r="J550" s="7" t="str">
        <x:v>EEX-EXH-2026-d1b2346e07cb38c8</x:v>
      </x:c>
      <x:c r="K550" s="7" t="str">
        <x:v>https://www.jimtof.org/search/jp/ESdetails?e=wCfQP1f4Amo</x:v>
      </x:c>
    </x:row>
    <x:row r="551" ht="84" customHeight="1">
      <x:c r="A551" s="7" t="str">
        <x:v>AI実装・連携基盤</x:v>
      </x:c>
      <x:c r="B551" s="7" t="str">
        <x:v>周辺部品・機構</x:v>
      </x:c>
      <x:c r="C551" s="7" t="str">
        <x:v>株式会社国盛化学</x:v>
      </x:c>
      <x:c r="D551" s="7" t="str">
        <x:v>サイルベア（低発塵・低振動・低発塵・低摩耗）のリンクレスケーブルチェーン）</x:v>
      </x:c>
      <x:c r="E551" s="7" t="str">
        <x:v>S3039</x:v>
      </x:c>
      <x:c r="F551" s="7" t="str">
        <x:v>内容から分類（調査者・一次整理）</x:v>
      </x:c>
      <x:c r="G551" s="7" t="str">
        <x:v>周辺要素・実装部品。システム全体のAI／自動動作の確認ではない</x:v>
      </x:c>
      <x:c t="str" r="H551" s="21">
        <x:f>HYPERLINK("#'展示詳細'!A"&amp;MATCH("AC065",'展示詳細'!$A$1:$A$340,0),"AC065")</x:f>
        <x:v>AC065</x:v>
      </x:c>
      <x:c r="I551" s="7" t="str">
        <x:v>2026の具体記述：中でも、多関節ロボット対応の サイルベアフレックス は、</x:v>
      </x:c>
      <x:c r="J551" s="7" t="str">
        <x:v>EEX-EXH-2026-494539b75342b5a9</x:v>
      </x:c>
      <x:c r="K551" s="7" t="str">
        <x:v>https://www.jimtof.org/search/jp/ESdetails?e=27tfI7tHVRI</x:v>
      </x:c>
    </x:row>
    <x:row r="552" ht="84" customHeight="1">
      <x:c r="A552" s="7" t="str">
        <x:v>AI実装・連携基盤</x:v>
      </x:c>
      <x:c r="B552" s="7" t="str">
        <x:v>停止性能測定装置　KBM-5</x:v>
      </x:c>
      <x:c r="C552" s="7" t="str">
        <x:v>株式会社小森安全機研究所</x:v>
      </x:c>
      <x:c r="D552" s="7" t="str">
        <x:v>停止性能測定装置　KBM-5</x:v>
      </x:c>
      <x:c r="E552" s="7" t="str">
        <x:v>E1039</x:v>
      </x:c>
      <x:c r="F552" s="7" t="str">
        <x:v>内容から分類（調査者・一次整理）</x:v>
      </x:c>
      <x:c r="G552" s="7" t="str">
        <x:v>出展説明に基づく一次分類。方式・実装権限・提供段階は個別確認</x:v>
      </x:c>
      <x:c t="str" r="H552" s="21">
        <x:f>HYPERLINK("#'展示詳細'!A"&amp;MATCH("AC079",'展示詳細'!$A$1:$A$340,0),"AC079")</x:f>
        <x:v>AC079</x:v>
      </x:c>
      <x:c r="I552" s="7" t="str">
        <x:v>2026の具体記述：人体検知AIカメラ：居残り災害防止用AIカメラ見守りシステム　KAG （Komori Area Guardman） / AIの属性分析が命です。 / KAGのAI知能は数万件の人の姿形・動作・骨格を認識させアルゴリズムを構築していますので、的確に作業場で人の認識を行います。 / 停止性能（距離、時間）のグラフ表示でブレーキ性能を可視化 測定結果を自動集計・グラフ化</x:v>
      </x:c>
      <x:c r="J552" s="7" t="str">
        <x:v>EEX-EXH-2026-7dc74545d7cf35a3</x:v>
      </x:c>
      <x:c r="K552" s="7" t="str">
        <x:v>https://www.jimtof.org/search/jp/ESdetails?e=utVc5A88Bgw</x:v>
      </x:c>
    </x:row>
    <x:row r="553" ht="84" customHeight="1">
      <x:c r="A553" s="7" t="str">
        <x:v>AI実装・連携基盤</x:v>
      </x:c>
      <x:c r="B553" s="7" t="str">
        <x:v>熱電EH無線振動センサー</x:v>
      </x:c>
      <x:c r="C553" s="7" t="str">
        <x:v>株式会社ＫＥＬＫ</x:v>
      </x:c>
      <x:c r="D553" s="7" t="str">
        <x:v>熱電EH無線振動センサー</x:v>
      </x:c>
      <x:c r="E553" s="7" t="str">
        <x:v>E1058</x:v>
      </x:c>
      <x:c r="F553" s="7" t="str">
        <x:v>内容から分類（調査者・一次整理）</x:v>
      </x:c>
      <x:c r="G553" s="7" t="str">
        <x:v>出展説明に基づく一次分類。方式・実装権限・提供段階は個別確認</x:v>
      </x:c>
      <x:c t="str" r="H553" s="21">
        <x:f>HYPERLINK("#'展示詳細'!A"&amp;MATCH("AC071",'展示詳細'!$A$1:$A$340,0),"AC071")</x:f>
        <x:v>AC071</x:v>
      </x:c>
      <x:c r="I553" s="7" t="str">
        <x:v>2026の具体記述：環境発電 (EH) で動作するメンテナンスフリーのIoT。 / 大規模事業所の設備状態監視にも活用いただけます。 / ・オンプレミスでまるごと設備状態を監視するモニタリングシステム。</x:v>
      </x:c>
      <x:c r="J553" s="7" t="str">
        <x:v>EEX-EXH-2026-f9b4b6d720da3a67</x:v>
      </x:c>
      <x:c r="K553" s="7" t="str">
        <x:v>https://www.jimtof.org/search/jp/ESdetails?e=bcTCu5edlsM</x:v>
      </x:c>
    </x:row>
    <x:row r="554" ht="84" customHeight="1">
      <x:c r="A554" s="7" t="str">
        <x:v>AI実装・連携基盤</x:v>
      </x:c>
      <x:c r="B554" s="7" t="str">
        <x:v>過酷環境の撮像</x:v>
      </x:c>
      <x:c r="C554" s="7" t="str">
        <x:v>興和オプトロニクス</x:v>
      </x:c>
      <x:c r="D554" s="7" t="str">
        <x:v>RW耐環境ビジョンユニット</x:v>
      </x:c>
      <x:c r="E554" s="7" t="str">
        <x:v>S3104</x:v>
      </x:c>
      <x:c r="F554" s="7" t="str">
        <x:v>内容から分類（調査者）</x:v>
      </x:c>
      <x:c r="G554" s="7" t="str">
        <x:v>モデル実装・データ・撮像・制御基盤</x:v>
      </x:c>
      <x:c t="str" r="H554" s="21">
        <x:f>HYPERLINK("#'展示詳細'!A"&amp;MATCH("FC063",'展示詳細'!$A$1:$A$340,0),"FC063")</x:f>
        <x:v>FC063</x:v>
      </x:c>
      <x:c r="I554" s="7" t="str">
        <x:v>AIモデルを制御へ載せる、入力データを得る、機器・上位系へ接続する役割で分類。</x:v>
      </x:c>
      <x:c r="J554" s="7" t="str">
        <x:v>EOV-V042-2026-1
EDP-33</x:v>
      </x:c>
      <x:c r="K554" s="7" t="str">
        <x:v>https://www.jimtof.org/search/jp/ESdetails?e=v6nw4APC-vQ
https://optical.kowa-opt.co.jp/camera-rw/</x:v>
      </x:c>
    </x:row>
  </x:sheetData>
  <x:pageMargins left="0.7" right="0.7" top="0.75" bottom="0.75" header="0.3" footer="0.3"/>
  <x:tableParts count="1">
    <x:tablePart xmlns:r="http://schemas.openxmlformats.org/officeDocument/2006/relationships" r:id="Rd7cd9f865d5f4e64"/>
  </x:tableParts>
</x:worksheet>
</file>

<file path=xl/worksheets/sheet9.xml><?xml version="1.0" encoding="utf-8"?>
<x:worksheet xmlns:x="http://schemas.openxmlformats.org/spreadsheetml/2006/main">
  <x:sheetViews>
    <x:sheetView showGridLines="0" workbookViewId="0">
      <x:pane xSplit="3" ySplit="6" topLeftCell="D7" activePane="bottomRight" state="frozen"/>
    </x:sheetView>
  </x:sheetViews>
  <x:sheetFormatPr defaultRowHeight="15"/>
  <x:cols>
    <x:col min="1" max="1" width="14" hidden="0" customWidth="1"/>
    <x:col min="2" max="2" width="30" hidden="0" customWidth="1"/>
    <x:col min="3" max="3" width="45" hidden="0" customWidth="1"/>
    <x:col min="4" max="4" width="15" hidden="0" customWidth="1"/>
    <x:col min="5" max="5" width="28" hidden="0" customWidth="1"/>
    <x:col min="6" max="6" width="28" hidden="0" customWidth="1"/>
    <x:col min="7" max="7" width="42" hidden="0" customWidth="1"/>
    <x:col min="8" max="8" width="58" hidden="0" customWidth="1"/>
    <x:col min="9" max="9" width="48" hidden="0" customWidth="1"/>
    <x:col min="10" max="10" width="58" hidden="0" customWidth="1"/>
    <x:col min="11" max="11" width="50" hidden="0" customWidth="1"/>
    <x:col min="12" max="12" width="58" hidden="0" customWidth="1"/>
    <x:col min="13" max="13" width="58" hidden="0" customWidth="1"/>
    <x:col min="14" max="14" width="58" hidden="0" customWidth="1"/>
    <x:col min="15" max="15" width="30" hidden="0" customWidth="1"/>
    <x:col min="16" max="16" width="50" hidden="0" customWidth="1"/>
    <x:col min="17" max="17" width="50" hidden="0" customWidth="1"/>
    <x:col min="18" max="18" width="65" hidden="0" customWidth="1"/>
    <x:col min="19" max="19" width="35" hidden="0" customWidth="1"/>
    <x:col min="20" max="20" width="80" hidden="0" customWidth="1"/>
    <x:col min="21" max="21" width="45" hidden="0" customWidth="1"/>
    <x:col min="22" max="22" width="35" hidden="0" customWidth="1"/>
    <x:col min="23" max="23" width="58" hidden="0" customWidth="1"/>
    <x:col min="24" max="24" width="58" hidden="0" customWidth="1"/>
    <x:col min="25" max="25" width="55" hidden="0" customWidth="1"/>
    <x:col min="26" max="26" width="58" hidden="0" customWidth="1"/>
    <x:col min="27" max="27" width="58" hidden="0" customWidth="1"/>
    <x:col min="28" max="28" width="65" hidden="0" customWidth="1"/>
  </x:cols>
  <x:sheetData>
    <x:row r="2" ht="30" customHeight="1">
      <x:c r="A2" s="3" t="str">
        <x:v>展示アイテムの詳細</x:v>
      </x:c>
      <x:c r="B2" s="1"/>
      <x:c r="C2" s="1"/>
      <x:c r="D2" s="1"/>
      <x:c r="E2" s="1"/>
      <x:c r="F2" s="1"/>
      <x:c r="G2" s="1"/>
      <x:c r="H2" s="1"/>
      <x:c r="I2" s="1"/>
      <x:c r="J2" s="1"/>
      <x:c r="K2" s="1"/>
      <x:c r="L2" s="1"/>
      <x:c r="M2" s="1"/>
      <x:c r="N2" s="1"/>
      <x:c r="O2" s="1"/>
      <x:c r="P2" s="1"/>
      <x:c r="Q2" s="1"/>
      <x:c r="R2" s="1"/>
      <x:c r="S2" s="1"/>
      <x:c r="T2" s="1"/>
      <x:c r="U2" s="1"/>
      <x:c r="V2" s="1"/>
      <x:c r="W2" s="1"/>
      <x:c r="X2" s="1"/>
      <x:c r="Y2" s="1"/>
      <x:c r="Z2" s="1"/>
      <x:c r="AA2" s="1"/>
      <x:c r="AB2" s="1"/>
    </x:row>
    <x:row r="3" ht="22" customHeight="1">
      <x:c r="A3" s="5" t="str">
        <x:v>カードIDで索引と対応。システムの構成にはソフトウェアのみの構成も含みます。</x:v>
      </x:c>
      <x:c r="B3" s="5"/>
      <x:c r="C3" s="5"/>
      <x:c r="D3" s="5"/>
      <x:c r="E3" s="5"/>
      <x:c r="F3" s="5"/>
      <x:c r="G3" s="5"/>
      <x:c r="H3" s="5"/>
      <x:c r="I3" s="5"/>
      <x:c r="J3" s="5"/>
      <x:c r="K3" s="5"/>
      <x:c r="L3" s="5"/>
      <x:c r="M3" s="5"/>
      <x:c r="N3" s="5"/>
      <x:c r="O3" s="5"/>
      <x:c r="P3" s="5"/>
      <x:c r="Q3" s="5"/>
      <x:c r="R3" s="5"/>
      <x:c r="S3" s="5"/>
      <x:c r="T3" s="5"/>
      <x:c r="U3" s="5"/>
      <x:c r="V3" s="5"/>
      <x:c r="W3" s="5"/>
      <x:c r="X3" s="5"/>
      <x:c r="Y3" s="5"/>
      <x:c r="Z3" s="5"/>
      <x:c r="AA3" s="5"/>
      <x:c r="AB3" s="5"/>
    </x:row>
    <x:row r="4" ht="22" customHeight="1">
      <x:c r="A4" s="5" t="str">
        <x:v>訪問優先28社・33展示はV〜AB列で詳細化。空欄は今回の深掘り対象外。公式・分析・未記載を分離。2026年は展示予定。</x:v>
      </x:c>
      <x:c r="B4" s="5"/>
      <x:c r="C4" s="5"/>
      <x:c r="D4" s="5"/>
      <x:c r="E4" s="5"/>
      <x:c r="F4" s="5"/>
      <x:c r="G4" s="5"/>
      <x:c r="H4" s="5"/>
      <x:c r="I4" s="5"/>
      <x:c r="J4" s="5"/>
      <x:c r="K4" s="5"/>
      <x:c r="L4" s="5"/>
      <x:c r="M4" s="5"/>
      <x:c r="N4" s="5"/>
      <x:c r="O4" s="5"/>
      <x:c r="P4" s="5"/>
      <x:c r="Q4" s="5"/>
      <x:c r="R4" s="5"/>
      <x:c r="S4" s="5"/>
      <x:c r="T4" s="5"/>
      <x:c r="U4" s="5"/>
      <x:c r="V4" s="5"/>
      <x:c r="W4" s="5"/>
      <x:c r="X4" s="5"/>
      <x:c r="Y4" s="5"/>
      <x:c r="Z4" s="5"/>
      <x:c r="AA4" s="5"/>
      <x:c r="AB4" s="5"/>
    </x:row>
    <x:row r="5">
      <x:c r="A5" s="1"/>
      <x:c r="B5" s="1"/>
      <x:c r="C5" s="1"/>
      <x:c r="D5" s="1"/>
      <x:c r="E5" s="1"/>
      <x:c r="F5" s="1"/>
      <x:c r="G5" s="1"/>
      <x:c r="H5" s="1"/>
      <x:c r="I5" s="1"/>
      <x:c r="J5" s="1"/>
      <x:c r="K5" s="1"/>
      <x:c r="L5" s="1"/>
      <x:c r="M5" s="1"/>
      <x:c r="N5" s="1"/>
      <x:c r="O5" s="1"/>
      <x:c r="P5" s="1"/>
      <x:c r="Q5" s="1"/>
      <x:c r="R5" s="1"/>
      <x:c r="S5" s="1"/>
      <x:c r="T5" s="1"/>
      <x:c r="U5" s="1"/>
      <x:c r="V5" s="1"/>
      <x:c r="W5" s="1"/>
      <x:c r="X5" s="1"/>
      <x:c r="Y5" s="1"/>
      <x:c r="Z5" s="1"/>
      <x:c r="AA5" s="1"/>
      <x:c r="AB5" s="1"/>
    </x:row>
    <x:row r="6" ht="34" customHeight="1">
      <x:c r="A6" s="11" t="str">
        <x:v>カードID</x:v>
      </x:c>
      <x:c r="B6" s="11" t="str">
        <x:v>企業名</x:v>
      </x:c>
      <x:c r="C6" s="11" t="str">
        <x:v>展示アイテム</x:v>
      </x:c>
      <x:c r="D6" s="11" t="str">
        <x:v>2026ブース</x:v>
      </x:c>
      <x:c r="E6" s="11" t="str">
        <x:v>カテゴリー</x:v>
      </x:c>
      <x:c r="F6" s="11" t="str">
        <x:v>担当タスク</x:v>
      </x:c>
      <x:c r="G6" s="11" t="str">
        <x:v>実装先</x:v>
      </x:c>
      <x:c r="H6" s="11" t="str">
        <x:v>システムの構成</x:v>
      </x:c>
      <x:c r="I6" s="11" t="str">
        <x:v>入力</x:v>
      </x:c>
      <x:c r="J6" s="11" t="str">
        <x:v>方式（原典要旨）</x:v>
      </x:c>
      <x:c r="K6" s="11" t="str">
        <x:v>何を助けるか</x:v>
      </x:c>
      <x:c r="L6" s="11" t="str">
        <x:v>人・権限の境界</x:v>
      </x:c>
      <x:c r="M6" s="11" t="str">
        <x:v>2024の基準点</x:v>
      </x:c>
      <x:c r="N6" s="11" t="str">
        <x:v>2026の記載</x:v>
      </x:c>
      <x:c r="O6" s="11" t="str">
        <x:v>比較判定</x:v>
      </x:c>
      <x:c r="P6" s="11" t="str">
        <x:v>展示確度</x:v>
      </x:c>
      <x:c r="Q6" s="11" t="str">
        <x:v>提供段階</x:v>
      </x:c>
      <x:c r="R6" s="11" t="str">
        <x:v>未確認事項</x:v>
      </x:c>
      <x:c r="S6" s="11" t="str">
        <x:v>根拠ID</x:v>
      </x:c>
      <x:c r="T6" s="11" t="str">
        <x:v>原典URL</x:v>
      </x:c>
      <x:c r="U6" s="11" t="str">
        <x:v>整理深度</x:v>
      </x:c>
      <x:c r="V6" s="11" t="str">
        <x:v>AIの位置づけ</x:v>
      </x:c>
      <x:c r="W6" s="11" t="str">
        <x:v>AIの判断・提案</x:v>
      </x:c>
      <x:c r="X6" s="11" t="str">
        <x:v>実行・出力</x:v>
      </x:c>
      <x:c r="Y6" s="11" t="str">
        <x:v>人の事前準備</x:v>
      </x:c>
      <x:c r="Z6" s="11" t="str">
        <x:v>人の承認</x:v>
      </x:c>
      <x:c r="AA6" s="11" t="str">
        <x:v>人の例外対応</x:v>
      </x:c>
      <x:c r="AB6" s="11" t="str">
        <x:v>制約・公開資料の不足</x:v>
      </x:c>
    </x:row>
    <x:row r="7" ht="170" customHeight="1">
      <x:c r="A7" s="7" t="str">
        <x:v>FC001</x:v>
      </x:c>
      <x:c r="B7" s="20" t="str">
        <x:v>DMG森精機</x:v>
      </x:c>
      <x:c r="C7" s="7" t="str">
        <x:v>AMR 1000</x:v>
      </x:c>
      <x:c r="D7" s="7" t="str">
        <x:v>E8005</x:v>
      </x:c>
      <x:c r="E7" s="7" t="str">
        <x:v>自動化
自律化</x:v>
      </x:c>
      <x:c r="F7" s="7" t="str">
        <x:v>工場内搬送</x:v>
      </x:c>
      <x:c r="G7" s="7" t="str">
        <x:v>工場通路・チップバケット搬送</x:v>
      </x:c>
      <x:c r="H7" s="7" t="str">
        <x:v>自律走行搬送ロボット</x:v>
      </x:c>
      <x:c r="I7" s="7" t="str">
        <x:v>チップバケット等。認識センサ・経路入力は未記載</x:v>
      </x:c>
      <x:c r="J7" s="7" t="str">
        <x:v>AMRで切粉容器等を運搬</x:v>
      </x:c>
      <x:c r="K7" s="7" t="str">
        <x:v>容器の工場内搬送</x:v>
      </x:c>
      <x:c r="L7" s="7" t="str">
        <x:v>積み降ろし・通路障害・異常時の介入条件は未確認</x:v>
      </x:c>
      <x:c r="M7" s="7" t="str">
        <x:v>AMR 2000／WH-AMR 10を掲載</x:v>
      </x:c>
      <x:c r="N7" s="7" t="str">
        <x:v>AMR 1000とチップバケット搬送を具体記載</x:v>
      </x:c>
      <x:c r="O7" s="7" t="str">
        <x:v>対象・構成・要素の追加記載</x:v>
      </x:c>
      <x:c r="P7" s="7" t="str">
        <x:v>JIMTOF2026公式カタログ掲載・現地未確認</x:v>
      </x:c>
      <x:c r="Q7" s="7" t="str">
        <x:v>2026展示予定・提供段階未確認</x:v>
      </x:c>
      <x:c r="R7" s="7" t="str">
        <x:v>容器の受渡しも自動か。混雑・位置ずれ・満杯時に誰が対応するか。</x:v>
      </x:c>
      <x:c r="S7" s="7" t="str">
        <x:v>EOV-V001-2024-1
EOV-V001-2026-1</x:v>
      </x:c>
      <x:c r="T7" s="7" t="str">
        <x:v>EOV-V001-2024-1: https://www.jimtof.org/2024/search/jp/ESdetails?e=lOXEEpvlXpM
EOV-V001-2026-1: https://www.jimtof.org/search/jp/ESdetails?e=zcqDj1lSkGs</x:v>
      </x:c>
      <x:c r="U7" s="7" t="str">
        <x:v>個別タスクの重点整理（従来69カード）</x:v>
      </x:c>
      <x:c r="V7" s="7"/>
      <x:c r="W7" s="7"/>
      <x:c r="X7" s="7"/>
      <x:c r="Y7" s="7"/>
      <x:c r="Z7" s="7"/>
      <x:c r="AA7" s="7"/>
      <x:c r="AB7" s="7"/>
    </x:row>
    <x:row r="8" ht="170" customHeight="1">
      <x:c r="A8" s="7" t="str">
        <x:v>FC002</x:v>
      </x:c>
      <x:c r="B8" s="20" t="str">
        <x:v>DMG森精機</x:v>
      </x:c>
      <x:c r="C8" s="7" t="str">
        <x:v>MATRIS WPH 210</x:v>
      </x:c>
      <x:c r="D8" s="7" t="str">
        <x:v>E8005</x:v>
      </x:c>
      <x:c r="E8" s="7" t="str">
        <x:v>自動化</x:v>
      </x:c>
      <x:c r="F8" s="7" t="str">
        <x:v>パレット供給</x:v>
      </x:c>
      <x:c r="G8" s="7" t="str">
        <x:v>工作機械周辺の供給セル</x:v>
      </x:c>
      <x:c r="H8" s="7" t="str">
        <x:v>ワーク＆パレットハンドリングシステム。関節構成未確認</x:v>
      </x:c>
      <x:c r="I8" s="7" t="str">
        <x:v>ワークとパレット、品種別段取り条件</x:v>
      </x:c>
      <x:c r="J8" s="7" t="str">
        <x:v>ワークとパレット両方を供給する変種変量生産向け構成</x:v>
      </x:c>
      <x:c r="K8" s="7" t="str">
        <x:v>工作機械への供給</x:v>
      </x:c>
      <x:c r="L8" s="7" t="str">
        <x:v>把持・治具・品種切替の事前準備範囲は未確認</x:v>
      </x:c>
      <x:c r="M8" s="7" t="str">
        <x:v>PH Cell 500、MATRIS Light、Robo2Go Millingを掲載</x:v>
      </x:c>
      <x:c r="N8" s="7" t="str">
        <x:v>MATRIS WPH 210を日本初公開と記載</x:v>
      </x:c>
      <x:c r="O8" s="7" t="str">
        <x:v>対象・構成・要素の追加記載</x:v>
      </x:c>
      <x:c r="P8" s="7" t="str">
        <x:v>JIMTOF2026公式カタログ掲載・現地未確認</x:v>
      </x:c>
      <x:c r="Q8" s="7" t="str">
        <x:v>2026展示予定・提供段階未確認</x:v>
      </x:c>
      <x:c r="R8" s="7" t="str">
        <x:v>AIの権限、介入条件、機種互換性と効果は未確認</x:v>
      </x:c>
      <x:c r="S8" s="7" t="str">
        <x:v>EOV-V001-2024-1
EOV-V001-2026-1</x:v>
      </x:c>
      <x:c r="T8" s="7" t="str">
        <x:v>EOV-V001-2024-1: https://www.jimtof.org/2024/search/jp/ESdetails?e=lOXEEpvlXpM
EOV-V001-2026-1: https://www.jimtof.org/search/jp/ESdetails?e=zcqDj1lSkGs</x:v>
      </x:c>
      <x:c r="U8" s="7" t="str">
        <x:v>個別タスクの重点整理（従来69カード）</x:v>
      </x:c>
      <x:c r="V8" s="7"/>
      <x:c r="W8" s="7"/>
      <x:c r="X8" s="7"/>
      <x:c r="Y8" s="7"/>
      <x:c r="Z8" s="7"/>
      <x:c r="AA8" s="7"/>
      <x:c r="AB8" s="7"/>
    </x:row>
    <x:row r="9" ht="170" customHeight="1">
      <x:c r="A9" s="7" t="str">
        <x:v>FC003</x:v>
      </x:c>
      <x:c r="B9" s="20" t="str">
        <x:v>DMG森精機</x:v>
      </x:c>
      <x:c r="C9" s="7" t="str">
        <x:v>工作機械へのAIエージェント実装（名称・担当不明）</x:v>
      </x:c>
      <x:c r="D9" s="7" t="str">
        <x:v>E8005</x:v>
      </x:c>
      <x:c r="E9" s="7" t="str">
        <x:v>AIエージェント・対話支援</x:v>
      </x:c>
      <x:c r="F9" s="7" t="str">
        <x:v>担当タスク未特定</x:v>
      </x:c>
      <x:c r="G9" s="7" t="str">
        <x:v>工作機械。CNC／HMI／クラウドの位置は未記載</x:v>
      </x:c>
      <x:c r="H9" s="7" t="str">
        <x:v>工作機械に実装するAIエージェント。ソフトウェア構成・接続先は未記載</x:v>
      </x:c>
      <x:c r="I9" s="7" t="str">
        <x:v>未記載</x:v>
      </x:c>
      <x:c r="J9" s="7" t="str">
        <x:v>AIエージェント実装との記述のみ</x:v>
      </x:c>
      <x:c r="K9" s="7" t="str">
        <x:v>具体的に助ける仕事は未記載</x:v>
      </x:c>
      <x:c r="L9" s="7" t="str">
        <x:v>助言・操作・承認の境界が不明</x:v>
      </x:c>
      <x:c r="M9" s="7" t="str">
        <x:v>MXとデータ収集・可視化・分析を掲載</x:v>
      </x:c>
      <x:c r="N9" s="7" t="str">
        <x:v>AIエージェント実装を明記</x:v>
      </x:c>
      <x:c r="O9" s="7" t="str">
        <x:v>2026具体化・機能差未確定</x:v>
      </x:c>
      <x:c r="P9" s="7" t="str">
        <x:v>JIMTOF2026公式カタログ掲載・現地未確認</x:v>
      </x:c>
      <x:c r="Q9" s="7" t="str">
        <x:v>2026展示予定・提供段階未確認</x:v>
      </x:c>
      <x:c r="R9" s="7" t="str">
        <x:v>製品名、実装先、ユーザーの依頼例、実行する操作と承認点を実演で確認する。</x:v>
      </x:c>
      <x:c r="S9" s="7" t="str">
        <x:v>EOV-V001-2024-1
EOV-V001-2026-1</x:v>
      </x:c>
      <x:c r="T9" s="7" t="str">
        <x:v>EOV-V001-2024-1: https://www.jimtof.org/2024/search/jp/ESdetails?e=lOXEEpvlXpM
EOV-V001-2026-1: https://www.jimtof.org/search/jp/ESdetails?e=zcqDj1lSkGs</x:v>
      </x:c>
      <x:c r="U9" s="7" t="str">
        <x:v>個別タスクの重点整理（従来69カード）</x:v>
      </x:c>
      <x:c r="V9" s="7"/>
      <x:c r="W9" s="7"/>
      <x:c r="X9" s="7"/>
      <x:c r="Y9" s="7"/>
      <x:c r="Z9" s="7"/>
      <x:c r="AA9" s="7"/>
      <x:c r="AB9" s="7"/>
    </x:row>
    <x:row r="10" ht="170" customHeight="1">
      <x:c r="A10" s="7" t="str">
        <x:v>FC004</x:v>
      </x:c>
      <x:c r="B10" s="20" t="str">
        <x:v>DMG森精機</x:v>
      </x:c>
      <x:c r="C10" s="7" t="str">
        <x:v>Condition Agent</x:v>
      </x:c>
      <x:c r="D10" s="7" t="str">
        <x:v>E8005</x:v>
      </x:c>
      <x:c r="E10" s="7" t="str">
        <x:v>検査・診断・予測AI
工場運用DX</x:v>
      </x:c>
      <x:c r="F10" s="7" t="str">
        <x:v>保全診断・知識支援</x:v>
      </x:c>
      <x:c r="G10" s="7" t="str">
        <x:v>診断NC→クラウド解析→my DMG MORI</x:v>
      </x:c>
      <x:c r="H10" s="7" t="str">
        <x:v>診断専用NCプログラム、クラウドAI解析、my DMG MORIの状態表示</x:v>
      </x:c>
      <x:c r="I10" s="7" t="str">
        <x:v>診断専用NC動作のデータ、設計・製造データ</x:v>
      </x:c>
      <x:c r="J10" s="7" t="str">
        <x:v>クラウドAIで異常兆候を分析</x:v>
      </x:c>
      <x:c r="K10" s="7" t="str">
        <x:v>コンポーネント状態の診断・通知</x:v>
      </x:c>
      <x:c r="L10" s="7" t="str">
        <x:v>現場操作で診断開始。修理・部品交換まで自律実行する説明なし</x:v>
      </x:c>
      <x:c r="M10" s="7" t="str">
        <x:v>2024カタログから同サービスの機能は比較できない</x:v>
      </x:c>
      <x:c r="N10" s="7" t="str">
        <x:v>2026年4月受注分から対象機標準。従来WALC CAREの診断対象・分析を拡張との公式説明</x:v>
      </x:c>
      <x:c r="O10" s="7" t="str">
        <x:v>2024個別比較不能</x:v>
      </x:c>
      <x:c r="P10" s="7" t="str">
        <x:v>個別JIMTOF展示未確認・企業公式製品資料のみ</x:v>
      </x:c>
      <x:c r="Q10" s="7" t="str">
        <x:v>提供開始・対応機限定</x:v>
      </x:c>
      <x:c r="R10" s="7" t="str">
        <x:v>診断頻度、誤警報、後付け対象機、診断後の保全意思決定。名称だけで生成AIエージェントに分類しない。</x:v>
      </x:c>
      <x:c r="S10" s="7" t="str">
        <x:v>EOV-V001-2024-1
EOV-V001-2026-1
EAT-N07</x:v>
      </x:c>
      <x:c r="T10" s="7" t="str">
        <x:v>EOV-V001-2024-1: https://www.jimtof.org/2024/search/jp/ESdetails?e=lOXEEpvlXpM
EOV-V001-2026-1: https://www.jimtof.org/search/jp/ESdetails?e=zcqDj1lSkGs
EAT-N07: https://www.dmgmori.co.jp/corporate/news/2026/20260706_conditionagent.html</x:v>
      </x:c>
      <x:c r="U10" s="7" t="str">
        <x:v>個別タスクの重点整理（従来69カード）</x:v>
      </x:c>
      <x:c r="V10" s="7"/>
      <x:c r="W10" s="7"/>
      <x:c r="X10" s="7"/>
      <x:c r="Y10" s="7"/>
      <x:c r="Z10" s="7"/>
      <x:c r="AA10" s="7"/>
      <x:c r="AB10" s="7"/>
    </x:row>
    <x:row r="11" ht="170" customHeight="1">
      <x:c r="A11" s="7" t="str">
        <x:v>FC005</x:v>
      </x:c>
      <x:c r="B11" s="20" t="str">
        <x:v>ファナック</x:v>
      </x:c>
      <x:c r="C11" s="7" t="str">
        <x:v>生成AIによるロボット駆動</x:v>
      </x:c>
      <x:c r="D11" s="7" t="str">
        <x:v>S2001</x:v>
      </x:c>
      <x:c r="E11" s="7" t="str">
        <x:v>フィジカルAI</x:v>
      </x:c>
      <x:c r="F11" s="7" t="str">
        <x:v>担当タスク未特定</x:v>
      </x:c>
      <x:c r="G11" s="7" t="str">
        <x:v>ロボットのオープンプラットフォーム</x:v>
      </x:c>
      <x:c r="H11" s="7" t="str">
        <x:v>ファナックロボット。展示対象機種・軸構成は未特定</x:v>
      </x:c>
      <x:c r="I11" s="7" t="str">
        <x:v>生成AI利用との記述。音声・画像等の入力は未記載</x:v>
      </x:c>
      <x:c r="J11" s="7" t="str">
        <x:v>生成AIをロボット駆動へ利用する事例</x:v>
      </x:c>
      <x:c r="K11" s="7" t="str">
        <x:v>具体的な搬送・組付け等のタスクは未特定</x:v>
      </x:c>
      <x:c r="L11" s="7" t="str">
        <x:v>許可動作、教示、停止、承認は未確認</x:v>
      </x:c>
      <x:c r="M11" s="7" t="str">
        <x:v>AI高速バラ積み、協働ロボット、ROBOGUIDEを掲載</x:v>
      </x:c>
      <x:c r="N11" s="7" t="str">
        <x:v>生成AI駆動・フィジカルAI・オープンプラットフォームを明記</x:v>
      </x:c>
      <x:c r="O11" s="7" t="str">
        <x:v>2026具体化・機能差未確定</x:v>
      </x:c>
      <x:c r="P11" s="7" t="str">
        <x:v>JIMTOF2026公式カタログ掲載・現地未確認</x:v>
      </x:c>
      <x:c r="Q11" s="7" t="str">
        <x:v>2026展示予定・提供段階未確認</x:v>
      </x:c>
      <x:c r="R11" s="7" t="str">
        <x:v>どのロボットが何を動かすか。指示→動作生成→検証→実行の分担と対応できない作業は。</x:v>
      </x:c>
      <x:c r="S11" s="7" t="str">
        <x:v>EOV-V002-2024-1
EOV-V002-2026-1</x:v>
      </x:c>
      <x:c r="T11" s="7" t="str">
        <x:v>EOV-V002-2024-1: https://www.jimtof.org/2024/search/jp/ESdetails?e=N0RgOmmcwZw
EOV-V002-2026-1: https://www.jimtof.org/search/jp/ESdetails?e=q0OrZBKM3uQ</x:v>
      </x:c>
      <x:c r="U11" s="7" t="str">
        <x:v>個別タスクの重点整理（従来69カード）</x:v>
      </x:c>
      <x:c r="V11" s="7"/>
      <x:c r="W11" s="7"/>
      <x:c r="X11" s="7"/>
      <x:c r="Y11" s="7"/>
      <x:c r="Z11" s="7"/>
      <x:c r="AA11" s="7"/>
      <x:c r="AB11" s="7"/>
    </x:row>
    <x:row r="12" ht="170" customHeight="1">
      <x:c r="A12" s="7" t="str">
        <x:v>FC006</x:v>
      </x:c>
      <x:c r="B12" s="20" t="str">
        <x:v>ファナック</x:v>
      </x:c>
      <x:c r="C12" s="7" t="str">
        <x:v>フィジカルAI CNC</x:v>
      </x:c>
      <x:c r="D12" s="7" t="str">
        <x:v>S2001</x:v>
      </x:c>
      <x:c r="E12" s="7" t="str">
        <x:v>フィジカルAI</x:v>
      </x:c>
      <x:c r="F12" s="7" t="str">
        <x:v>担当タスク未特定</x:v>
      </x:c>
      <x:c r="G12" s="7" t="str">
        <x:v>CNC</x:v>
      </x:c>
      <x:c r="H12" s="7" t="str">
        <x:v>工作機械の制御装置。ロボット本体ではない</x:v>
      </x:c>
      <x:c r="I12" s="7" t="str">
        <x:v>未記載</x:v>
      </x:c>
      <x:c r="J12" s="7" t="str">
        <x:v>知的作業を安全に自動化するとのメーカー説明</x:v>
      </x:c>
      <x:c r="K12" s="7" t="str">
        <x:v>担当する知的作業の例は未記載</x:v>
      </x:c>
      <x:c r="L12" s="7" t="str">
        <x:v>自動変更できるパラメータ・承認・安全確認は未確認</x:v>
      </x:c>
      <x:c r="M12" s="7" t="str">
        <x:v>Series 500i-A、段取り支援、Smart Digital Twinを掲載</x:v>
      </x:c>
      <x:c r="N12" s="7" t="str">
        <x:v>フィジカルAI CNCを明記</x:v>
      </x:c>
      <x:c r="O12" s="7" t="str">
        <x:v>2026具体化・機能差未確定</x:v>
      </x:c>
      <x:c r="P12" s="7" t="str">
        <x:v>JIMTOF2026公式カタログ掲載・現地未確認</x:v>
      </x:c>
      <x:c r="Q12" s="7" t="str">
        <x:v>2026展示予定・提供段階未確認</x:v>
      </x:c>
      <x:c r="R12" s="7" t="str">
        <x:v>モデル構成・安全制約・性能差は未確認</x:v>
      </x:c>
      <x:c r="S12" s="7" t="str">
        <x:v>EOV-V002-2024-1
EOV-V002-2026-1</x:v>
      </x:c>
      <x:c r="T12" s="7" t="str">
        <x:v>EOV-V002-2024-1: https://www.jimtof.org/2024/search/jp/ESdetails?e=N0RgOmmcwZw
EOV-V002-2026-1: https://www.jimtof.org/search/jp/ESdetails?e=q0OrZBKM3uQ</x:v>
      </x:c>
      <x:c r="U12" s="7" t="str">
        <x:v>個別タスクの重点整理（従来69カード）</x:v>
      </x:c>
      <x:c r="V12" s="7"/>
      <x:c r="W12" s="7"/>
      <x:c r="X12" s="7"/>
      <x:c r="Y12" s="7"/>
      <x:c r="Z12" s="7"/>
      <x:c r="AA12" s="7"/>
      <x:c r="AB12" s="7"/>
    </x:row>
    <x:row r="13" ht="170" customHeight="1">
      <x:c r="A13" s="7" t="str">
        <x:v>FC007</x:v>
      </x:c>
      <x:c r="B13" s="20" t="str">
        <x:v>ファナック</x:v>
      </x:c>
      <x:c r="C13" s="7" t="str">
        <x:v>FANUC Smart Digital Twin</x:v>
      </x:c>
      <x:c r="D13" s="7" t="str">
        <x:v>S2001</x:v>
      </x:c>
      <x:c r="E13" s="7" t="str">
        <x:v>設計・製造DX
自動化</x:v>
      </x:c>
      <x:c r="F13" s="7" t="str">
        <x:v>NC・干渉検証</x:v>
      </x:c>
      <x:c r="G13" s="7" t="str">
        <x:v>加工前の仮想機械環境</x:v>
      </x:c>
      <x:c r="H13" s="7" t="str">
        <x:v>工作機械・サーボの仮想モデルとデジタルツイン環境</x:v>
      </x:c>
      <x:c r="I13" s="7" t="str">
        <x:v>機械・サーボのモデル。詳細入力未確認</x:v>
      </x:c>
      <x:c r="J13" s="7" t="str">
        <x:v>加工前の挙動確認を支援</x:v>
      </x:c>
      <x:c r="K13" s="7" t="str">
        <x:v>実機前の検討・検証</x:v>
      </x:c>
      <x:c r="L13" s="7" t="str">
        <x:v>モデルと実機の一致、検証外事象への対処は未確認</x:v>
      </x:c>
      <x:c r="M13" s="7" t="str">
        <x:v>Smart Digital Twinを掲載</x:v>
      </x:c>
      <x:c r="N13" s="7" t="str">
        <x:v>同名製品を継続掲載</x:v>
      </x:c>
      <x:c r="O13" s="7" t="str">
        <x:v>2024から継続</x:v>
      </x:c>
      <x:c r="P13" s="7" t="str">
        <x:v>JIMTOF2026公式カタログ掲載・現地未確認</x:v>
      </x:c>
      <x:c r="Q13" s="7" t="str">
        <x:v>2026展示予定・提供段階未確認</x:v>
      </x:c>
      <x:c r="R13" s="7" t="str">
        <x:v>モデル構成・安全制約・性能差は未確認</x:v>
      </x:c>
      <x:c r="S13" s="7" t="str">
        <x:v>EOV-V002-2024-1
EOV-V002-2026-1</x:v>
      </x:c>
      <x:c r="T13" s="7" t="str">
        <x:v>EOV-V002-2024-1: https://www.jimtof.org/2024/search/jp/ESdetails?e=N0RgOmmcwZw
EOV-V002-2026-1: https://www.jimtof.org/search/jp/ESdetails?e=q0OrZBKM3uQ</x:v>
      </x:c>
      <x:c r="U13" s="7" t="str">
        <x:v>個別タスクの重点整理（従来69カード）</x:v>
      </x:c>
      <x:c r="V13" s="7"/>
      <x:c r="W13" s="7"/>
      <x:c r="X13" s="7"/>
      <x:c r="Y13" s="7"/>
      <x:c r="Z13" s="7"/>
      <x:c r="AA13" s="7"/>
      <x:c r="AB13" s="7"/>
    </x:row>
    <x:row r="14" ht="170" customHeight="1">
      <x:c r="A14" s="7" t="str">
        <x:v>FC008</x:v>
      </x:c>
      <x:c r="B14" s="20" t="str">
        <x:v>オークマ</x:v>
      </x:c>
      <x:c r="C14" s="7" t="str">
        <x:v>ARMROID／OMR20</x:v>
      </x:c>
      <x:c r="D14" s="7" t="str">
        <x:v>E3028</x:v>
      </x:c>
      <x:c r="E14" s="7" t="str">
        <x:v>自動化</x:v>
      </x:c>
      <x:c r="F14" s="7" t="str">
        <x:v>ワーク搬入出</x:v>
      </x:c>
      <x:c r="G14" s="7" t="str">
        <x:v>複合加工機内／工作機械横</x:v>
      </x:c>
      <x:c r="H14" s="7" t="str">
        <x:v>ビルトインロボット／移動式協働ロボット</x:v>
      </x:c>
      <x:c r="I14" s="7" t="str">
        <x:v>ワークと品種別プログラム。AI知覚方式は未記載</x:v>
      </x:c>
      <x:c r="J14" s="7" t="str">
        <x:v>機内・移動式のロボットで自動化を構成</x:v>
      </x:c>
      <x:c r="K14" s="7" t="str">
        <x:v>加工機とのワーク受渡し等。各機の展示動作は未確認</x:v>
      </x:c>
      <x:c r="L14" s="7" t="str">
        <x:v>手作業とロボット運用の切替、品種切替の介入範囲を要確認</x:v>
      </x:c>
      <x:c r="M14" s="7" t="str">
        <x:v>ARMROID、OMR20、smarTwinCELLを掲載</x:v>
      </x:c>
      <x:c r="N14" s="7" t="str">
        <x:v>ARMROIDとLB3000 EX III＋OMR20等を掲載</x:v>
      </x:c>
      <x:c r="O14" s="7" t="str">
        <x:v>2024から継続</x:v>
      </x:c>
      <x:c r="P14" s="7" t="str">
        <x:v>JIMTOF2026公式カタログ掲載・現地未確認</x:v>
      </x:c>
      <x:c r="Q14" s="7" t="str">
        <x:v>2026展示予定・提供段階未確認</x:v>
      </x:c>
      <x:c r="R14" s="7" t="str">
        <x:v>機内型と移動式の使い分け、再配置・品種変更・切粉処理の負担を比較する。</x:v>
      </x:c>
      <x:c r="S14" s="7" t="str">
        <x:v>EOV-V003-2024-1
EOV-V003-2026-1</x:v>
      </x:c>
      <x:c r="T14" s="7" t="str">
        <x:v>EOV-V003-2024-1: https://www.jimtof.org/2024/search/jp/ESdetails?e=iFfGVH0vPS8
EOV-V003-2026-1: https://www.jimtof.org/search/jp/ESdetails?e=30li0vWcseI</x:v>
      </x:c>
      <x:c r="U14" s="7" t="str">
        <x:v>個別タスクの重点整理（従来69カード）</x:v>
      </x:c>
      <x:c r="V14" s="7"/>
      <x:c r="W14" s="7"/>
      <x:c r="X14" s="7"/>
      <x:c r="Y14" s="7"/>
      <x:c r="Z14" s="7"/>
      <x:c r="AA14" s="7"/>
      <x:c r="AB14" s="7"/>
    </x:row>
    <x:row r="15" ht="170" customHeight="1">
      <x:c r="A15" s="7" t="str">
        <x:v>FC009</x:v>
      </x:c>
      <x:c r="B15" s="20" t="str">
        <x:v>オークマ</x:v>
      </x:c>
      <x:c r="C15" s="7" t="str">
        <x:v>熱変位制御・AI知能化</x:v>
      </x:c>
      <x:c r="D15" s="7" t="str">
        <x:v>E3028</x:v>
      </x:c>
      <x:c r="E15" s="7" t="str">
        <x:v>工場運用DX
自動化</x:v>
      </x:c>
      <x:c r="F15" s="7" t="str">
        <x:v>熱変位補正</x:v>
      </x:c>
      <x:c r="G15" s="7" t="str">
        <x:v>工作機械の加工制御</x:v>
      </x:c>
      <x:c r="H15" s="7" t="str">
        <x:v>工作機械</x:v>
      </x:c>
      <x:c r="I15" s="7" t="str">
        <x:v>熱状態等。具体センサ・AI入力は未記載</x:v>
      </x:c>
      <x:c r="J15" s="7" t="str">
        <x:v>独自の熱変位制御とAI活用を説明。両者の方式関係は不明</x:v>
      </x:c>
      <x:c r="K15" s="7" t="str">
        <x:v>加工品質維持を支援</x:v>
      </x:c>
      <x:c r="L15" s="7" t="str">
        <x:v>自動補正範囲と校正・学習条件は未確認</x:v>
      </x:c>
      <x:c r="M15" s="7" t="str">
        <x:v>知能化技術・Green-Smart Machineを掲載</x:v>
      </x:c>
      <x:c r="N15" s="7" t="str">
        <x:v>熱変位制御とAIを具体記載</x:v>
      </x:c>
      <x:c r="O15" s="7" t="str">
        <x:v>2026具体化・機能差未確定</x:v>
      </x:c>
      <x:c r="P15" s="7" t="str">
        <x:v>JIMTOF2026公式カタログ掲載・現地未確認</x:v>
      </x:c>
      <x:c r="Q15" s="7" t="str">
        <x:v>2026展示予定・提供段階未確認</x:v>
      </x:c>
      <x:c r="R15" s="7" t="str">
        <x:v>展示テーマだけで自律化性能の向上を断定しない</x:v>
      </x:c>
      <x:c r="S15" s="7" t="str">
        <x:v>EOV-V003-2024-1
EOV-V003-2026-1</x:v>
      </x:c>
      <x:c r="T15" s="7" t="str">
        <x:v>EOV-V003-2024-1: https://www.jimtof.org/2024/search/jp/ESdetails?e=iFfGVH0vPS8
EOV-V003-2026-1: https://www.jimtof.org/search/jp/ESdetails?e=30li0vWcseI</x:v>
      </x:c>
      <x:c r="U15" s="7" t="str">
        <x:v>個別タスクの重点整理（従来69カード）</x:v>
      </x:c>
      <x:c r="V15" s="7"/>
      <x:c r="W15" s="7"/>
      <x:c r="X15" s="7"/>
      <x:c r="Y15" s="7"/>
      <x:c r="Z15" s="7"/>
      <x:c r="AA15" s="7"/>
      <x:c r="AB15" s="7"/>
    </x:row>
    <x:row r="16" ht="170" customHeight="1">
      <x:c r="A16" s="7" t="str">
        <x:v>FC010</x:v>
      </x:c>
      <x:c r="B16" s="20" t="str">
        <x:v>ヤマザキマザック</x:v>
      </x:c>
      <x:c r="C16" s="7" t="str">
        <x:v>INTEGREX＋Ez LOADER 30</x:v>
      </x:c>
      <x:c r="D16" s="7" t="str">
        <x:v>E1001</x:v>
      </x:c>
      <x:c r="E16" s="7" t="str">
        <x:v>自動化</x:v>
      </x:c>
      <x:c r="F16" s="7" t="str">
        <x:v>ワーク搬入出</x:v>
      </x:c>
      <x:c r="G16" s="7" t="str">
        <x:v>INTEGREX i-250S NEO周辺</x:v>
      </x:c>
      <x:c r="H16" s="7" t="str">
        <x:v>Ez LOADER 30。今回確認資料ではロボット詳細未確認</x:v>
      </x:c>
      <x:c r="I16" s="7" t="str">
        <x:v>ワーク・搬送プログラムの具体仕様未確認</x:v>
      </x:c>
      <x:c r="J16" s="7" t="str">
        <x:v>工作機械とローダの組合せ</x:v>
      </x:c>
      <x:c r="K16" s="7" t="str">
        <x:v>自動化セルのワーク供給。展示動作は要確認</x:v>
      </x:c>
      <x:c r="L16" s="7" t="str">
        <x:v>AIに任せる判断範囲は資料から確認できない</x:v>
      </x:c>
      <x:c r="M16" s="7" t="str">
        <x:v>自動化トータルサポートを訴求。今回構成の直接比較は不可</x:v>
      </x:c>
      <x:c r="N16" s="7" t="str">
        <x:v>メーカー特設ページで機械・ローダ組合せを確認</x:v>
      </x:c>
      <x:c r="O16" s="7" t="str">
        <x:v>2026具体化・機能差未確定</x:v>
      </x:c>
      <x:c r="P16" s="7" t="str">
        <x:v>JIMTOF2026公式カタログ掲載・現地未確認</x:v>
      </x:c>
      <x:c r="Q16" s="7" t="str">
        <x:v>2026展示予定・提供段階未確認</x:v>
      </x:c>
      <x:c r="R16" s="7" t="str">
        <x:v>個別AI機能の役割と既存機能との差を現地確認</x:v>
      </x:c>
      <x:c r="S16" s="7" t="str">
        <x:v>EOV-V004-2024-1
EOV-V004-2026-1
EAT-N08</x:v>
      </x:c>
      <x:c r="T16" s="7" t="str">
        <x:v>EOV-V004-2024-1: https://www.jimtof.org/2024/search/jp/ESdetails?e=q0OrZBKM3uQ
EOV-V004-2026-1: https://www.jimtof.org/search/jp/ESdetails?e=PJEgqNYlWes
EAT-N08: https://www.mazak.com/jp-en/news-media/upcoming-events/jimtof2026/</x:v>
      </x:c>
      <x:c r="U16" s="7" t="str">
        <x:v>個別タスクの重点整理（従来69カード）</x:v>
      </x:c>
      <x:c r="V16" s="7"/>
      <x:c r="W16" s="7"/>
      <x:c r="X16" s="7"/>
      <x:c r="Y16" s="7"/>
      <x:c r="Z16" s="7"/>
      <x:c r="AA16" s="7"/>
      <x:c r="AB16" s="7"/>
    </x:row>
    <x:row r="17" ht="170" customHeight="1">
      <x:c r="A17" s="7" t="str">
        <x:v>FC011</x:v>
      </x:c>
      <x:c r="B17" s="20" t="str">
        <x:v>ベッコフオートメーション</x:v>
      </x:c>
      <x:c r="C17" s="7" t="str">
        <x:v>TwinCAT CoAgent for Engineering：PLC</x:v>
      </x:c>
      <x:c r="D17" s="7" t="str">
        <x:v>E2028</x:v>
      </x:c>
      <x:c r="E17" s="7" t="str">
        <x:v>AIエージェント・対話支援
設計・製造DX
自動化</x:v>
      </x:c>
      <x:c r="F17" s="7" t="str">
        <x:v>PLCコード作成</x:v>
      </x:c>
      <x:c r="G17" s="7" t="str">
        <x:v>TwinCAT 3 XAE Shell</x:v>
      </x:c>
      <x:c r="H17" s="7" t="str">
        <x:v>TwinCAT開発環境、生成AI・専門エージェント、プロジェクト・文書の参照</x:v>
      </x:c>
      <x:c r="I17" s="7" t="str">
        <x:v>自然言語の制御要求、既存TwinCATプロジェクト、Beckhoffの文書</x:v>
      </x:c>
      <x:c r="J17" s="7" t="str">
        <x:v>要求とプロジェクト文脈からPLCコード案を提案</x:v>
      </x:c>
      <x:c r="K17" s="7" t="str">
        <x:v>TwinCAT開発環境でPLCコード案を生成。コンパイル・実機書込み・制御開始まで自動とは未確認</x:v>
      </x:c>
      <x:c r="L17" s="7" t="str">
        <x:v>事前準備：公式：設計者が要求やスケッチを入力。機種・プロジェクトを準備／承認：公式2025/6/13：専門家が生成結果を確認・確定・実行承認する方針。コンパイル・実機書込み・起動の個別画面と権限は未確認／例外対応：未記載：誤った関数・I/O設定時の自動検証、ロールバック</x:v>
      </x:c>
      <x:c r="M17" s="7" t="str">
        <x:v>2024出展の個別詳細は未取得。ただし2023/4の企業公式発表でTwinCAT ChatによるPLCコード作成・追加・最適化・文書化を説明済み。</x:v>
      </x:c>
      <x:c r="N17" s="7" t="str">
        <x:v>2026カタログはPLC支援を掲載。製品ページで実装先・入出力を確認</x:v>
      </x:c>
      <x:c r="O17" s="7" t="str">
        <x:v>2024以前の方式を確認・製品群を具体化</x:v>
      </x:c>
      <x:c r="P17" s="7" t="str">
        <x:v>JIMTOF2026公式カタログ掲載・現地未確認</x:v>
      </x:c>
      <x:c r="Q17" s="7" t="str">
        <x:v>製品発表・投入時期要問い合わせ</x:v>
      </x:c>
      <x:c r="R17" s="7" t="str">
        <x:v>製品発表段階・市場投入時期は要問合せ。提案と実機制御を混同しない 現地質問は追補の確認表を参照。</x:v>
      </x:c>
      <x:c r="S17" s="7" t="str">
        <x:v>EOV-V005-2026-1
EAT-N03
EAT-N05
EDP-03
ERF-01</x:v>
      </x:c>
      <x:c r="T17" s="7" t="str">
        <x:v>EOV-V005-2026-1: https://www.jimtof.org/search/jp/ESdetails?e=K7DqahO2h08
EAT-N03: https://www.beckhoff.com/ko-kr/products/automation/twincat/texxxx-twincat-3-engineering/te1700.html
EAT-N05: https://www.beckhoff.com/ko-kr/products/automation/twincat-projects-with-ai-supported-engineering/
EDP-03: https://www.beckhoff.com/en-en/company/press/twincat-chat-using-innovative-chatbot-technology-in-twincat-engineering-2023-04.html
ERF-01: https://www.beckhoff.com/en-gb/company/news/from-chatbot-to-intelligent-agent.html</x:v>
      </x:c>
      <x:c r="U17" s="7" t="str">
        <x:v>個別タスクの重点整理（従来69カード）</x:v>
      </x:c>
      <x:c r="V17" s="7" t="str">
        <x:v>制御設計の提案・生成</x:v>
      </x:c>
      <x:c r="W17" s="7" t="str">
        <x:v>要求とプロジェクト文脈からPLCコード案を提案</x:v>
      </x:c>
      <x:c r="X17" s="7" t="str">
        <x:v>TwinCAT開発環境でPLCコード案を生成。コンパイル・実機書込み・制御開始まで自動とは未確認</x:v>
      </x:c>
      <x:c r="Y17" s="7" t="str">
        <x:v>公式：設計者が要求やスケッチを入力。機種・プロジェクトを準備</x:v>
      </x:c>
      <x:c r="Z17" s="7" t="str">
        <x:v>公式2025/6/13：専門家が生成結果を確認・確定・実行承認する方針。コンパイル・実機書込み・起動の個別画面と権限は未確認</x:v>
      </x:c>
      <x:c r="AA17" s="7" t="str">
        <x:v>未記載：誤った関数・I/O設定時の自動検証、ロールバック</x:v>
      </x:c>
      <x:c r="AB17" s="7" t="str">
        <x:v>製品発表段階・市場投入時期は要問合せ。提案と実機制御を混同しない</x:v>
      </x:c>
    </x:row>
    <x:row r="18" ht="170" customHeight="1">
      <x:c r="A18" s="7" t="str">
        <x:v>FC012</x:v>
      </x:c>
      <x:c r="B18" s="20" t="str">
        <x:v>ベッコフオートメーション</x:v>
      </x:c>
      <x:c r="C18" s="7" t="str">
        <x:v>TwinCAT CoAgent for Engineering：I/O・HMI</x:v>
      </x:c>
      <x:c r="D18" s="7" t="str">
        <x:v>E2028</x:v>
      </x:c>
      <x:c r="E18" s="7" t="str">
        <x:v>AIエージェント・対話支援
設計・製造DX
自動化</x:v>
      </x:c>
      <x:c r="F18" s="7" t="str">
        <x:v>I/O・HMI設計</x:v>
      </x:c>
      <x:c r="G18" s="7" t="str">
        <x:v>TwinCAT開発環境</x:v>
      </x:c>
      <x:c r="H18" s="7" t="str">
        <x:v>TwinCAT開発環境、対話型AI、I/O構成・HMI画面の設計支援</x:v>
      </x:c>
      <x:c r="I18" s="7" t="str">
        <x:v>自然言語のI/O構成要求、既存プロジェクト、HMIのスケッチ</x:v>
      </x:c>
      <x:c r="J18" s="7" t="str">
        <x:v>チャットでI/O構成案、スケッチからHMIレイアウト・設計案を提案</x:v>
      </x:c>
      <x:c r="K18" s="7" t="str">
        <x:v>I/O設定とHMI画面の案を作成。機器接続確認・実機への適用権限は未公開</x:v>
      </x:c>
      <x:c r="L18" s="7" t="str">
        <x:v>事前準備：公式：設計者が要求やスケッチを入力。機種・プロジェクトを準備／承認：公式2025/6/13：人が結果を確認・調整し、実行を承認する方針。I/O・HMIの変更反映、実機適用の個別権限は未確認／例外対応：未記載：誤った関数・I/O設定時の自動検証、ロールバック</x:v>
      </x:c>
      <x:c r="M18" s="7" t="str">
        <x:v>2024出展の個別詳細は未取得。ただし2023/4の企業公式発表でTwinCAT ChatによるPLCコード作成・追加・最適化・文書化を説明済み。</x:v>
      </x:c>
      <x:c r="N18" s="7" t="str">
        <x:v>2026のHMI支援記述を製品ページのI/O・画面設計で具体化</x:v>
      </x:c>
      <x:c r="O18" s="7" t="str">
        <x:v>2024以前の方式を確認・製品群を具体化</x:v>
      </x:c>
      <x:c r="P18" s="7" t="str">
        <x:v>JIMTOF2026公式カタログ掲載・現地未確認</x:v>
      </x:c>
      <x:c r="Q18" s="7" t="str">
        <x:v>製品発表・投入時期要問い合わせ</x:v>
      </x:c>
      <x:c r="R18" s="7" t="str">
        <x:v>製品発表段階・市場投入時期は要問合せ。提案と実機制御を混同しない 現地質問は追補の確認表を参照。</x:v>
      </x:c>
      <x:c r="S18" s="7" t="str">
        <x:v>EOV-V005-2026-1
EAT-N03
EAT-N05
EDP-03
ERF-01</x:v>
      </x:c>
      <x:c r="T18" s="7" t="str">
        <x:v>EOV-V005-2026-1: https://www.jimtof.org/search/jp/ESdetails?e=K7DqahO2h08
EAT-N03: https://www.beckhoff.com/ko-kr/products/automation/twincat/texxxx-twincat-3-engineering/te1700.html
EAT-N05: https://www.beckhoff.com/ko-kr/products/automation/twincat-projects-with-ai-supported-engineering/
EDP-03: https://www.beckhoff.com/en-en/company/press/twincat-chat-using-innovative-chatbot-technology-in-twincat-engineering-2023-04.html
ERF-01: https://www.beckhoff.com/en-gb/company/news/from-chatbot-to-intelligent-agent.html</x:v>
      </x:c>
      <x:c r="U18" s="7" t="str">
        <x:v>個別タスクの重点整理（従来69カード）</x:v>
      </x:c>
      <x:c r="V18" s="7" t="str">
        <x:v>制御設計の提案・生成</x:v>
      </x:c>
      <x:c r="W18" s="7" t="str">
        <x:v>チャットでI/O構成案、スケッチからHMIレイアウト・設計案を提案</x:v>
      </x:c>
      <x:c r="X18" s="7" t="str">
        <x:v>I/O設定とHMI画面の案を作成。機器接続確認・実機への適用権限は未公開</x:v>
      </x:c>
      <x:c r="Y18" s="7" t="str">
        <x:v>公式：設計者が要求やスケッチを入力。機種・プロジェクトを準備</x:v>
      </x:c>
      <x:c r="Z18" s="7" t="str">
        <x:v>公式2025/6/13：人が結果を確認・調整し、実行を承認する方針。I/O・HMIの変更反映、実機適用の個別権限は未確認</x:v>
      </x:c>
      <x:c r="AA18" s="7" t="str">
        <x:v>未記載：誤った関数・I/O設定時の自動検証、ロールバック</x:v>
      </x:c>
      <x:c r="AB18" s="7" t="str">
        <x:v>製品発表段階・市場投入時期は要問合せ。提案と実機制御を混同しない</x:v>
      </x:c>
    </x:row>
    <x:row r="19" ht="170" customHeight="1">
      <x:c r="A19" s="7" t="str">
        <x:v>FC013</x:v>
      </x:c>
      <x:c r="B19" s="20" t="str">
        <x:v>ベッコフオートメーション</x:v>
      </x:c>
      <x:c r="C19" s="7" t="str">
        <x:v>TwinCAT CoAgent for Operations</x:v>
      </x:c>
      <x:c r="D19" s="7" t="str">
        <x:v>E2028</x:v>
      </x:c>
      <x:c r="E19" s="7" t="str">
        <x:v>AIエージェント・対話支援
工場運用DX</x:v>
      </x:c>
      <x:c r="F19" s="7" t="str">
        <x:v>保全診断・知識支援</x:v>
      </x:c>
      <x:c r="G19" s="7" t="str">
        <x:v>TwinCAT HMI。ADS／Analytics Loggerで運転データ参照</x:v>
      </x:c>
      <x:c r="H19" s="7" t="str">
        <x:v>TwinCAT HMIのチャット、運転データ接続、文書参照、診断・コマンド実行機能</x:v>
      </x:c>
      <x:c r="I19" s="7" t="str">
        <x:v>自然言語、ライブデータ、ログ、システムメッセージ、顧客の保守文書</x:v>
      </x:c>
      <x:c r="J19" s="7" t="str">
        <x:v>原因仮説・診断・対処案を機械・工程データと文書に基づいて作成</x:v>
      </x:c>
      <x:c r="K19" s="7" t="str">
        <x:v>チャットからTwinCATコマンド実行・可視化照会を説明。許可コマンドの範囲は非開示</x:v>
      </x:c>
      <x:c r="L19" s="7" t="str">
        <x:v>事前準備：公式：自社保守手順・知識ベースを追加できる／承認：公式：専門家が制御権を保持。毎回承認の有無、書込先・コマンド権限は未確認／例外対応：未記載：コマンド失敗時の復旧、二重実行、誤診断からの引継ぎ</x:v>
      </x:c>
      <x:c r="M19" s="7" t="str">
        <x:v>2024詳細不足</x:v>
      </x:c>
      <x:c r="N19" s="7" t="str">
        <x:v>一般的なアラーム対策支援をHMI・データ接続・実行機能へ具体化</x:v>
      </x:c>
      <x:c r="O19" s="7" t="str">
        <x:v>2024個別比較不能</x:v>
      </x:c>
      <x:c r="P19" s="7" t="str">
        <x:v>JIMTOF2026公式カタログ掲載・現地未確認</x:v>
      </x:c>
      <x:c r="Q19" s="7" t="str">
        <x:v>製品発表・投入時期要問い合わせ</x:v>
      </x:c>
      <x:c r="R19" s="7" t="str">
        <x:v>10/18の製品ページでも製品発表・投入時期要問合せ。命令ごとの許可・人の承認・二重実行防止・失敗復帰は未記載。Engineeringの承認方針だけでOperationsの毎回承認を断定しない 現地質問は追補の確認表を参照。</x:v>
      </x:c>
      <x:c r="S19" s="7" t="str">
        <x:v>EOV-V005-2026-1
EAT-N04
EAT-N05
EDP-03
ERF-02</x:v>
      </x:c>
      <x:c r="T19" s="7" t="str">
        <x:v>EOV-V005-2026-1: https://www.jimtof.org/search/jp/ESdetails?e=K7DqahO2h08
EAT-N04: https://www.beckhoff.com/ko-kr/products/automation/twincat/tfxxxx-twincat-3-functions/tf1xxx-system/tf1700.html
EAT-N05: https://www.beckhoff.com/ko-kr/products/automation/twincat-projects-with-ai-supported-engineering/
EDP-03: https://www.beckhoff.com/en-en/company/press/twincat-chat-using-innovative-chatbot-technology-in-twincat-engineering-2023-04.html
ERF-02: https://www.beckhoff.com/en-en/products/automation/twincat/tfxxxx-twincat-3-functions/tf1xxx-system/tf1700.html</x:v>
      </x:c>
      <x:c r="U19" s="7" t="str">
        <x:v>個別タスクの重点整理（従来69カード）</x:v>
      </x:c>
      <x:c r="V19" s="7" t="str">
        <x:v>運用診断・コマンド実行支援</x:v>
      </x:c>
      <x:c r="W19" s="7" t="str">
        <x:v>原因仮説・診断・対処案を機械・工程データと文書に基づいて作成</x:v>
      </x:c>
      <x:c r="X19" s="7" t="str">
        <x:v>チャットからTwinCATコマンド実行・可視化照会を説明。許可コマンドの範囲は非開示</x:v>
      </x:c>
      <x:c r="Y19" s="7" t="str">
        <x:v>公式：自社保守手順・知識ベースを追加できる</x:v>
      </x:c>
      <x:c r="Z19" s="7" t="str">
        <x:v>公式：専門家が制御権を保持。毎回承認の有無、書込先・コマンド権限は未確認</x:v>
      </x:c>
      <x:c r="AA19" s="7" t="str">
        <x:v>未記載：コマンド失敗時の復旧、二重実行、誤診断からの引継ぎ</x:v>
      </x:c>
      <x:c r="AB19" s="7" t="str">
        <x:v>10/18の製品ページでも製品発表・投入時期要問合せ。命令ごとの許可・人の承認・二重実行防止・失敗復帰は未記載。Engineeringの承認方針だけでOperationsの毎回承認を断定しない</x:v>
      </x:c>
    </x:row>
    <x:row r="20" ht="170" customHeight="1">
      <x:c r="A20" s="7" t="str">
        <x:v>FC014</x:v>
      </x:c>
      <x:c r="B20" s="20" t="str">
        <x:v>ベッコフオートメーション</x:v>
      </x:c>
      <x:c r="C20" s="7" t="str">
        <x:v>TwinCAT Machine Learning Creator</x:v>
      </x:c>
      <x:c r="D20" s="7" t="str">
        <x:v>E2028</x:v>
      </x:c>
      <x:c r="E20" s="7" t="str">
        <x:v>自動化
AI実装・連携基盤</x:v>
      </x:c>
      <x:c r="F20" s="7" t="str">
        <x:v>学習モデル実装</x:v>
      </x:c>
      <x:c r="G20" s="7" t="str">
        <x:v>モデル開発→ONNX／PLCパイプライン</x:v>
      </x:c>
      <x:c r="H20" s="7" t="str">
        <x:v>学習モデル自動構築・最適化ツールとONNX／PLC向け実装パイプライン</x:v>
      </x:c>
      <x:c r="I20" s="7" t="str">
        <x:v>人が収集・整理した学習用データと課題設定</x:v>
      </x:c>
      <x:c r="J20" s="7" t="str">
        <x:v>学習・モデル選択／最適化を自動化。訓練とテストに分けてモデルを解析</x:v>
      </x:c>
      <x:c r="K20" s="7" t="str">
        <x:v>モデルをONNX等で出力し制御へ導入。モデルが実機で何を判断するかは用途ごとに別設定</x:v>
      </x:c>
      <x:c r="L20" s="7" t="str">
        <x:v>事前準備：公式：データ準備・アノテーション・目的を設定する工程／承認：公式：解析・レポートでモデル評価を支援。実機採用基準と承認者は要確認／例外対応：未記載：ドリフト検出・再学習採否・モデル差替え失敗時の復帰</x:v>
      </x:c>
      <x:c r="M20" s="7" t="str">
        <x:v>2024出展詳細は不足。ただしPC Control 02/2024で、データ分割・モデル解析・ONNX出力から制御への統合を説明済み。</x:v>
      </x:c>
      <x:c r="N20" s="7" t="str">
        <x:v>2026はノーコードでAI作成しPLC実装と記載</x:v>
      </x:c>
      <x:c r="O20" s="7" t="str">
        <x:v>2024以前からの基盤・展示差分未確定</x:v>
      </x:c>
      <x:c r="P20" s="7" t="str">
        <x:v>JIMTOF2026公式カタログ掲載・現地未確認</x:v>
      </x:c>
      <x:c r="Q20" s="7" t="str">
        <x:v>既存製品方式確認・2026掲載</x:v>
      </x:c>
      <x:c r="R20" s="7" t="str">
        <x:v>AutoMLを備えるだけで実機が自律運転するとはいえない 現地質問：開放性は機種依存。AIモデル作成と生成AI支援を区別</x:v>
      </x:c>
      <x:c r="S20" s="7" t="str">
        <x:v>EOV-V005-2026-1
EOV-W01
EDP-04</x:v>
      </x:c>
      <x:c r="T20" s="7" t="str">
        <x:v>EOV-V005-2026-1: https://www.jimtof.org/search/jp/ESdetails?e=K7DqahO2h08
EOV-W01: https://www.beckhoff.com/en-za/products/automation/twincat/texxxx-twincat-3-engineering/te3850.html
EDP-04: https://www.beckhoff.com/media/downloads/information-media/pc-control/pcc_0224_e.pdf</x:v>
      </x:c>
      <x:c r="U20" s="7" t="str">
        <x:v>個別タスクの重点整理（従来69カード）</x:v>
      </x:c>
      <x:c r="V20" s="7" t="str">
        <x:v>AIモデル作成・制御実装の基盤</x:v>
      </x:c>
      <x:c r="W20" s="7" t="str">
        <x:v>学習・モデル選択／最適化を自動化。訓練とテストに分けてモデルを解析</x:v>
      </x:c>
      <x:c r="X20" s="7" t="str">
        <x:v>モデルをONNX等で出力し制御へ導入。モデルが実機で何を判断するかは用途ごとに別設定</x:v>
      </x:c>
      <x:c r="Y20" s="7" t="str">
        <x:v>公式：データ準備・アノテーション・目的を設定する工程</x:v>
      </x:c>
      <x:c r="Z20" s="7" t="str">
        <x:v>公式：解析・レポートでモデル評価を支援。実機採用基準と承認者は要確認</x:v>
      </x:c>
      <x:c r="AA20" s="7" t="str">
        <x:v>未記載：ドリフト検出・再学習採否・モデル差替え失敗時の復帰</x:v>
      </x:c>
      <x:c r="AB20" s="7" t="str">
        <x:v>AutoMLを備えるだけで実機が自律運転するとはいえない</x:v>
      </x:c>
    </x:row>
    <x:row r="21" ht="170" customHeight="1">
      <x:c r="A21" s="7" t="str">
        <x:v>FC015</x:v>
      </x:c>
      <x:c r="B21" s="20" t="str">
        <x:v>ベッコフオートメーション</x:v>
      </x:c>
      <x:c r="C21" s="7" t="str">
        <x:v>TwinCAT CNC：切削信号の解析・独自制御</x:v>
      </x:c>
      <x:c r="D21" s="7" t="str">
        <x:v>E2028</x:v>
      </x:c>
      <x:c r="E21" s="7" t="str">
        <x:v>工場運用DX
AI実装・連携基盤</x:v>
      </x:c>
      <x:c r="F21" s="7" t="str">
        <x:v>加工信号解析</x:v>
      </x:c>
      <x:c r="G21" s="7" t="str">
        <x:v>PCベースCNCリアルタイム環境</x:v>
      </x:c>
      <x:c r="H21" s="7" t="str">
        <x:v>工作機械・CNC</x:v>
      </x:c>
      <x:c r="I21" s="7" t="str">
        <x:v>多様なセンサ信号・制御情報</x:v>
      </x:c>
      <x:c r="J21" s="7" t="str">
        <x:v>高速サンプリング・FFT・C++／Simulinkの独自ロジックを接続</x:v>
      </x:c>
      <x:c r="K21" s="7" t="str">
        <x:v>切削状態モニタリング・独自CNCフィードバック</x:v>
      </x:c>
      <x:c r="L21" s="7" t="str">
        <x:v>制御ロジック設計・安定性確認・機種適合は開発者の範囲。AI使用は必須ではない</x:v>
      </x:c>
      <x:c r="M21" s="7" t="str">
        <x:v>2024詳細不足</x:v>
      </x:c>
      <x:c r="N21" s="7" t="str">
        <x:v>2026は3つの機能開発事例を具体記載</x:v>
      </x:c>
      <x:c r="O21" s="7" t="str">
        <x:v>2024個別比較不能</x:v>
      </x:c>
      <x:c r="P21" s="7" t="str">
        <x:v>JIMTOF2026公式カタログ掲載・現地未確認</x:v>
      </x:c>
      <x:c r="Q21" s="7" t="str">
        <x:v>2026展示予定・提供段階未確認</x:v>
      </x:c>
      <x:c r="R21" s="7" t="str">
        <x:v>開放性は機種依存。AIモデル作成と生成AI支援を区別</x:v>
      </x:c>
      <x:c r="S21" s="7" t="str">
        <x:v>EOV-V005-2026-1</x:v>
      </x:c>
      <x:c r="T21" s="7" t="str">
        <x:v>EOV-V005-2026-1: https://www.jimtof.org/search/jp/ESdetails?e=K7DqahO2h08</x:v>
      </x:c>
      <x:c r="U21" s="7" t="str">
        <x:v>個別タスクの重点整理（従来69カード）</x:v>
      </x:c>
      <x:c r="V21" s="7"/>
      <x:c r="W21" s="7"/>
      <x:c r="X21" s="7"/>
      <x:c r="Y21" s="7"/>
      <x:c r="Z21" s="7"/>
      <x:c r="AA21" s="7"/>
      <x:c r="AB21" s="7"/>
    </x:row>
    <x:row r="22" ht="170" customHeight="1">
      <x:c r="A22" s="7" t="str">
        <x:v>FC016</x:v>
      </x:c>
      <x:c r="B22" s="20" t="str">
        <x:v>EPLAN</x:v>
      </x:c>
      <x:c r="C22" s="7" t="str">
        <x:v>Eplan P8／Pro Panel</x:v>
      </x:c>
      <x:c r="D22" s="7" t="str">
        <x:v>S1067</x:v>
      </x:c>
      <x:c r="E22" s="7" t="str">
        <x:v>設計・製造DX
自動化</x:v>
      </x:c>
      <x:c r="F22" s="7" t="str">
        <x:v>設計製造データ連携</x:v>
      </x:c>
      <x:c r="G22" s="7" t="str">
        <x:v>電気設計→3D制御盤設計→製造</x:v>
      </x:c>
      <x:c r="H22" s="7" t="str">
        <x:v>Electric P8の回路・部品データとPro Panelの3D制御盤設計</x:v>
      </x:c>
      <x:c r="I22" s="7" t="str">
        <x:v>回路図・部品・接続・3D盤データ</x:v>
      </x:c>
      <x:c r="J22" s="7" t="str">
        <x:v>設計資産の標準化・再利用と製造データの一貫化</x:v>
      </x:c>
      <x:c r="K22" s="7" t="str">
        <x:v>回路・帳票・盤設計データ</x:v>
      </x:c>
      <x:c r="L22" s="7" t="str">
        <x:v>設計判断・最終承認を自律化する説明ではない</x:v>
      </x:c>
      <x:c r="M22" s="7" t="str">
        <x:v>電気設計から盤製造までのデータ接続を掲載</x:v>
      </x:c>
      <x:c r="N22" s="7" t="str">
        <x:v>同じデータ中心の設計製造連携を掲載</x:v>
      </x:c>
      <x:c r="O22" s="7" t="str">
        <x:v>2024から継続</x:v>
      </x:c>
      <x:c r="P22" s="7" t="str">
        <x:v>JIMTOF2026公式カタログ掲載・現地未確認</x:v>
      </x:c>
      <x:c r="Q22" s="7" t="str">
        <x:v>2026展示予定・提供段階未確認</x:v>
      </x:c>
      <x:c r="R22" s="7" t="str">
        <x:v>Copilotが自律的に回路を確定するとは記載されていない</x:v>
      </x:c>
      <x:c r="S22" s="7" t="str">
        <x:v>EOV-V006-2024-1
EOV-V006-2026-1</x:v>
      </x:c>
      <x:c r="T22" s="7" t="str">
        <x:v>EOV-V006-2024-1: https://www.jimtof.org/2024/search/jp/ESdetails?e=50efK4rQsHs
EOV-V006-2026-1: https://www.jimtof.org/search/jp/ESdetails?e=FHsQAvmFusY</x:v>
      </x:c>
      <x:c r="U22" s="7" t="str">
        <x:v>個別タスクの重点整理（従来69カード）</x:v>
      </x:c>
      <x:c r="V22" s="7"/>
      <x:c r="W22" s="7"/>
      <x:c r="X22" s="7"/>
      <x:c r="Y22" s="7"/>
      <x:c r="Z22" s="7"/>
      <x:c r="AA22" s="7"/>
      <x:c r="AB22" s="7"/>
    </x:row>
    <x:row r="23" ht="170" customHeight="1">
      <x:c r="A23" s="7" t="str">
        <x:v>FC017</x:v>
      </x:c>
      <x:c r="B23" s="20" t="str">
        <x:v>EPLAN</x:v>
      </x:c>
      <x:c r="C23" s="7" t="str">
        <x:v>Eplan Copilot</x:v>
      </x:c>
      <x:c r="D23" s="7" t="str">
        <x:v>S1067</x:v>
      </x:c>
      <x:c r="E23" s="7" t="str">
        <x:v>AIエージェント・対話支援
設計・製造DX</x:v>
      </x:c>
      <x:c r="F23" s="7" t="str">
        <x:v>I/O・HMI設計</x:v>
      </x:c>
      <x:c r="G23" s="7" t="str">
        <x:v>Eplan Platform上の対話インタフェース</x:v>
      </x:c>
      <x:c r="H23" s="7" t="str">
        <x:v>Eplan Platformに統合された対話型AI支援</x:v>
      </x:c>
      <x:c r="I23" s="7" t="str">
        <x:v>自然言語の作業内容とEplanの設計文脈</x:v>
      </x:c>
      <x:c r="J23" s="7" t="str">
        <x:v>文脈に応じた回答・推奨・手順を生成</x:v>
      </x:c>
      <x:c r="K23" s="7" t="str">
        <x:v>現在の説明は案内・操作支援。自動操作・工程開始のオーケストレーションは将来構想</x:v>
      </x:c>
      <x:c r="L23" s="7" t="str">
        <x:v>事前準備：公式：ユーザーが作業を自然言語で説明／承認：公式：意思決定者は人。設計変更の自動採用を現在機能と扱わない／例外対応：未記載：誤回答・誤った部品選択の検証と復旧</x:v>
      </x:c>
      <x:c r="M23" s="7" t="str">
        <x:v>2024はデータ連携・3D盤設計</x:v>
      </x:c>
      <x:c r="N23" s="7" t="str">
        <x:v>2026はCopilotによる知識・操作支援を追加記載</x:v>
      </x:c>
      <x:c r="O23" s="7" t="str">
        <x:v>担当タスクの追加記載</x:v>
      </x:c>
      <x:c r="P23" s="7" t="str">
        <x:v>JIMTOF2026公式カタログ掲載・現地未確認</x:v>
      </x:c>
      <x:c r="Q23" s="7" t="str">
        <x:v>支援機能紹介。自動操作・盤レイアウト自動生成は将来構想</x:v>
      </x:c>
      <x:c r="R23" s="7" t="str">
        <x:v>盤レイアウト自動生成は構想段階。想定削減率を実績と扱わない 現地質問：現在利用できる操作を実演で区切る。構想段階の効果見込みを現行成果に含めない。</x:v>
      </x:c>
      <x:c r="S23" s="7" t="str">
        <x:v>EOV-V006-2024-1
EOV-V006-2026-1
EAT-N06</x:v>
      </x:c>
      <x:c r="T23" s="7" t="str">
        <x:v>EOV-V006-2024-1: https://www.jimtof.org/2024/search/jp/ESdetails?e=50efK4rQsHs
EOV-V006-2026-1: https://www.jimtof.org/search/jp/ESdetails?e=FHsQAvmFusY
EAT-N06: https://www.eplan.com/us-en/about-us/innovations/eplan-copilot/</x:v>
      </x:c>
      <x:c r="U23" s="7" t="str">
        <x:v>個別タスクの重点整理（従来69カード）</x:v>
      </x:c>
      <x:c r="V23" s="7" t="str">
        <x:v>電気設計の回答・手順支援</x:v>
      </x:c>
      <x:c r="W23" s="7" t="str">
        <x:v>文脈に応じた回答・推奨・手順を生成</x:v>
      </x:c>
      <x:c r="X23" s="7" t="str">
        <x:v>現在の説明は案内・操作支援。自動操作・工程開始のオーケストレーションは将来構想</x:v>
      </x:c>
      <x:c r="Y23" s="7" t="str">
        <x:v>公式：ユーザーが作業を自然言語で説明</x:v>
      </x:c>
      <x:c r="Z23" s="7" t="str">
        <x:v>公式：意思決定者は人。設計変更の自動採用を現在機能と扱わない</x:v>
      </x:c>
      <x:c r="AA23" s="7" t="str">
        <x:v>未記載：誤回答・誤った部品選択の検証と復旧</x:v>
      </x:c>
      <x:c r="AB23" s="7" t="str">
        <x:v>盤レイアウト自動生成は構想段階。想定削減率を実績と扱わない</x:v>
      </x:c>
    </x:row>
    <x:row r="24" ht="170" customHeight="1">
      <x:c r="A24" s="7" t="str">
        <x:v>FC018</x:v>
      </x:c>
      <x:c r="B24" s="20" t="str">
        <x:v>Hexagon Manufacturing Intelligence</x:v>
      </x:c>
      <x:c r="C24" s="7" t="str">
        <x:v>ESPRIT EDGE ProPlanAI</x:v>
      </x:c>
      <x:c r="D24" s="7" t="str">
        <x:v>E2013</x:v>
      </x:c>
      <x:c r="E24" s="7" t="str">
        <x:v>加工準備・業務AI
設計・製造DX
自動化</x:v>
      </x:c>
      <x:c r="F24" s="7" t="str">
        <x:v>工程設計</x:v>
      </x:c>
      <x:c r="G24" s="7" t="str">
        <x:v>CAMの工程計画</x:v>
      </x:c>
      <x:c r="H24" s="7" t="str">
        <x:v>ESPRIT EDGE CAMとProPlanAIの工程予測機能</x:v>
      </x:c>
      <x:c r="I24" s="7" t="str">
        <x:v>過去ジョブ、部品の特徴、PMI、素材除去の文脈</x:v>
      </x:c>
      <x:c r="J24" s="7" t="str">
        <x:v>自動特徴認識と工程予測。過去ジョブから新部品の加工工程を提案</x:v>
      </x:c>
      <x:c r="K24" s="7" t="str">
        <x:v>ESPRIT EDGE内の加工工程案を生成。2026.1は旋削・複合・スイス型に商用範囲を拡張</x:v>
      </x:c>
      <x:c r="L24" s="7" t="str">
        <x:v>事前準備：公式：過去ジョブを利用。分析：工具・機械・段取り等の整合確認が必要／承認：推論：予測フィードバック画面で確認可能。最終NC採否・検証・実機実行の権限は未公開／例外対応：未記載：履歴にない形状・工具欠品・異なる機械への対応と誤案修正</x:v>
      </x:c>
      <x:c r="M24" s="7" t="str">
        <x:v>同名2024詳細なし。別名称・旧法人との照合は未完了</x:v>
      </x:c>
      <x:c r="N24" s="7" t="str">
        <x:v>2025.2で導入説明、2026.1で旋削・複合・スイス型の商用範囲を説明</x:v>
      </x:c>
      <x:c r="O24" s="7" t="str">
        <x:v>2024個別比較不能</x:v>
      </x:c>
      <x:c r="P24" s="7" t="str">
        <x:v>JIMTOF2026公式カタログ掲載・現地未確認</x:v>
      </x:c>
      <x:c r="Q24" s="7" t="str">
        <x:v>メーカーが商用提供範囲を説明・顧客実績未確認</x:v>
      </x:c>
      <x:c r="R24" s="7" t="str">
        <x:v>2025.2は旋削beta、2026.1は商用化。JIMTOFで動くバージョン・加工条件は確認が必要 現地質問：過去ジョブに基づく予測であり無条件に正しいNCを生成する保証ではない</x:v>
      </x:c>
      <x:c r="S24" s="7" t="str">
        <x:v>EOV-V007-2026-2
EOV-W02</x:v>
      </x:c>
      <x:c r="T24" s="7" t="str">
        <x:v>EOV-V007-2026-2: https://www.jimtof.org/search/jp/ESdetails?e=6l20Qo0pjl4
EOV-W02: https://hexagon.com/products/esprit-edge/release-highlights</x:v>
      </x:c>
      <x:c r="U24" s="7" t="str">
        <x:v>個別タスクの重点整理（従来69カード）</x:v>
      </x:c>
      <x:c r="V24" s="7" t="str">
        <x:v>加工履歴に基づく工程予測</x:v>
      </x:c>
      <x:c r="W24" s="7" t="str">
        <x:v>自動特徴認識と工程予測。過去ジョブから新部品の加工工程を提案</x:v>
      </x:c>
      <x:c r="X24" s="7" t="str">
        <x:v>ESPRIT EDGE内の加工工程案を生成。2026.1は旋削・複合・スイス型に商用範囲を拡張</x:v>
      </x:c>
      <x:c r="Y24" s="7" t="str">
        <x:v>公式：過去ジョブを利用。分析：工具・機械・段取り等の整合確認が必要</x:v>
      </x:c>
      <x:c r="Z24" s="7" t="str">
        <x:v>推論：予測フィードバック画面で確認可能。最終NC採否・検証・実機実行の権限は未公開</x:v>
      </x:c>
      <x:c r="AA24" s="7" t="str">
        <x:v>未記載：履歴にない形状・工具欠品・異なる機械への対応と誤案修正</x:v>
      </x:c>
      <x:c r="AB24" s="7" t="str">
        <x:v>2025.2は旋削beta、2026.1は商用化。JIMTOFで動くバージョン・加工条件は確認が必要</x:v>
      </x:c>
    </x:row>
    <x:row r="25" ht="170" customHeight="1">
      <x:c r="A25" s="7" t="str">
        <x:v>FC019</x:v>
      </x:c>
      <x:c r="B25" s="20" t="str">
        <x:v>Hexagon Manufacturing Intelligence</x:v>
      </x:c>
      <x:c r="C25" s="7" t="str">
        <x:v>MAESTRO／PRESTO／品質ソフト群</x:v>
      </x:c>
      <x:c r="D25" s="7" t="str">
        <x:v>E7035</x:v>
      </x:c>
      <x:c r="E25" s="7" t="str">
        <x:v>設計・製造DX
工場運用DX
自動化</x:v>
      </x:c>
      <x:c r="F25" s="7" t="str">
        <x:v>寸法・形状計測</x:v>
      </x:c>
      <x:c r="G25" s="7" t="str">
        <x:v>測定・自動検査・品質解析</x:v>
      </x:c>
      <x:c r="H25" s="7" t="str">
        <x:v>三次元測定機／自動検査ステーション</x:v>
      </x:c>
      <x:c r="I25" s="7" t="str">
        <x:v>寸法・形状・CT・品質データ</x:v>
      </x:c>
      <x:c r="J25" s="7" t="str">
        <x:v>測定機とPC-DMIS、VG、Q-Das等を紹介</x:v>
      </x:c>
      <x:c r="K25" s="7" t="str">
        <x:v>測定・解析・品質情報</x:v>
      </x:c>
      <x:c r="L25" s="7" t="str">
        <x:v>個々の測定から加工への自動補正接続は未確認</x:v>
      </x:c>
      <x:c r="M25" s="7" t="str">
        <x:v>同名2024詳細なし</x:v>
      </x:c>
      <x:c r="N25" s="7" t="str">
        <x:v>2026品質ブースで測定・検査・解析から工程改善を訴求</x:v>
      </x:c>
      <x:c r="O25" s="7" t="str">
        <x:v>2024個別比較不能</x:v>
      </x:c>
      <x:c r="P25" s="7" t="str">
        <x:v>JIMTOF2026公式カタログ掲載・現地未確認</x:v>
      </x:c>
      <x:c r="Q25" s="7" t="str">
        <x:v>2026展示予定・提供段階未確認</x:v>
      </x:c>
      <x:c r="R25" s="7" t="str">
        <x:v>過去ジョブに基づく予測であり無条件に正しいNCを生成する保証ではない</x:v>
      </x:c>
      <x:c r="S25" s="7" t="str">
        <x:v>EOV-V007-2026-1</x:v>
      </x:c>
      <x:c r="T25" s="7" t="str">
        <x:v>EOV-V007-2026-1: https://www.jimtof.org/search/jp/ESdetails?e=oUyVPjxvy-U</x:v>
      </x:c>
      <x:c r="U25" s="7" t="str">
        <x:v>個別タスクの重点整理（従来69カード）</x:v>
      </x:c>
      <x:c r="V25" s="7"/>
      <x:c r="W25" s="7"/>
      <x:c r="X25" s="7"/>
      <x:c r="Y25" s="7"/>
      <x:c r="Z25" s="7"/>
      <x:c r="AA25" s="7"/>
      <x:c r="AB25" s="7"/>
    </x:row>
    <x:row r="26" ht="170" customHeight="1">
      <x:c r="A26" s="7" t="str">
        <x:v>FC020</x:v>
      </x:c>
      <x:c r="B26" s="20" t="str">
        <x:v>ジェービーエムエンジニアリング</x:v>
      </x:c>
      <x:c r="C26" s="7" t="str">
        <x:v>Mastercam＋CAMAssist</x:v>
      </x:c>
      <x:c r="D26" s="7" t="str">
        <x:v>E2002</x:v>
      </x:c>
      <x:c r="E26" s="7" t="str">
        <x:v>加工準備・業務AI
設計・製造DX
自動化</x:v>
      </x:c>
      <x:c r="F26" s="7" t="str">
        <x:v>CAM・NC作成</x:v>
      </x:c>
      <x:c r="G26" s="7" t="str">
        <x:v>CAMプログラミング</x:v>
      </x:c>
      <x:c r="H26" s="7" t="str">
        <x:v>MastercamとCAMAssistのCAM作業支援機能</x:v>
      </x:c>
      <x:c r="I26" s="7" t="str">
        <x:v>形状、工具ライブラリ、材種、機械、保持、加工方向・回避領域</x:v>
      </x:c>
      <x:c r="J26" s="7" t="str">
        <x:v>加工法の候補を検討し工程・経路・切削条件案を選ぶという説明。顧客のMastercamデータで学習しないと明記</x:v>
      </x:c>
      <x:c r="K26" s="7" t="str">
        <x:v>Mastercam内で修正・シミュレーション可能な工程を作成。人がポスト処理してNCを準備</x:v>
      </x:c>
      <x:c r="L26" s="7" t="str">
        <x:v>事前準備：公式：工具・材料・保持・機械と加工方向・回避範囲を指定／承認：公式：AI戦略を確認・調整してからCAMへ送る。実機の自動運転開始とは別／例外対応：公式：材料不足・非対応形状等を事前表示。未検出の危険や最終修正は現地で確認</x:v>
      </x:c>
      <x:c r="M26" s="7" t="str">
        <x:v>2024のJBM出展説明はMastercam等を掲載。開発元CloudNCは2024/7/25にMastercam向けCAM Assist提供開始を公式発表（北米販売説明）。</x:v>
      </x:c>
      <x:c r="N26" s="7" t="str">
        <x:v>CAMAssistの手作業自動化を追加記載</x:v>
      </x:c>
      <x:c r="O26" s="7" t="str">
        <x:v>2024に提供発表済み・2026出展記述を具体化</x:v>
      </x:c>
      <x:c r="P26" s="7" t="str">
        <x:v>JIMTOF2026公式カタログ掲載・現地未確認</x:v>
      </x:c>
      <x:c r="Q26" s="7" t="str">
        <x:v>2026展示予定・提供段階未確認</x:v>
      </x:c>
      <x:c r="R26" s="7" t="str">
        <x:v>3軸・3+2軸ミル中心。2024/7/25に世界向けMastercam対応を発表済み。日本版の供給・展示年とは別 現地質問は追補の確認表を参照。</x:v>
      </x:c>
      <x:c r="S26" s="7" t="str">
        <x:v>EOV-V008-2024-1
EOV-V008-2024-2
EOV-V008-2026-1
EDP-09
EDP-10
ERF-03</x:v>
      </x:c>
      <x:c r="T26" s="7" t="str">
        <x:v>EOV-V008-2024-1: https://www.jimtof.org/2024/search/jp/ESdetails?e=G-8gydwhMvE
EOV-V008-2024-2: https://www.jimtof.org/2024/search/jp/ESdetails?e=ZBxZW2vyjUw
EOV-V008-2026-1: https://www.jimtof.org/search/jp/ESdetails?e=VrAjMTKmxdw
EDP-09: https://www.cloudnc.com/ja/mastercam
EDP-10: https://www.cloudnc.com/news-room/cam-assist-the-first-ai-plug-in-for-cam-is-now-available-for-mastercam
ERF-03: https://www.cloudnc.com/ja/mastercam</x:v>
      </x:c>
      <x:c r="U26" s="7" t="str">
        <x:v>個別タスクの重点整理（従来69カード）</x:v>
      </x:c>
      <x:c r="V26" s="7" t="str">
        <x:v>物理・加工ルールに基づく工程と経路生成</x:v>
      </x:c>
      <x:c r="W26" s="7" t="str">
        <x:v>加工法の候補を検討し工程・経路・切削条件案を選ぶという説明。顧客のMastercamデータで学習しないと明記</x:v>
      </x:c>
      <x:c r="X26" s="7" t="str">
        <x:v>Mastercam内で修正・シミュレーション可能な工程を作成。人がポスト処理してNCを準備</x:v>
      </x:c>
      <x:c r="Y26" s="7" t="str">
        <x:v>公式：工具・材料・保持・機械と加工方向・回避範囲を指定</x:v>
      </x:c>
      <x:c r="Z26" s="7" t="str">
        <x:v>公式：AI戦略を確認・調整してからCAMへ送る。実機の自動運転開始とは別</x:v>
      </x:c>
      <x:c r="AA26" s="7" t="str">
        <x:v>公式：材料不足・非対応形状等を事前表示。未検出の危険や最終修正は現地で確認</x:v>
      </x:c>
      <x:c r="AB26" s="7" t="str">
        <x:v>3軸・3+2軸ミル中心。2024/7/25に世界向けMastercam対応を発表済み。日本版の供給・展示年とは別</x:v>
      </x:c>
    </x:row>
    <x:row r="27" ht="170" customHeight="1">
      <x:c r="A27" s="7" t="str">
        <x:v>FC021</x:v>
      </x:c>
      <x:c r="B27" s="20" t="str">
        <x:v>CGTech</x:v>
      </x:c>
      <x:c r="C27" s="7" t="str">
        <x:v>Vericut：Gコード検証</x:v>
      </x:c>
      <x:c r="D27" s="7" t="str">
        <x:v>S3014</x:v>
      </x:c>
      <x:c r="E27" s="7" t="str">
        <x:v>設計・製造DX
自動化</x:v>
      </x:c>
      <x:c r="F27" s="7" t="str">
        <x:v>NC・干渉検証</x:v>
      </x:c>
      <x:c r="G27" s="7" t="str">
        <x:v>加工前のデジタル機械環境</x:v>
      </x:c>
      <x:c r="H27" s="7" t="str">
        <x:v>Gコードのシミュレーションと機械・工具・治具・ワークの仮想モデル</x:v>
      </x:c>
      <x:c r="I27" s="7" t="str">
        <x:v>ポスト後のGコード、機械の制御ロジック・形状、工具・ホルダ・治具・素材</x:v>
      </x:c>
      <x:c r="J27" s="7" t="str">
        <x:v>仮想実行で干渉・衝突、削り過ぎ／残し等を検出。学習AIによる判定と記載なし</x:v>
      </x:c>
      <x:c r="K27" s="7" t="str">
        <x:v>検証・比較結果を出力。Forceの送り最適化や機械接続は別モジュール</x:v>
      </x:c>
      <x:c r="L27" s="7" t="str">
        <x:v>事前準備：分析：実機と同じNC・工具・治具・機械モデルを用意する必要／承認：分析：指摘を修正し、実加工への採用を判断。自動承認の根拠なし／例外対応：未記載：モデル誤り・現物差・未検出エラーをどう運用で補うか</x:v>
      </x:c>
      <x:c r="M27" s="7" t="str">
        <x:v>同方式に加えCNCプリチェック・実機モニターまで説明</x:v>
      </x:c>
      <x:c r="N27" s="7" t="str">
        <x:v>検証・デジタルツインを継続掲載</x:v>
      </x:c>
      <x:c r="O27" s="7" t="str">
        <x:v>2024から継続</x:v>
      </x:c>
      <x:c r="P27" s="7" t="str">
        <x:v>JIMTOF2026公式カタログ掲載・現地未確認</x:v>
      </x:c>
      <x:c r="Q27" s="7" t="str">
        <x:v>2026展示予定・提供段階未確認</x:v>
      </x:c>
      <x:c r="R27" s="7" t="str">
        <x:v>仮想検証は現物モデル・設定の正しさに依存。AI CAMと組み合わせる実装済み連携は個別確認 現地質問：性能・対応範囲の増分は定量比較不能</x:v>
      </x:c>
      <x:c r="S27" s="7" t="str">
        <x:v>EOV-V009-2024-1
EOV-V009-2026-1
EDP-20</x:v>
      </x:c>
      <x:c r="T27" s="7" t="str">
        <x:v>EOV-V009-2024-1: https://www.jimtof.org/2024/search/jp/ESdetails?e=AxDUk3YbQDI
EOV-V009-2026-1: https://www.jimtof.org/search/jp/ESdetails?e=41U8xW4UkcM
EDP-20: https://vericut.com/ja-jp/products/cnc-machine-simulation</x:v>
      </x:c>
      <x:c r="U27" s="7" t="str">
        <x:v>個別タスクの重点整理（従来69カード）</x:v>
      </x:c>
      <x:c r="V27" s="7" t="str">
        <x:v>シミュレーションによる検証・AIは必須と未確認</x:v>
      </x:c>
      <x:c r="W27" s="7" t="str">
        <x:v>仮想実行で干渉・衝突、削り過ぎ／残し等を検出。学習AIによる判定と記載なし</x:v>
      </x:c>
      <x:c r="X27" s="7" t="str">
        <x:v>検証・比較結果を出力。Forceの送り最適化や機械接続は別モジュール</x:v>
      </x:c>
      <x:c r="Y27" s="7" t="str">
        <x:v>分析：実機と同じNC・工具・治具・機械モデルを用意する必要</x:v>
      </x:c>
      <x:c r="Z27" s="7" t="str">
        <x:v>分析：指摘を修正し、実加工への採用を判断。自動承認の根拠なし</x:v>
      </x:c>
      <x:c r="AA27" s="7" t="str">
        <x:v>未記載：モデル誤り・現物差・未検出エラーをどう運用で補うか</x:v>
      </x:c>
      <x:c r="AB27" s="7" t="str">
        <x:v>仮想検証は現物モデル・設定の正しさに依存。AI CAMと組み合わせる実装済み連携は個別確認</x:v>
      </x:c>
    </x:row>
    <x:row r="28" ht="170" customHeight="1">
      <x:c r="A28" s="7" t="str">
        <x:v>FC022</x:v>
      </x:c>
      <x:c r="B28" s="20" t="str">
        <x:v>CGTech</x:v>
      </x:c>
      <x:c r="C28" s="7" t="str">
        <x:v>Vericut Force／Optimizer</x:v>
      </x:c>
      <x:c r="D28" s="7" t="str">
        <x:v>S3014</x:v>
      </x:c>
      <x:c r="E28" s="7" t="str">
        <x:v>加工準備・業務AI
設計・製造DX
自動化</x:v>
      </x:c>
      <x:c r="F28" s="7" t="str">
        <x:v>加工条件・NC最適化</x:v>
      </x:c>
      <x:c r="G28" s="7" t="str">
        <x:v>NCプログラム最適化</x:v>
      </x:c>
      <x:c r="H28" s="7" t="str">
        <x:v>Vericut Force／OptimizerによるNC最適化ソフトウェア</x:v>
      </x:c>
      <x:c r="I28" s="7" t="str">
        <x:v>NCと刃物負荷等の加工モデル</x:v>
      </x:c>
      <x:c r="J28" s="7" t="str">
        <x:v>負荷を考慮してNCを最適化</x:v>
      </x:c>
      <x:c r="K28" s="7" t="str">
        <x:v>最適化されたNC</x:v>
      </x:c>
      <x:c r="L28" s="7" t="str">
        <x:v>AIの新機能・従来版の性能差・実機適用条件は未確認</x:v>
      </x:c>
      <x:c r="M28" s="7" t="str">
        <x:v>Forceによる刃物負荷最適化を掲載</x:v>
      </x:c>
      <x:c r="N28" s="7" t="str">
        <x:v>AI活用・独立Optimizerを掲載するが具体方式差は不足</x:v>
      </x:c>
      <x:c r="O28" s="7" t="str">
        <x:v>2026具体化・機能差未確定</x:v>
      </x:c>
      <x:c r="P28" s="7" t="str">
        <x:v>JIMTOF2026公式カタログ掲載・現地未確認</x:v>
      </x:c>
      <x:c r="Q28" s="7" t="str">
        <x:v>2026展示予定・提供段階未確認</x:v>
      </x:c>
      <x:c r="R28" s="7" t="str">
        <x:v>性能・対応範囲の増分は定量比較不能</x:v>
      </x:c>
      <x:c r="S28" s="7" t="str">
        <x:v>EOV-V009-2024-1
EOV-V009-2026-1</x:v>
      </x:c>
      <x:c r="T28" s="7" t="str">
        <x:v>EOV-V009-2024-1: https://www.jimtof.org/2024/search/jp/ESdetails?e=AxDUk3YbQDI
EOV-V009-2026-1: https://www.jimtof.org/search/jp/ESdetails?e=41U8xW4UkcM</x:v>
      </x:c>
      <x:c r="U28" s="7" t="str">
        <x:v>個別タスクの重点整理（従来69カード）</x:v>
      </x:c>
      <x:c r="V28" s="7"/>
      <x:c r="W28" s="7"/>
      <x:c r="X28" s="7"/>
      <x:c r="Y28" s="7"/>
      <x:c r="Z28" s="7"/>
      <x:c r="AA28" s="7"/>
      <x:c r="AB28" s="7"/>
    </x:row>
    <x:row r="29" ht="170" customHeight="1">
      <x:c r="A29" s="7" t="str">
        <x:v>FC023</x:v>
      </x:c>
      <x:c r="B29" s="20" t="str">
        <x:v>オートデスク</x:v>
      </x:c>
      <x:c r="C29" s="7" t="str">
        <x:v>Fusion／FeatureCAM／PLM連携</x:v>
      </x:c>
      <x:c r="D29" s="7" t="str">
        <x:v>S3019</x:v>
      </x:c>
      <x:c r="E29" s="7" t="str">
        <x:v>加工準備・業務AI
設計・製造DX
自動化</x:v>
      </x:c>
      <x:c r="F29" s="7" t="str">
        <x:v>設計製造データ連携</x:v>
      </x:c>
      <x:c r="G29" s="7" t="str">
        <x:v>設計・CAM・製造データ基盤</x:v>
      </x:c>
      <x:c r="H29" s="7" t="str">
        <x:v>Fusion／FeatureCAM等のCAD・CAMとPLM・データ連携</x:v>
      </x:c>
      <x:c r="I29" s="7" t="str">
        <x:v>設計モデル・加工・製造関連データ</x:v>
      </x:c>
      <x:c r="J29" s="7" t="str">
        <x:v>CAD/CAMとPLM・AI支援を組み合わせる提案</x:v>
      </x:c>
      <x:c r="K29" s="7" t="str">
        <x:v>設計製造の情報連携</x:v>
      </x:c>
      <x:c r="L29" s="7" t="str">
        <x:v>AIが担当する具体タスクと自動確定範囲は未確認</x:v>
      </x:c>
      <x:c r="M29" s="7" t="str">
        <x:v>クラウドFusionとFeatureCAM自動プログラミングを掲載</x:v>
      </x:c>
      <x:c r="N29" s="7" t="str">
        <x:v>AI・PLMを強調。個別AI方式の比較はできない</x:v>
      </x:c>
      <x:c r="O29" s="7" t="str">
        <x:v>2026具体化・機能差未確定</x:v>
      </x:c>
      <x:c r="P29" s="7" t="str">
        <x:v>JIMTOF2026公式カタログ掲載・現地未確認</x:v>
      </x:c>
      <x:c r="Q29" s="7" t="str">
        <x:v>2026展示予定・提供段階未確認</x:v>
      </x:c>
      <x:c r="R29" s="7" t="str">
        <x:v>AI個別方式と効果は展示説明から未確定</x:v>
      </x:c>
      <x:c r="S29" s="7" t="str">
        <x:v>EOV-V010-2024-1
EOV-V010-2026-1</x:v>
      </x:c>
      <x:c r="T29" s="7" t="str">
        <x:v>EOV-V010-2024-1: https://www.jimtof.org/2024/search/jp/ESdetails?e=5CWUqNS_dBw
EOV-V010-2026-1: https://www.jimtof.org/search/jp/ESdetails?e=Y_kC6hMTghk</x:v>
      </x:c>
      <x:c r="U29" s="7" t="str">
        <x:v>個別タスクの重点整理（従来69カード）</x:v>
      </x:c>
      <x:c r="V29" s="7"/>
      <x:c r="W29" s="7"/>
      <x:c r="X29" s="7"/>
      <x:c r="Y29" s="7"/>
      <x:c r="Z29" s="7"/>
      <x:c r="AA29" s="7"/>
      <x:c r="AB29" s="7"/>
    </x:row>
    <x:row r="30" ht="170" customHeight="1">
      <x:c r="A30" s="7" t="str">
        <x:v>FC024</x:v>
      </x:c>
      <x:c r="B30" s="20" t="str">
        <x:v>たけびし</x:v>
      </x:c>
      <x:c r="C30" s="7" t="str">
        <x:v>OPC UA情報モデルとエージェント連携</x:v>
      </x:c>
      <x:c r="D30" s="7" t="str">
        <x:v>S3015</x:v>
      </x:c>
      <x:c r="E30" s="7" t="str">
        <x:v>AIエージェント・対話支援
工場運用DX
AI実装・連携基盤</x:v>
      </x:c>
      <x:c r="F30" s="7" t="str">
        <x:v>異機種・旧設備の接続</x:v>
      </x:c>
      <x:c r="G30" s="7" t="str">
        <x:v>制御機器→OPCサーバー→上位システム</x:v>
      </x:c>
      <x:c r="H30" s="7" t="str">
        <x:v>OPC UA情報モデル対応サーバーと上位システム・エージェントへの接続</x:v>
      </x:c>
      <x:c r="I30" s="7" t="str">
        <x:v>OPC UAの値・構造・状態・属性・関係、外部エージェントの自然言語要求</x:v>
      </x:c>
      <x:c r="J30" s="7" t="str">
        <x:v>OPC製品自体がAI判断するとは記載なし。分析・保全支援は接続先エージェントの用途</x:v>
      </x:c>
      <x:c r="K30" s="7" t="str">
        <x:v>設備データを構造化して提供。OPC UA×MCP Adapterは提供を計画と記載</x:v>
      </x:c>
      <x:c r="L30" s="7" t="str">
        <x:v>事前準備：分析：接続機器・情報モデル・公開するデータ／メソッドの定義が必要。設定者は要確認／承認：未記載：読出しと書込みの区別、メソッド実行の承認・許可リスト／例外対応：未記載：状態誤解釈・通信切断・誤ったメソッド呼出し時の復帰</x:v>
      </x:c>
      <x:c r="M30" s="7" t="str">
        <x:v>OPC UA情報モデル・多ベンダー接続を説明</x:v>
      </x:c>
      <x:c r="N30" s="7" t="str">
        <x:v>AIエージェントへの連携シナリオを明記</x:v>
      </x:c>
      <x:c r="O30" s="7" t="str">
        <x:v>担当タスクの追加記載</x:v>
      </x:c>
      <x:c r="P30" s="7" t="str">
        <x:v>JIMTOF2026公式カタログ掲載・現地未確認</x:v>
      </x:c>
      <x:c r="Q30" s="7" t="str">
        <x:v>OPC製品は既存。MCP Adapterは2026年6月のメーカー寄稿で提供計画。現在の提供版は要確認</x:v>
      </x:c>
      <x:c r="R30" s="7" t="str">
        <x:v>接続シナリオと提供計画を実装済みの機械制御と扱わない 現地質問：どのデータモデルでどのエージェントに渡すか。書込み権限とデータ鮮度をどう扱うか。</x:v>
      </x:c>
      <x:c r="S30" s="7" t="str">
        <x:v>EOV-V011-2024-1
EOV-V011-2026-1
EDP-06</x:v>
      </x:c>
      <x:c r="T30" s="7" t="str">
        <x:v>EOV-V011-2024-1: https://www.jimtof.org/2024/search/jp/ESdetails?e=SiZMI-OH8_k
EOV-V011-2026-1: https://www.jimtof.org/search/jp/ESdetails?e=Qh27DAtEkbw
EDP-06: https://opcconnect.opcfoundation.org/2026/06/toward-realizing-ai-utilization-in-manufacturing-exploring-the-potential-of-integrating-the-opc-ua-information-model-with-ai-agents/</x:v>
      </x:c>
      <x:c r="U30" s="7" t="str">
        <x:v>個別タスクの重点整理（従来69カード）</x:v>
      </x:c>
      <x:c r="V30" s="7" t="str">
        <x:v>設備データの意味付け・エージェント接続基盤</x:v>
      </x:c>
      <x:c r="W30" s="7" t="str">
        <x:v>OPC製品自体がAI判断するとは記載なし。分析・保全支援は接続先エージェントの用途</x:v>
      </x:c>
      <x:c r="X30" s="7" t="str">
        <x:v>設備データを構造化して提供。OPC UA×MCP Adapterは提供を計画と記載</x:v>
      </x:c>
      <x:c r="Y30" s="7" t="str">
        <x:v>分析：接続機器・情報モデル・公開するデータ／メソッドの定義が必要。設定者は要確認</x:v>
      </x:c>
      <x:c r="Z30" s="7" t="str">
        <x:v>未記載：読出しと書込みの区別、メソッド実行の承認・許可リスト</x:v>
      </x:c>
      <x:c r="AA30" s="7" t="str">
        <x:v>未記載：状態誤解釈・通信切断・誤ったメソッド呼出し時の復帰</x:v>
      </x:c>
      <x:c r="AB30" s="7" t="str">
        <x:v>接続シナリオと提供計画を実装済みの機械制御と扱わない</x:v>
      </x:c>
    </x:row>
    <x:row r="31" ht="170" customHeight="1">
      <x:c r="A31" s="7" t="str">
        <x:v>FC025</x:v>
      </x:c>
      <x:c r="B31" s="20" t="str">
        <x:v>シーイーシー</x:v>
      </x:c>
      <x:c r="C31" s="7" t="str">
        <x:v>Facteye／Resolana</x:v>
      </x:c>
      <x:c r="D31" s="7" t="str">
        <x:v>E2006</x:v>
      </x:c>
      <x:c r="E31" s="7" t="str">
        <x:v>工場運用DX
AI実装・連携基盤</x:v>
      </x:c>
      <x:c r="F31" s="7" t="str">
        <x:v>異機種・旧設備の接続</x:v>
      </x:c>
      <x:c r="G31" s="7" t="str">
        <x:v>旧設備・設備品質データの収集と集約</x:v>
      </x:c>
      <x:c r="H31" s="7" t="str">
        <x:v>Facteyeのデータ収集とResolanaの集約・分析基盤</x:v>
      </x:c>
      <x:c r="I31" s="7" t="str">
        <x:v>設備稼働・品質等</x:v>
      </x:c>
      <x:c r="J31" s="7" t="str">
        <x:v>既設設備情報の収集・可視化とデータ分析・AI利用</x:v>
      </x:c>
      <x:c r="K31" s="7" t="str">
        <x:v>設備と品質を関連づける情報</x:v>
      </x:c>
      <x:c r="L31" s="7" t="str">
        <x:v>データからの自動制御・全工場最適化は未確認</x:v>
      </x:c>
      <x:c r="M31" s="7" t="str">
        <x:v>データ収集・対話AI・基盤連携を説明</x:v>
      </x:c>
      <x:c r="N31" s="7" t="str">
        <x:v>旧設備・品質との連携課題を具体化</x:v>
      </x:c>
      <x:c r="O31" s="7" t="str">
        <x:v>2026具体化・機能差未確定</x:v>
      </x:c>
      <x:c r="P31" s="7" t="str">
        <x:v>JIMTOF2026公式カタログ掲載・現地未確認</x:v>
      </x:c>
      <x:c r="Q31" s="7" t="str">
        <x:v>2026展示予定・提供段階未確認</x:v>
      </x:c>
      <x:c r="R31" s="7" t="str">
        <x:v>AI初搭載や全工場最適化の達成とは断定しない</x:v>
      </x:c>
      <x:c r="S31" s="7" t="str">
        <x:v>EOV-V012-2024-1
EOV-V012-2026-1</x:v>
      </x:c>
      <x:c r="T31" s="7" t="str">
        <x:v>EOV-V012-2024-1: https://www.jimtof.org/2024/search/jp/ESdetails?e=WS9ql5D41fQ
EOV-V012-2026-1: https://www.jimtof.org/search/jp/ESdetails?e=tW-C9oF94EQ</x:v>
      </x:c>
      <x:c r="U31" s="7" t="str">
        <x:v>個別タスクの重点整理（従来69カード）</x:v>
      </x:c>
      <x:c r="V31" s="7"/>
      <x:c r="W31" s="7"/>
      <x:c r="X31" s="7"/>
      <x:c r="Y31" s="7"/>
      <x:c r="Z31" s="7"/>
      <x:c r="AA31" s="7"/>
      <x:c r="AB31" s="7"/>
    </x:row>
    <x:row r="32" ht="170" customHeight="1">
      <x:c r="A32" s="7" t="str">
        <x:v>FC026</x:v>
      </x:c>
      <x:c r="B32" s="20" t="str">
        <x:v>Smart Craft</x:v>
      </x:c>
      <x:c r="C32" s="7" t="str">
        <x:v>Smart Craft MES</x:v>
      </x:c>
      <x:c r="D32" s="7" t="str">
        <x:v>S3002</x:v>
      </x:c>
      <x:c r="E32" s="7" t="str">
        <x:v>工場運用DX</x:v>
      </x:c>
      <x:c r="F32" s="7" t="str">
        <x:v>生産・品質・在庫管理</x:v>
      </x:c>
      <x:c r="G32" s="7" t="str">
        <x:v>現場MESとERP・周辺システム</x:v>
      </x:c>
      <x:c r="H32" s="7" t="str">
        <x:v>MESの生産・品質・在庫管理とERP等へのAPI連携</x:v>
      </x:c>
      <x:c r="I32" s="7" t="str">
        <x:v>生産・品質・在庫・指示・実績</x:v>
      </x:c>
      <x:c r="J32" s="7" t="str">
        <x:v>記録・指示・トレーサビリティを一元化しAPI連携</x:v>
      </x:c>
      <x:c r="K32" s="7" t="str">
        <x:v>現場の工程・実績情報</x:v>
      </x:c>
      <x:c r="L32" s="7" t="str">
        <x:v>AI分析の内容・入力定着・判断権限は未確認</x:v>
      </x:c>
      <x:c r="M32" s="7" t="str">
        <x:v>2024詳細なし</x:v>
      </x:c>
      <x:c r="N32" s="7" t="str">
        <x:v>2026機能説明あり</x:v>
      </x:c>
      <x:c r="O32" s="7" t="str">
        <x:v>2024個別比較不能</x:v>
      </x:c>
      <x:c r="P32" s="7" t="str">
        <x:v>JIMTOF2026公式カタログ掲載・現地未確認</x:v>
      </x:c>
      <x:c r="Q32" s="7" t="str">
        <x:v>2026展示予定・提供段階未確認</x:v>
      </x:c>
      <x:c r="R32" s="7" t="str">
        <x:v>入力定着・既存基幹連携・AI分析内容は要確認</x:v>
      </x:c>
      <x:c r="S32" s="7" t="str">
        <x:v>EOV-V013-2026-1</x:v>
      </x:c>
      <x:c r="T32" s="7" t="str">
        <x:v>EOV-V013-2026-1: https://www.jimtof.org/search/jp/ESdetails?e=WqjRB6DEqN0</x:v>
      </x:c>
      <x:c r="U32" s="7" t="str">
        <x:v>個別タスクの重点整理（従来69カード）</x:v>
      </x:c>
      <x:c r="V32" s="7"/>
      <x:c r="W32" s="7"/>
      <x:c r="X32" s="7"/>
      <x:c r="Y32" s="7"/>
      <x:c r="Z32" s="7"/>
      <x:c r="AA32" s="7"/>
      <x:c r="AB32" s="7"/>
    </x:row>
    <x:row r="33" ht="170" customHeight="1">
      <x:c r="A33" s="7" t="str">
        <x:v>FC027</x:v>
      </x:c>
      <x:c r="B33" s="20" t="str">
        <x:v>ものレボ</x:v>
      </x:c>
      <x:c r="C33" s="7" t="str">
        <x:v>MonoRevo：工程計画・スケジューリング</x:v>
      </x:c>
      <x:c r="D33" s="7" t="str">
        <x:v>W3042</x:v>
      </x:c>
      <x:c r="E33" s="7" t="str">
        <x:v>工場運用DX
自動化</x:v>
      </x:c>
      <x:c r="F33" s="7" t="str">
        <x:v>計画変更・負荷調整</x:v>
      </x:c>
      <x:c r="G33" s="7" t="str">
        <x:v>クラウド工程管理</x:v>
      </x:c>
      <x:c r="H33" s="7" t="str">
        <x:v>クラウド工程管理と工程計画・自動スケジューリング機能</x:v>
      </x:c>
      <x:c r="I33" s="7" t="str">
        <x:v>工程、納期、設備・作業者負荷、進捗</x:v>
      </x:c>
      <x:c r="J33" s="7" t="str">
        <x:v>工程設計・計画・進捗をまとめて予定変更へ対応</x:v>
      </x:c>
      <x:c r="K33" s="7" t="str">
        <x:v>工程計画・負荷の可視化と自動スケジューリング</x:v>
      </x:c>
      <x:c r="L33" s="7" t="str">
        <x:v>計画制約・再計画の確定権限・失敗時の介入は未確認</x:v>
      </x:c>
      <x:c r="M33" s="7" t="str">
        <x:v>2024詳細なし</x:v>
      </x:c>
      <x:c r="N33" s="7" t="str">
        <x:v>2026は工程設計・自動スケジューリングを説明</x:v>
      </x:c>
      <x:c r="O33" s="7" t="str">
        <x:v>2024個別比較不能</x:v>
      </x:c>
      <x:c r="P33" s="7" t="str">
        <x:v>JIMTOF2026公式カタログ掲載・現地未確認</x:v>
      </x:c>
      <x:c r="Q33" s="7" t="str">
        <x:v>2026展示予定・提供段階未確認</x:v>
      </x:c>
      <x:c r="R33" s="7" t="str">
        <x:v>スケジュールの制約・再計画時間・AIの担当範囲は要確認</x:v>
      </x:c>
      <x:c r="S33" s="7" t="str">
        <x:v>EOV-V014-2026-1</x:v>
      </x:c>
      <x:c r="T33" s="7" t="str">
        <x:v>EOV-V014-2026-1: https://www.jimtof.org/search/jp/ESdetails?e=sccKfxE4bYo</x:v>
      </x:c>
      <x:c r="U33" s="7" t="str">
        <x:v>個別タスクの重点整理（従来69カード）</x:v>
      </x:c>
      <x:c r="V33" s="7"/>
      <x:c r="W33" s="7"/>
      <x:c r="X33" s="7"/>
      <x:c r="Y33" s="7"/>
      <x:c r="Z33" s="7"/>
      <x:c r="AA33" s="7"/>
      <x:c r="AB33" s="7"/>
    </x:row>
    <x:row r="34" ht="170" customHeight="1">
      <x:c r="A34" s="7" t="str">
        <x:v>FC028</x:v>
      </x:c>
      <x:c r="B34" s="20" t="str">
        <x:v>ものレボ</x:v>
      </x:c>
      <x:c r="C34" s="7" t="str">
        <x:v>MonoRevo：類似図面検索・自動見積</x:v>
      </x:c>
      <x:c r="D34" s="7" t="str">
        <x:v>W3042</x:v>
      </x:c>
      <x:c r="E34" s="7" t="str">
        <x:v>加工準備・業務AI
工場運用DX
自動化</x:v>
      </x:c>
      <x:c r="F34" s="7" t="str">
        <x:v>図面検索・見積・調達</x:v>
      </x:c>
      <x:c r="G34" s="7" t="str">
        <x:v>工程管理のAI補助機能</x:v>
      </x:c>
      <x:c r="H34" s="7" t="str">
        <x:v>クラウド工程管理とAI類似図面検索・自動見積機能</x:v>
      </x:c>
      <x:c r="I34" s="7" t="str">
        <x:v>図面等。原価・学習データ範囲は未記載</x:v>
      </x:c>
      <x:c r="J34" s="7" t="str">
        <x:v>AIによる類似図面検索・自動見積を説明</x:v>
      </x:c>
      <x:c r="K34" s="7" t="str">
        <x:v>類似図面・見積支援</x:v>
      </x:c>
      <x:c r="L34" s="7" t="str">
        <x:v>見積の前提・責任・人による確定点は未確認</x:v>
      </x:c>
      <x:c r="M34" s="7" t="str">
        <x:v>2024詳細なし</x:v>
      </x:c>
      <x:c r="N34" s="7" t="str">
        <x:v>2026は図面検索・見積を記載</x:v>
      </x:c>
      <x:c r="O34" s="7" t="str">
        <x:v>2024個別比較不能</x:v>
      </x:c>
      <x:c r="P34" s="7" t="str">
        <x:v>JIMTOF2026公式カタログ掲載・現地未確認</x:v>
      </x:c>
      <x:c r="Q34" s="7" t="str">
        <x:v>2026展示予定・提供段階未確認</x:v>
      </x:c>
      <x:c r="R34" s="7" t="str">
        <x:v>スケジュールの制約・再計画時間・AIの担当範囲は要確認</x:v>
      </x:c>
      <x:c r="S34" s="7" t="str">
        <x:v>EOV-V014-2026-1</x:v>
      </x:c>
      <x:c r="T34" s="7" t="str">
        <x:v>EOV-V014-2026-1: https://www.jimtof.org/search/jp/ESdetails?e=sccKfxE4bYo</x:v>
      </x:c>
      <x:c r="U34" s="7" t="str">
        <x:v>個別タスクの重点整理（従来69カード）</x:v>
      </x:c>
      <x:c r="V34" s="7"/>
      <x:c r="W34" s="7"/>
      <x:c r="X34" s="7"/>
      <x:c r="Y34" s="7"/>
      <x:c r="Z34" s="7"/>
      <x:c r="AA34" s="7"/>
      <x:c r="AB34" s="7"/>
    </x:row>
    <x:row r="35" ht="170" customHeight="1">
      <x:c r="A35" s="7" t="str">
        <x:v>FC029</x:v>
      </x:c>
      <x:c r="B35" s="20" t="str">
        <x:v>ソフィックス</x:v>
      </x:c>
      <x:c r="C35" s="7" t="str">
        <x:v>SOFIXCAN Ω Eye</x:v>
      </x:c>
      <x:c r="D35" s="7" t="str">
        <x:v>E1067</x:v>
      </x:c>
      <x:c r="E35" s="7" t="str">
        <x:v>工場運用DX
自動化
AI実装・連携基盤</x:v>
      </x:c>
      <x:c r="F35" s="7" t="str">
        <x:v>異機種・旧設備の接続</x:v>
      </x:c>
      <x:c r="G35" s="7" t="str">
        <x:v>古い機械の操作パネル前</x:v>
      </x:c>
      <x:c r="H35" s="7" t="str">
        <x:v>カメラによる後付け観測</x:v>
      </x:c>
      <x:c r="I35" s="7" t="str">
        <x:v>ランプ・文字・各種メーター画像</x:v>
      </x:c>
      <x:c r="J35" s="7" t="str">
        <x:v>画像から数値・状態を読みModbus等でPLCへ書込み</x:v>
      </x:c>
      <x:c r="K35" s="7" t="str">
        <x:v>既設機の稼働情報</x:v>
      </x:c>
      <x:c r="L35" s="7" t="str">
        <x:v>読取誤り・画像品質・PLC書込み先の確認が必要</x:v>
      </x:c>
      <x:c r="M35" s="7" t="str">
        <x:v>メーター読取自動連係を掲載</x:v>
      </x:c>
      <x:c r="N35" s="7" t="str">
        <x:v>Ω Eyeと読取対象・連携方法を具体化</x:v>
      </x:c>
      <x:c r="O35" s="7" t="str">
        <x:v>2026具体化・機能差未確定</x:v>
      </x:c>
      <x:c r="P35" s="7" t="str">
        <x:v>JIMTOF2026公式カタログ掲載・現地未確認</x:v>
      </x:c>
      <x:c r="Q35" s="7" t="str">
        <x:v>2026展示予定・提供段階未確認</x:v>
      </x:c>
      <x:c r="R35" s="7" t="str">
        <x:v>ミニ工場デモを商用の無人自律工場実績と同一視しない</x:v>
      </x:c>
      <x:c r="S35" s="7" t="str">
        <x:v>EOV-V015-2024-1
EOV-V015-2026-1</x:v>
      </x:c>
      <x:c r="T35" s="7" t="str">
        <x:v>EOV-V015-2024-1: https://www.jimtof.org/2024/search/jp/ESdetails?e=WNiUW-E-atY
EOV-V015-2026-1: https://www.jimtof.org/search/jp/ESdetails?e=rYRhOM0muPQ</x:v>
      </x:c>
      <x:c r="U35" s="7" t="str">
        <x:v>個別タスクの重点整理（従来69カード）</x:v>
      </x:c>
      <x:c r="V35" s="7"/>
      <x:c r="W35" s="7"/>
      <x:c r="X35" s="7"/>
      <x:c r="Y35" s="7"/>
      <x:c r="Z35" s="7"/>
      <x:c r="AA35" s="7"/>
      <x:c r="AB35" s="7"/>
    </x:row>
    <x:row r="36" ht="170" customHeight="1">
      <x:c r="A36" s="7" t="str">
        <x:v>FC030</x:v>
      </x:c>
      <x:c r="B36" s="20" t="str">
        <x:v>ソフィックス</x:v>
      </x:c>
      <x:c r="C36" s="7" t="str">
        <x:v>SOFIXCAN Fleeter＋AI Forecast：ミニ工場</x:v>
      </x:c>
      <x:c r="D36" s="7" t="str">
        <x:v>E1067</x:v>
      </x:c>
      <x:c r="E36" s="7" t="str">
        <x:v>検査・診断・予測AI
工場運用DX
自動化
自律化
AI実装・連携基盤</x:v>
      </x:c>
      <x:c r="F36" s="7" t="str">
        <x:v>工場内搬送</x:v>
      </x:c>
      <x:c r="G36" s="7" t="str">
        <x:v>複数機器・搬送の連携フレームワーク</x:v>
      </x:c>
      <x:c r="H36" s="7" t="str">
        <x:v>搬送機器。ロボット構成は未特定</x:v>
      </x:c>
      <x:c r="I36" s="7" t="str">
        <x:v>設備の加工／稼働時系列・画像。搬送側は上位システムの命令</x:v>
      </x:c>
      <x:c r="J36" s="7" t="str">
        <x:v>AI Forecastは時系列・形状領域を予測。予測を生産計画変更に使う実装は未確認</x:v>
      </x:c>
      <x:c r="K36" s="7" t="str">
        <x:v>Fleeterは上位命令をトリガーにAMR・アーム・PLC等を制御。AI予測が直接搬送を決めると推測しない</x:v>
      </x:c>
      <x:c r="L36" s="7" t="str">
        <x:v>事前準備：公式：顧客向け予測システム・機器通信モジュールの開発を行う／承認：未記載：予測案から設備指令に移す許可・承認、現場の変更権限／例外対応：未記載：通信切断・予測外・搬送失敗での自動復帰と人への通知</x:v>
      </x:c>
      <x:c r="M36" s="7" t="str">
        <x:v>メーター読取、切粉除去、AI熱変位補正を掲載</x:v>
      </x:c>
      <x:c r="N36" s="7" t="str">
        <x:v>2026は連携するミニ工場展示</x:v>
      </x:c>
      <x:c r="O36" s="7" t="str">
        <x:v>対象・構成・要素の追加記載</x:v>
      </x:c>
      <x:c r="P36" s="7" t="str">
        <x:v>JIMTOF2026公式カタログ掲載・現地未確認</x:v>
      </x:c>
      <x:c r="Q36" s="7" t="str">
        <x:v>ミニ工場の展示デモ予定・商用無人工場実績ではない</x:v>
      </x:c>
      <x:c r="R36" s="7" t="str">
        <x:v>2025国際ロボット展でもFleeterミニ工場を予告。ミニ工場そのものを2026新登場としない 現地質問：ミニ工場デモを商用の無人自律工場実績と同一視しない</x:v>
      </x:c>
      <x:c r="S36" s="7" t="str">
        <x:v>EOV-V015-2024-1
EOV-V015-2026-1
EDP-21
EDP-22
EDP-23</x:v>
      </x:c>
      <x:c r="T36" s="7" t="str">
        <x:v>EOV-V015-2024-1: https://www.jimtof.org/2024/search/jp/ESdetails?e=WNiUW-E-atY
EOV-V015-2026-1: https://www.jimtof.org/search/jp/ESdetails?e=rYRhOM0muPQ
EDP-21: https://www.sofix.co.jp/products/sofixcan_ai_forecast/
EDP-22: https://www.sofix.co.jp/products/sofixcan_fleeter/
EDP-23: https://www.sofix.co.jp/</x:v>
      </x:c>
      <x:c r="U36" s="7" t="str">
        <x:v>個別タスクの重点整理（従来69カード）</x:v>
      </x:c>
      <x:c r="V36" s="7" t="str">
        <x:v>予測AIライブラリと搬送実行基盤</x:v>
      </x:c>
      <x:c r="W36" s="7" t="str">
        <x:v>AI Forecastは時系列・形状領域を予測。予測を生産計画変更に使う実装は未確認</x:v>
      </x:c>
      <x:c r="X36" s="7" t="str">
        <x:v>Fleeterは上位命令をトリガーにAMR・アーム・PLC等を制御。AI予測が直接搬送を決めると推測しない</x:v>
      </x:c>
      <x:c r="Y36" s="7" t="str">
        <x:v>公式：顧客向け予測システム・機器通信モジュールの開発を行う</x:v>
      </x:c>
      <x:c r="Z36" s="7" t="str">
        <x:v>未記載：予測案から設備指令に移す許可・承認、現場の変更権限</x:v>
      </x:c>
      <x:c r="AA36" s="7" t="str">
        <x:v>未記載：通信切断・予測外・搬送失敗での自動復帰と人への通知</x:v>
      </x:c>
      <x:c r="AB36" s="7" t="str">
        <x:v>2025国際ロボット展でもFleeterミニ工場を予告。ミニ工場そのものを2026新登場としない</x:v>
      </x:c>
    </x:row>
    <x:row r="37" ht="170" customHeight="1">
      <x:c r="A37" s="7" t="str">
        <x:v>FC031</x:v>
      </x:c>
      <x:c r="B37" s="20" t="str">
        <x:v>パナソニックプロダクションエンジニアリング</x:v>
      </x:c>
      <x:c r="C37" s="7" t="str">
        <x:v>X-Area Remote</x:v>
      </x:c>
      <x:c r="D37" s="7" t="str">
        <x:v>W3086</x:v>
      </x:c>
      <x:c r="E37" s="7" t="str">
        <x:v>工場運用DX</x:v>
      </x:c>
      <x:c r="F37" s="7" t="str">
        <x:v>遠隔操作・例外対応</x:v>
      </x:c>
      <x:c r="G37" s="7" t="str">
        <x:v>複数設備・ロボットの遠隔管制</x:v>
      </x:c>
      <x:c r="H37" s="7" t="str">
        <x:v>搬送ロボット等＋遠隔操作端末</x:v>
      </x:c>
      <x:c r="I37" s="7" t="str">
        <x:v>ロボット・設備状態、障害物停止、前後左右の車載カメラ映像</x:v>
      </x:c>
      <x:c r="J37" s="7" t="str">
        <x:v>公式にAI支援型とするが、確認資料ではAIが決める経路・操作量の具体範囲は未説明</x:v>
      </x:c>
      <x:c r="K37" s="7" t="str">
        <x:v>通常はeve auto自動運転。障害物で停止したら人がX-Area Remoteへ切替えて回避操作</x:v>
      </x:c>
      <x:c r="L37" s="7" t="str">
        <x:v>事前準備：公式実証：eve autoへカメラと車載コンピューターを搭載／承認：公式：ENEOSの運行担当者がオフィスから回避操作。完全無人の例外復帰とは別／例外対応：公式：想定外の工事車両で停止した際に人が遠隔介入。実証にはセーフティドライバーが搭乗</x:v>
      </x:c>
      <x:c r="M37" s="7" t="str">
        <x:v>2024詳細なし。2022年に工場内けん引車の実証あり</x:v>
      </x:c>
      <x:c r="N37" s="7" t="str">
        <x:v>2026年7月の公式実証で、障害物停止後に人が遠隔回避する運用と車載構成を具体確認。JIMTOFは遠隔管制を展示予定。</x:v>
      </x:c>
      <x:c r="O37" s="7" t="str">
        <x:v>2024個別比較不能</x:v>
      </x:c>
      <x:c r="P37" s="7" t="str">
        <x:v>JIMTOF2026公式カタログ掲載・現地未確認</x:v>
      </x:c>
      <x:c r="Q37" s="7" t="str">
        <x:v>既存サービス方式確認・2026展示予定</x:v>
      </x:c>
      <x:c r="R37" s="7" t="str">
        <x:v>屋外物流の2026/7実証とJIMTOF展示版は区別。AI支援の具体方式、通信断・安全条件は未確認 現地質問：通常時の監視台数、介入頻度、遠隔で復帰できないエラーと通信断時の処理。</x:v>
      </x:c>
      <x:c r="S37" s="7" t="str">
        <x:v>EOV-V016-2026-1
EOV-W05
EOV-W09
EDP-24</x:v>
      </x:c>
      <x:c r="T37" s="7" t="str">
        <x:v>EOV-V016-2026-1: https://www.jimtof.org/search/jp/ESdetails?e=5mrMofo3nN8
EOV-W05: https://www.panasonic.com/jp/company/ppe/products/x-area.html
EOV-W09: https://tech.panasonic.com/jp/td/news/20221124.html
EDP-24: https://news.panasonic.com/jp/press/jn260713-1</x:v>
      </x:c>
      <x:c r="U37" s="7" t="str">
        <x:v>個別タスクの重点整理（従来69カード）</x:v>
      </x:c>
      <x:c r="V37" s="7" t="str">
        <x:v>人の遠隔対応を支援・AI判断の内訳未公開</x:v>
      </x:c>
      <x:c r="W37" s="7" t="str">
        <x:v>公式にAI支援型とするが、確認資料ではAIが決める経路・操作量の具体範囲は未説明</x:v>
      </x:c>
      <x:c r="X37" s="7" t="str">
        <x:v>通常はeve auto自動運転。障害物で停止したら人がX-Area Remoteへ切替えて回避操作</x:v>
      </x:c>
      <x:c r="Y37" s="7" t="str">
        <x:v>公式実証：eve autoへカメラと車載コンピューターを搭載</x:v>
      </x:c>
      <x:c r="Z37" s="7" t="str">
        <x:v>公式：ENEOSの運行担当者がオフィスから回避操作。完全無人の例外復帰とは別</x:v>
      </x:c>
      <x:c r="AA37" s="7" t="str">
        <x:v>公式：想定外の工事車両で停止した際に人が遠隔介入。実証にはセーフティドライバーが搭乗</x:v>
      </x:c>
      <x:c r="AB37" s="7" t="str">
        <x:v>屋外物流の2026/7実証とJIMTOF展示版は区別。AI支援の具体方式、通信断・安全条件は未確認</x:v>
      </x:c>
    </x:row>
    <x:row r="38" ht="170" customHeight="1">
      <x:c r="A38" s="7" t="str">
        <x:v>FC032</x:v>
      </x:c>
      <x:c r="B38" s="20" t="str">
        <x:v>ミツトヨ</x:v>
      </x:c>
      <x:c r="C38" s="7" t="str">
        <x:v>自動測定／MiCAT Planner・MiBOT系</x:v>
      </x:c>
      <x:c r="D38" s="7" t="str">
        <x:v>E7085</x:v>
      </x:c>
      <x:c r="E38" s="7" t="str">
        <x:v>設計・製造DX
自動化</x:v>
      </x:c>
      <x:c r="F38" s="7" t="str">
        <x:v>寸法・形状計測</x:v>
      </x:c>
      <x:c r="G38" s="7" t="str">
        <x:v>三次元測定・計測プラットフォーム</x:v>
      </x:c>
      <x:c r="H38" s="7" t="str">
        <x:v>ロボット連携測定。2026の個別構成は要確認</x:v>
      </x:c>
      <x:c r="I38" s="7" t="str">
        <x:v>CAD・測定対象・測定結果</x:v>
      </x:c>
      <x:c r="J38" s="7" t="str">
        <x:v>測定プログラム作成と測定作業を自動化</x:v>
      </x:c>
      <x:c r="K38" s="7" t="str">
        <x:v>測定結果・品質情報</x:v>
      </x:c>
      <x:c r="L38" s="7" t="str">
        <x:v>計測から加工補正への全機種接続は未確認</x:v>
      </x:c>
      <x:c r="M38" s="7" t="str">
        <x:v>MiBOT・MiCAT Planner等を掲載</x:v>
      </x:c>
      <x:c r="N38" s="7" t="str">
        <x:v>計測データ活用・プラットフォームを強調</x:v>
      </x:c>
      <x:c r="O38" s="7" t="str">
        <x:v>2024から継続</x:v>
      </x:c>
      <x:c r="P38" s="7" t="str">
        <x:v>JIMTOF2026公式カタログ掲載・現地未確認</x:v>
      </x:c>
      <x:c r="Q38" s="7" t="str">
        <x:v>2026展示予定・提供段階未確認</x:v>
      </x:c>
      <x:c r="R38" s="7" t="str">
        <x:v>計測から機械への自動補正の全機種対応は未確認</x:v>
      </x:c>
      <x:c r="S38" s="7" t="str">
        <x:v>EOV-V017-2024-1
EOV-V017-2026-1</x:v>
      </x:c>
      <x:c r="T38" s="7" t="str">
        <x:v>EOV-V017-2024-1: https://www.jimtof.org/2024/search/jp/ESdetails?e=1CDoltPa9rk
EOV-V017-2026-1: https://www.jimtof.org/search/jp/ESdetails?e=a7y3JtW8DXM</x:v>
      </x:c>
      <x:c r="U38" s="7" t="str">
        <x:v>個別タスクの重点整理（従来69カード）</x:v>
      </x:c>
      <x:c r="V38" s="7"/>
      <x:c r="W38" s="7"/>
      <x:c r="X38" s="7"/>
      <x:c r="Y38" s="7"/>
      <x:c r="Z38" s="7"/>
      <x:c r="AA38" s="7"/>
      <x:c r="AB38" s="7"/>
    </x:row>
    <x:row r="39" ht="170" customHeight="1">
      <x:c r="A39" s="7" t="str">
        <x:v>FC033</x:v>
      </x:c>
      <x:c r="B39" s="20" t="str">
        <x:v>レニショー</x:v>
      </x:c>
      <x:c r="C39" s="7" t="str">
        <x:v>Renishaw Central＋IPC</x:v>
      </x:c>
      <x:c r="D39" s="7" t="str">
        <x:v>E7089</x:v>
      </x:c>
      <x:c r="E39" s="7" t="str">
        <x:v>工場運用DX
自動化</x:v>
      </x:c>
      <x:c r="F39" s="7" t="str">
        <x:v>測定から加工へ補正</x:v>
      </x:c>
      <x:c r="G39" s="7" t="str">
        <x:v>測定機・工作機械→Central→制御装置</x:v>
      </x:c>
      <x:c r="H39" s="7" t="str">
        <x:v>プローブ／ゲージと工作機械</x:v>
      </x:c>
      <x:c r="I39" s="7" t="str">
        <x:v>計測、装置状態、アラーム</x:v>
      </x:c>
      <x:c r="J39" s="7" t="str">
        <x:v>IPCで工具オフセットや機械変数を更新</x:v>
      </x:c>
      <x:c r="K39" s="7" t="str">
        <x:v>加工へのクローズドループ補正</x:v>
      </x:c>
      <x:c r="L39" s="7" t="str">
        <x:v>機種接続・計測不確かさ・補正上限は要確認</x:v>
      </x:c>
      <x:c r="M39" s="7" t="str">
        <x:v>Centralを掲載済み</x:v>
      </x:c>
      <x:c r="N39" s="7" t="str">
        <x:v>Centralを継続。新プローブ等を追加掲載</x:v>
      </x:c>
      <x:c r="O39" s="7" t="str">
        <x:v>2024から継続</x:v>
      </x:c>
      <x:c r="P39" s="7" t="str">
        <x:v>JIMTOF2026公式カタログ掲載・現地未確認</x:v>
      </x:c>
      <x:c r="Q39" s="7" t="str">
        <x:v>既存方式・メーカー自社工場事例あり</x:v>
      </x:c>
      <x:c r="R39" s="7" t="str">
        <x:v>どの寸法がどのオフセットを変えるか。誤計測時の補正抑止と顧客実績を確認する。</x:v>
      </x:c>
      <x:c r="S39" s="7" t="str">
        <x:v>EOV-V018-2024-1
EOV-V018-2026-1
EOV-W03</x:v>
      </x:c>
      <x:c r="T39" s="7" t="str">
        <x:v>EOV-V018-2024-1: https://www.jimtof.org/2024/search/jp/ESdetails?e=ekM3exgIAtc
EOV-V018-2026-1: https://www.jimtof.org/search/jp/ESdetails?e=pYGmVz5GC1c
EOV-W03: https://www.renishaw.com/jp/smart-manufacturing-data-platform-for-industrial-process-control--47853</x:v>
      </x:c>
      <x:c r="U39" s="7" t="str">
        <x:v>個別タスクの重点整理（従来69カード）</x:v>
      </x:c>
      <x:c r="V39" s="7"/>
      <x:c r="W39" s="7"/>
      <x:c r="X39" s="7"/>
      <x:c r="Y39" s="7"/>
      <x:c r="Z39" s="7"/>
      <x:c r="AA39" s="7"/>
      <x:c r="AB39" s="7"/>
    </x:row>
    <x:row r="40" ht="170" customHeight="1">
      <x:c r="A40" s="7" t="str">
        <x:v>FC034</x:v>
      </x:c>
      <x:c r="B40" s="20" t="str">
        <x:v>ブルーム-ノボテスト</x:v>
      </x:c>
      <x:c r="C40" s="7" t="str">
        <x:v>FormControl X／DIGILOG</x:v>
      </x:c>
      <x:c r="D40" s="7" t="str">
        <x:v>E7084</x:v>
      </x:c>
      <x:c r="E40" s="7" t="str">
        <x:v>自動化</x:v>
      </x:c>
      <x:c r="F40" s="7" t="str">
        <x:v>寸法・形状計測</x:v>
      </x:c>
      <x:c r="G40" s="7" t="str">
        <x:v>工作機械内の形状・工具計測</x:v>
      </x:c>
      <x:c r="H40" s="7" t="str">
        <x:v>機上プローブ／レーザ工具測定</x:v>
      </x:c>
      <x:c r="I40" s="7" t="str">
        <x:v>ワーク形状・工具の測定値</x:v>
      </x:c>
      <x:c r="J40" s="7" t="str">
        <x:v>機上3D測定、工具計測・欠け検知・補正</x:v>
      </x:c>
      <x:c r="K40" s="7" t="str">
        <x:v>機外への移動を抑える測定・補正</x:v>
      </x:c>
      <x:c r="L40" s="7" t="str">
        <x:v>熱状態・校正・機種適合の限界は未確認</x:v>
      </x:c>
      <x:c r="M40" s="7" t="str">
        <x:v>FormControl X、LC50 DIGILOGの機上計測・補正を掲載</x:v>
      </x:c>
      <x:c r="N40" s="7" t="str">
        <x:v>LC54、GrindingControlを追加掲載</x:v>
      </x:c>
      <x:c r="O40" s="7" t="str">
        <x:v>2024から継続</x:v>
      </x:c>
      <x:c r="P40" s="7" t="str">
        <x:v>JIMTOF2026公式カタログ掲載・現地未確認</x:v>
      </x:c>
      <x:c r="Q40" s="7" t="str">
        <x:v>2026展示予定・提供段階未確認</x:v>
      </x:c>
      <x:c r="R40" s="7" t="str">
        <x:v>同名ソフトの継続掲載を大幅進化と解釈しない</x:v>
      </x:c>
      <x:c r="S40" s="7" t="str">
        <x:v>EOV-V019-2024-1
EOV-V019-2026-1</x:v>
      </x:c>
      <x:c r="T40" s="7" t="str">
        <x:v>EOV-V019-2024-1: https://www.jimtof.org/2024/search/jp/ESdetails?e=Zz8BlB0Ylio
EOV-V019-2026-1: https://www.jimtof.org/search/jp/ESdetails?e=_njqMb9vBpc</x:v>
      </x:c>
      <x:c r="U40" s="7" t="str">
        <x:v>個別タスクの重点整理（従来69カード）</x:v>
      </x:c>
      <x:c r="V40" s="7"/>
      <x:c r="W40" s="7"/>
      <x:c r="X40" s="7"/>
      <x:c r="Y40" s="7"/>
      <x:c r="Z40" s="7"/>
      <x:c r="AA40" s="7"/>
      <x:c r="AB40" s="7"/>
    </x:row>
    <x:row r="41" ht="170" customHeight="1">
      <x:c r="A41" s="7" t="str">
        <x:v>FC035</x:v>
      </x:c>
      <x:c r="B41" s="20" t="str">
        <x:v>マーポス</x:v>
      </x:c>
      <x:c r="C41" s="7" t="str">
        <x:v>ARTIS／BLU／VTS</x:v>
      </x:c>
      <x:c r="D41" s="7" t="str">
        <x:v>E7087</x:v>
      </x:c>
      <x:c r="E41" s="7" t="str">
        <x:v>工場運用DX
自動化</x:v>
      </x:c>
      <x:c r="F41" s="7" t="str">
        <x:v>加工信号解析</x:v>
      </x:c>
      <x:c r="G41" s="7" t="str">
        <x:v>加工機・研削工程の監視・計測</x:v>
      </x:c>
      <x:c r="H41" s="7" t="str">
        <x:v>センサ・測定システム</x:v>
      </x:c>
      <x:c r="I41" s="7" t="str">
        <x:v>加工・工具・研削の計測信号</x:v>
      </x:c>
      <x:c r="J41" s="7" t="str">
        <x:v>工具・工程監視と機上計測</x:v>
      </x:c>
      <x:c r="K41" s="7" t="str">
        <x:v>状態監視・品質制御の支援</x:v>
      </x:c>
      <x:c r="L41" s="7" t="str">
        <x:v>個別の閾値・AI使用・自動停止や補正範囲は未確認</x:v>
      </x:c>
      <x:c r="M41" s="7" t="str">
        <x:v>ARTIS等の監視・計測群を掲載</x:v>
      </x:c>
      <x:c r="N41" s="7" t="str">
        <x:v>同名群を継続しスキルレス化を訴求</x:v>
      </x:c>
      <x:c r="O41" s="7" t="str">
        <x:v>2024から継続</x:v>
      </x:c>
      <x:c r="P41" s="7" t="str">
        <x:v>JIMTOF2026公式カタログ掲載・現地未確認</x:v>
      </x:c>
      <x:c r="Q41" s="7" t="str">
        <x:v>2026展示予定・提供段階未確認</x:v>
      </x:c>
      <x:c r="R41" s="7" t="str">
        <x:v>全体の新規方式・性能差は比較不能</x:v>
      </x:c>
      <x:c r="S41" s="7" t="str">
        <x:v>EOV-V020-2024-1
EOV-V020-2026-1</x:v>
      </x:c>
      <x:c r="T41" s="7" t="str">
        <x:v>EOV-V020-2024-1: https://www.jimtof.org/2024/search/jp/ESdetails?e=K8FKaawJkn0
EOV-V020-2026-1: https://www.jimtof.org/search/jp/ESdetails?e=tThKOA-gm8s</x:v>
      </x:c>
      <x:c r="U41" s="7" t="str">
        <x:v>個別タスクの重点整理（従来69カード）</x:v>
      </x:c>
      <x:c r="V41" s="7"/>
      <x:c r="W41" s="7"/>
      <x:c r="X41" s="7"/>
      <x:c r="Y41" s="7"/>
      <x:c r="Z41" s="7"/>
      <x:c r="AA41" s="7"/>
      <x:c r="AB41" s="7"/>
    </x:row>
    <x:row r="42" ht="170" customHeight="1">
      <x:c r="A42" s="7" t="str">
        <x:v>FC036</x:v>
      </x:c>
      <x:c r="B42" s="20" t="str">
        <x:v>HACARUS</x:v>
      </x:c>
      <x:c r="C42" s="7" t="str">
        <x:v>HACARUS Check ZERO</x:v>
      </x:c>
      <x:c r="D42" s="7" t="str">
        <x:v>S1031</x:v>
      </x:c>
      <x:c r="E42" s="7" t="str">
        <x:v>検査・診断・予測AI
自動化</x:v>
      </x:c>
      <x:c r="F42" s="7" t="str">
        <x:v>外観検査</x:v>
      </x:c>
      <x:c r="G42" s="7" t="str">
        <x:v>外観検査AIソフトウェア／日東商事ブース</x:v>
      </x:c>
      <x:c r="H42" s="7" t="str">
        <x:v>カメラ画像を扱うAI。ロボット必須ではない</x:v>
      </x:c>
      <x:c r="I42" s="7" t="str">
        <x:v>少量の良品画像、運用後に人が付ける良品／不良品のアノテーション</x:v>
      </x:c>
      <x:c r="J42" s="7" t="str">
        <x:v>良品との差による異常検出。見逃した欠陥・過検出した良品を追加学習して判定を調整</x:v>
      </x:c>
      <x:c r="K42" s="7" t="str">
        <x:v>検査画像の良否・異常箇所を表示。ロボットによる多面撮像は別のハード構成</x:v>
      </x:c>
      <x:c r="L42" s="7" t="str">
        <x:v>事前準備：公式：良品画像を準備し、対象に合う撮像ハードを構成／承認：公式：人が良否アノテーションを追加。更新モデルの採用承認、独立評価・旧版への差戻し、最終出荷判定は未記載／例外対応：公式：見逃しと過検出の両面から追加学習。限界例・停止条件は未確認</x:v>
      </x:c>
      <x:c r="M42" s="7" t="str">
        <x:v>2024同名出展詳細なし。ただし2025/7/7の公式発表は、従来Check AIの少量良品学習を基準に、ZEROの追加学習機能を新搭載と説明。</x:v>
      </x:c>
      <x:c r="N42" s="7" t="str">
        <x:v>2026で良品学習と追加調整を説明</x:v>
      </x:c>
      <x:c r="O42" s="7" t="str">
        <x:v>2025の製品・機能追加を確認</x:v>
      </x:c>
      <x:c r="P42" s="7" t="str">
        <x:v>JIMTOF2026公式カタログ掲載・現地未確認</x:v>
      </x:c>
      <x:c r="Q42" s="7" t="str">
        <x:v>2025年7月9日販売開始の既存製品。2026展示予定</x:v>
      </x:c>
      <x:c r="R42" s="7" t="str">
        <x:v>見逃しゼロ・過検出ゼロは目標。全対象での保証ではない 現地質問は追補の確認表を参照。</x:v>
      </x:c>
      <x:c r="S42" s="7" t="str">
        <x:v>EOV-V021-2026-1
EOV-W06
EDP-14
EDP-15
ERF-05</x:v>
      </x:c>
      <x:c r="T42" s="7" t="str">
        <x:v>EOV-V021-2026-1: https://www.jimtof.org/search/jp/ESdetails?e=oatArsOZ-Wc
EOV-W06: https://hacarus.com/ja/technology/hacarus-check-series/
EDP-14: https://hacarus.com/ja/press-release/20250707-news/
EDP-15: https://check.hacarus.com/ja/
ERF-05: https://check.hacarus.com/ja/aisoftware/</x:v>
      </x:c>
      <x:c r="U42" s="7" t="str">
        <x:v>個別タスクの重点整理（従来69カード）</x:v>
      </x:c>
      <x:c r="V42" s="7" t="str">
        <x:v>良品学習と人の追加ラベルによる外観判定</x:v>
      </x:c>
      <x:c r="W42" s="7" t="str">
        <x:v>良品との差による異常検出。見逃した欠陥・過検出した良品を追加学習して判定を調整</x:v>
      </x:c>
      <x:c r="X42" s="7" t="str">
        <x:v>検査画像の良否・異常箇所を表示。ロボットによる多面撮像は別のハード構成</x:v>
      </x:c>
      <x:c r="Y42" s="7" t="str">
        <x:v>公式：良品画像を準備し、対象に合う撮像ハードを構成</x:v>
      </x:c>
      <x:c r="Z42" s="7" t="str">
        <x:v>公式：人が良否アノテーションを追加。更新モデルの採用承認、独立評価・旧版への差戻し、最終出荷判定は未記載</x:v>
      </x:c>
      <x:c r="AA42" s="7" t="str">
        <x:v>公式：見逃しと過検出の両面から追加学習。限界例・停止条件は未確認</x:v>
      </x:c>
      <x:c r="AB42" s="7" t="str">
        <x:v>見逃しゼロ・過検出ゼロは目標。全対象での保証ではない</x:v>
      </x:c>
    </x:row>
    <x:row r="43" ht="170" customHeight="1">
      <x:c r="A43" s="7" t="str">
        <x:v>FC037</x:v>
      </x:c>
      <x:c r="B43" s="20" t="str">
        <x:v>日東商事</x:v>
      </x:c>
      <x:c r="C43" s="7" t="str">
        <x:v>HACARUS Check：協働ロボット多面検査</x:v>
      </x:c>
      <x:c r="D43" s="7" t="str">
        <x:v>S1031</x:v>
      </x:c>
      <x:c r="E43" s="7" t="str">
        <x:v>検査・診断・予測AI
自動化</x:v>
      </x:c>
      <x:c r="F43" s="7" t="str">
        <x:v>外観検査</x:v>
      </x:c>
      <x:c r="G43" s="7" t="str">
        <x:v>検査セル</x:v>
      </x:c>
      <x:c r="H43" s="7" t="str">
        <x:v>協働ロボット＋カメラ＋照明。機種・姿勢生成方式未確認</x:v>
      </x:c>
      <x:c r="I43" s="7" t="str">
        <x:v>ワークの側面・裏面等の画像</x:v>
      </x:c>
      <x:c r="J43" s="7" t="str">
        <x:v>ロボットで多角度撮像しAIでキズ・欠け等を判定</x:v>
      </x:c>
      <x:c r="K43" s="7" t="str">
        <x:v>立体物の多面外観検査</x:v>
      </x:c>
      <x:c r="L43" s="7" t="str">
        <x:v>姿勢教示・撮像順序・再撮像・不良排出の権限は未確認</x:v>
      </x:c>
      <x:c r="M43" s="7" t="str">
        <x:v>日東商事は放電加工機2機種を紹介</x:v>
      </x:c>
      <x:c r="N43" s="7" t="str">
        <x:v>AI検査システムと協働ロボットによる多面撮像を追加</x:v>
      </x:c>
      <x:c r="O43" s="7" t="str">
        <x:v>担当タスクの追加記載</x:v>
      </x:c>
      <x:c r="P43" s="7" t="str">
        <x:v>JIMTOF2026公式カタログ掲載・現地未確認</x:v>
      </x:c>
      <x:c r="Q43" s="7" t="str">
        <x:v>2026展示予定・提供段階未確認</x:v>
      </x:c>
      <x:c r="R43" s="7" t="str">
        <x:v>ロボットのタスクは撮像のための姿勢変更。AIが動作も生成するのか、固定教示かを区別する。</x:v>
      </x:c>
      <x:c r="S43" s="7" t="str">
        <x:v>EOV-V022-2024-1
EOV-V022-2026-1</x:v>
      </x:c>
      <x:c r="T43" s="7" t="str">
        <x:v>EOV-V022-2024-1: https://www.jimtof.org/2024/search/jp/ESdetails?e=S23RMUbJOQs
EOV-V022-2026-1: https://www.jimtof.org/search/jp/ESdetails?e=GozGZRxlviw</x:v>
      </x:c>
      <x:c r="U43" s="7" t="str">
        <x:v>個別タスクの重点整理（従来69カード）</x:v>
      </x:c>
      <x:c r="V43" s="7"/>
      <x:c r="W43" s="7"/>
      <x:c r="X43" s="7"/>
      <x:c r="Y43" s="7"/>
      <x:c r="Z43" s="7"/>
      <x:c r="AA43" s="7"/>
      <x:c r="AB43" s="7"/>
    </x:row>
    <x:row r="44" ht="170" customHeight="1">
      <x:c r="A44" s="7" t="str">
        <x:v>FC038</x:v>
      </x:c>
      <x:c r="B44" s="20" t="str">
        <x:v>ハイデンハイン</x:v>
      </x:c>
      <x:c r="C44" s="7" t="str">
        <x:v>VT122＋VTC 6.0</x:v>
      </x:c>
      <x:c r="D44" s="7" t="str">
        <x:v>E7043</x:v>
      </x:c>
      <x:c r="E44" s="7" t="str">
        <x:v>検査・診断・予測AI
自動化</x:v>
      </x:c>
      <x:c r="F44" s="7" t="str">
        <x:v>刃先・摩耗判定</x:v>
      </x:c>
      <x:c r="G44" s="7" t="str">
        <x:v>工作機械の工具ビジョン検査</x:v>
      </x:c>
      <x:c r="H44" s="7" t="str">
        <x:v>工具撮像・解析システム</x:v>
      </x:c>
      <x:c r="I44" s="7" t="str">
        <x:v>工具画像</x:v>
      </x:c>
      <x:c r="J44" s="7" t="str">
        <x:v>VTC 6.0のAI摩耗診断・工具長機能</x:v>
      </x:c>
      <x:c r="K44" s="7" t="str">
        <x:v>摩耗状態の診断・工具検査</x:v>
      </x:c>
      <x:c r="L44" s="7" t="str">
        <x:v>交換指示・自動交換までの接続は未確認</x:v>
      </x:c>
      <x:c r="M44" s="7" t="str">
        <x:v>VT122工具検査を掲載</x:v>
      </x:c>
      <x:c r="N44" s="7" t="str">
        <x:v>AI摩耗診断と工具長機能を明記</x:v>
      </x:c>
      <x:c r="O44" s="7" t="str">
        <x:v>担当タスクの追加記載</x:v>
      </x:c>
      <x:c r="P44" s="7" t="str">
        <x:v>JIMTOF2026公式カタログ掲載・現地未確認</x:v>
      </x:c>
      <x:c r="Q44" s="7" t="str">
        <x:v>2026展示予定・提供段階未確認</x:v>
      </x:c>
      <x:c r="R44" s="7" t="str">
        <x:v>判定精度・対応工具・交換判断への接続は未確認</x:v>
      </x:c>
      <x:c r="S44" s="7" t="str">
        <x:v>EOV-V023-2024-1
EOV-V023-2026-1</x:v>
      </x:c>
      <x:c r="T44" s="7" t="str">
        <x:v>EOV-V023-2024-1: https://www.jimtof.org/2024/search/jp/ESdetails?e=GFSwCXSxe9o
EOV-V023-2026-1: https://www.jimtof.org/search/jp/ESdetails?e=iohDR5yR9VA</x:v>
      </x:c>
      <x:c r="U44" s="7" t="str">
        <x:v>個別タスクの重点整理（従来69カード）</x:v>
      </x:c>
      <x:c r="V44" s="7"/>
      <x:c r="W44" s="7"/>
      <x:c r="X44" s="7"/>
      <x:c r="Y44" s="7"/>
      <x:c r="Z44" s="7"/>
      <x:c r="AA44" s="7"/>
      <x:c r="AB44" s="7"/>
    </x:row>
    <x:row r="45" ht="170" customHeight="1">
      <x:c r="A45" s="7" t="str">
        <x:v>FC039</x:v>
      </x:c>
      <x:c r="B45" s="20" t="str">
        <x:v>モリマシナリー</x:v>
      </x:c>
      <x:c r="C45" s="7" t="str">
        <x:v>ツールコラージュ</x:v>
      </x:c>
      <x:c r="D45" s="7" t="str">
        <x:v>S3048</x:v>
      </x:c>
      <x:c r="E45" s="7" t="str">
        <x:v>検査・診断・予測AI
自動化</x:v>
      </x:c>
      <x:c r="F45" s="7" t="str">
        <x:v>刃先・摩耗判定</x:v>
      </x:c>
      <x:c r="G45" s="7" t="str">
        <x:v>工具を置く撮像・検査装置</x:v>
      </x:c>
      <x:c r="H45" s="7" t="str">
        <x:v>カメラ式工具検査装置</x:v>
      </x:c>
      <x:c r="I45" s="7" t="str">
        <x:v>工具刃先の撮像、ユーザーの判定基準</x:v>
      </x:c>
      <x:c r="J45" s="7" t="str">
        <x:v>刃先の診断箇所を認知し欠け・摩耗を検出する説明</x:v>
      </x:c>
      <x:c r="K45" s="7" t="str">
        <x:v>撮像・AI判定・結果保存。工具を自動交換する動作はこの機能では記載なし</x:v>
      </x:c>
      <x:c r="L45" s="7" t="str">
        <x:v>事前準備：公式：対象工具・寸法と撮像条件の整合が必要。基準学習の手順は要確認／承認：未記載：NG判定を採用する閾値と、最終使用継続の決定者／例外対応：未記載：油汚れ・照明変動・未学習工具・境界摩耗での再判定</x:v>
      </x:c>
      <x:c r="M45" s="7" t="str">
        <x:v>診断箇所自動認知とAI摩耗判定を説明済み</x:v>
      </x:c>
      <x:c r="N45" s="7" t="str">
        <x:v>撮像・AI・判定記録を継続掲載</x:v>
      </x:c>
      <x:c r="O45" s="7" t="str">
        <x:v>2024から継続</x:v>
      </x:c>
      <x:c r="P45" s="7" t="str">
        <x:v>JIMTOF2026公式カタログ掲載・現地未確認</x:v>
      </x:c>
      <x:c r="Q45" s="7" t="str">
        <x:v>2026展示予定・提供段階未確認</x:v>
      </x:c>
      <x:c r="R45" s="7" t="str">
        <x:v>公式FAQに工具種類・径・変位量の制約あり。2024にも判定方式を説明済み 現地質問：寿命予測は2023研究発表にもあり、2026の世界初方式とはしない。ソムリエは資料・動画展示</x:v>
      </x:c>
      <x:c r="S45" s="7" t="str">
        <x:v>EOV-V024-2024-1
EOV-V024-2026-1
EDP-12</x:v>
      </x:c>
      <x:c r="T45" s="7" t="str">
        <x:v>EOV-V024-2024-1: https://www.jimtof.org/2024/search/jp/ESdetails?e=yEoPl5sH6Sg
EOV-V024-2026-1: https://www.jimtof.org/search/jp/ESdetails?e=ZvT3Lci-hnM
EDP-12: https://mori-machinery.com/en/product/tool-sommelier?post_id=1066</x:v>
      </x:c>
      <x:c r="U45" s="7" t="str">
        <x:v>個別タスクの重点整理（従来69カード）</x:v>
      </x:c>
      <x:c r="V45" s="7" t="str">
        <x:v>工具画像の欠け・摩耗判定</x:v>
      </x:c>
      <x:c r="W45" s="7" t="str">
        <x:v>刃先の診断箇所を認知し欠け・摩耗を検出する説明</x:v>
      </x:c>
      <x:c r="X45" s="7" t="str">
        <x:v>撮像・AI判定・結果保存。工具を自動交換する動作はこの機能では記載なし</x:v>
      </x:c>
      <x:c r="Y45" s="7" t="str">
        <x:v>公式：対象工具・寸法と撮像条件の整合が必要。基準学習の手順は要確認</x:v>
      </x:c>
      <x:c r="Z45" s="7" t="str">
        <x:v>未記載：NG判定を採用する閾値と、最終使用継続の決定者</x:v>
      </x:c>
      <x:c r="AA45" s="7" t="str">
        <x:v>未記載：油汚れ・照明変動・未学習工具・境界摩耗での再判定</x:v>
      </x:c>
      <x:c r="AB45" s="7" t="str">
        <x:v>公式FAQに工具種類・径・変位量の制約あり。2024にも判定方式を説明済み</x:v>
      </x:c>
    </x:row>
    <x:row r="46" ht="170" customHeight="1">
      <x:c r="A46" s="7" t="str">
        <x:v>FC040</x:v>
      </x:c>
      <x:c r="B46" s="20" t="str">
        <x:v>モリマシナリー</x:v>
      </x:c>
      <x:c r="C46" s="7" t="str">
        <x:v>ツールコラージュアナライザー</x:v>
      </x:c>
      <x:c r="D46" s="7" t="str">
        <x:v>S3048</x:v>
      </x:c>
      <x:c r="E46" s="7" t="str">
        <x:v>検査・診断・予測AI
工場運用DX
自動化</x:v>
      </x:c>
      <x:c r="F46" s="7" t="str">
        <x:v>工具寿命・交換提案</x:v>
      </x:c>
      <x:c r="G46" s="7" t="str">
        <x:v>工具検査の分析ソフト</x:v>
      </x:c>
      <x:c r="H46" s="7" t="str">
        <x:v>工具検査データを蓄積・学習し寿命・交換時期を分析するソフトウェア</x:v>
      </x:c>
      <x:c r="I46" s="7" t="str">
        <x:v>撮像した摩耗量・工具履歴、熟練者の経験知</x:v>
      </x:c>
      <x:c r="J46" s="7" t="str">
        <x:v>摩耗・寿命を推定し適した交換時期を提案</x:v>
      </x:c>
      <x:c r="K46" s="7" t="str">
        <x:v>解析・提案であり、自動工具交換の指令まで確認できない</x:v>
      </x:c>
      <x:c r="L46" s="7" t="str">
        <x:v>事前準備：分析：工具・材種・加工条件と摩耗の履歴を揃える必要。実際の必要量は未確認／承認：未記載：交換提案の採用基準・責任者。人が承認する設計かを要確認／例外対応：未記載：履歴不足・条件変更・突発欠損を寿命予測から分離する方法</x:v>
      </x:c>
      <x:c r="M46" s="7" t="str">
        <x:v>2024展示は主に欠け・摩耗判定。寿命推定研究は2023にも発表</x:v>
      </x:c>
      <x:c r="N46" s="7" t="str">
        <x:v>2026はアナライザーと寿命・交換提案を具体掲載</x:v>
      </x:c>
      <x:c r="O46" s="7" t="str">
        <x:v>担当タスクの追加記載</x:v>
      </x:c>
      <x:c r="P46" s="7" t="str">
        <x:v>JIMTOF2026公式カタログ掲載・現地未確認</x:v>
      </x:c>
      <x:c r="Q46" s="7" t="str">
        <x:v>2026展示予定・寿命推定研究自体は既存</x:v>
      </x:c>
      <x:c r="R46" s="7" t="str">
        <x:v>2023の研究発表の実証精度・売上目標を、2026製品の実績や市場規模と扱わない 現地質問：寿命予測は2023研究発表にもあり、2026の世界初方式とはしない。ソムリエは資料・動画展示</x:v>
      </x:c>
      <x:c r="S46" s="7" t="str">
        <x:v>EOV-V024-2024-1
EOV-V024-2026-1
EOV-W08</x:v>
      </x:c>
      <x:c r="T46" s="7" t="str">
        <x:v>EOV-V024-2024-1: https://www.jimtof.org/2024/search/jp/ESdetails?e=yEoPl5sH6Sg
EOV-V024-2026-1: https://www.jimtof.org/search/jp/ESdetails?e=ZvT3Lci-hnM
EOV-W08: https://mori-machinery.com/wp-content/uploads/2023/06/%E7%86%9F%E7%B7%B4%E8%80%85%E3%81%AE%E7%B5%8C%E9%A8%93%E7%9F%A5%E3%82%92%E3%82%82%E3%81%A8%E3%81%AB%E5%88%87%E5%89%8A%E5%B7%A5%E5%85%B7%E3%81%AE%E6%AC%A0%E3%81%91%E3%83%BB%E6%91%A9%E8%80%97%E3%83%BB%E5%AF%BF%E5%91%BD%E3%82%92%E6%8E%A8%E5%AE%9A%E3%81%99%E3%82%8BAI%E3%82%92%E9%96%8B%E7%99%BA.pdf</x:v>
      </x:c>
      <x:c r="U46" s="7" t="str">
        <x:v>個別タスクの重点整理（従来69カード）</x:v>
      </x:c>
      <x:c r="V46" s="7" t="str">
        <x:v>摩耗履歴から寿命・交換時期を提案</x:v>
      </x:c>
      <x:c r="W46" s="7" t="str">
        <x:v>摩耗・寿命を推定し適した交換時期を提案</x:v>
      </x:c>
      <x:c r="X46" s="7" t="str">
        <x:v>解析・提案であり、自動工具交換の指令まで確認できない</x:v>
      </x:c>
      <x:c r="Y46" s="7" t="str">
        <x:v>分析：工具・材種・加工条件と摩耗の履歴を揃える必要。実際の必要量は未確認</x:v>
      </x:c>
      <x:c r="Z46" s="7" t="str">
        <x:v>未記載：交換提案の採用基準・責任者。人が承認する設計かを要確認</x:v>
      </x:c>
      <x:c r="AA46" s="7" t="str">
        <x:v>未記載：履歴不足・条件変更・突発欠損を寿命予測から分離する方法</x:v>
      </x:c>
      <x:c r="AB46" s="7" t="str">
        <x:v>2023の研究発表の実証精度・売上目標を、2026製品の実績や市場規模と扱わない</x:v>
      </x:c>
    </x:row>
    <x:row r="47" ht="170" customHeight="1">
      <x:c r="A47" s="7" t="str">
        <x:v>FC041</x:v>
      </x:c>
      <x:c r="B47" s="20" t="str">
        <x:v>モリマシナリー</x:v>
      </x:c>
      <x:c r="C47" s="7" t="str">
        <x:v>ツールソムリエ</x:v>
      </x:c>
      <x:c r="D47" s="7" t="str">
        <x:v>S3048</x:v>
      </x:c>
      <x:c r="E47" s="7" t="str">
        <x:v>工場運用DX
自動化</x:v>
      </x:c>
      <x:c r="F47" s="7" t="str">
        <x:v>工具在庫・供給</x:v>
      </x:c>
      <x:c r="G47" s="7" t="str">
        <x:v>工具収納・管理とロボット供給の構成</x:v>
      </x:c>
      <x:c r="H47" s="7" t="str">
        <x:v>工具入出庫ロボット。詳細構成未確認</x:v>
      </x:c>
      <x:c r="I47" s="7" t="str">
        <x:v>工具登録情報・所在・管理画面の選択</x:v>
      </x:c>
      <x:c r="J47" s="7" t="str">
        <x:v>工具管理、機械、ロボット、プリセッターを連携</x:v>
      </x:c>
      <x:c r="K47" s="7" t="str">
        <x:v>選択した工具を工具台車へ搬送する構成</x:v>
      </x:c>
      <x:c r="L47" s="7" t="str">
        <x:v>管理画面の選択を起点にする説明。完全自律な補充判断は未確認</x:v>
      </x:c>
      <x:c r="M47" s="7" t="str">
        <x:v>工具収納・情報管理を掲載</x:v>
      </x:c>
      <x:c r="N47" s="7" t="str">
        <x:v>ロボット供給を説明するが2026は実機を出展しない</x:v>
      </x:c>
      <x:c r="O47" s="7" t="str">
        <x:v>2026具体化・機能差未確定</x:v>
      </x:c>
      <x:c r="P47" s="7" t="str">
        <x:v>2026は動画・資料展示、実機なし</x:v>
      </x:c>
      <x:c r="Q47" s="7" t="str">
        <x:v>説明動画・資料のみ。実機展示なし</x:v>
      </x:c>
      <x:c r="R47" s="7" t="str">
        <x:v>実稼働事例と連携機種を確認。会場でロボット実演を見たという記録は付けない。</x:v>
      </x:c>
      <x:c r="S47" s="7" t="str">
        <x:v>EOV-V024-2024-1
EOV-V024-2026-1</x:v>
      </x:c>
      <x:c r="T47" s="7" t="str">
        <x:v>EOV-V024-2024-1: https://www.jimtof.org/2024/search/jp/ESdetails?e=yEoPl5sH6Sg
EOV-V024-2026-1: https://www.jimtof.org/search/jp/ESdetails?e=ZvT3Lci-hnM</x:v>
      </x:c>
      <x:c r="U47" s="7" t="str">
        <x:v>個別タスクの重点整理（従来69カード）</x:v>
      </x:c>
      <x:c r="V47" s="7"/>
      <x:c r="W47" s="7"/>
      <x:c r="X47" s="7"/>
      <x:c r="Y47" s="7"/>
      <x:c r="Z47" s="7"/>
      <x:c r="AA47" s="7"/>
      <x:c r="AB47" s="7"/>
    </x:row>
    <x:row r="48" ht="170" customHeight="1">
      <x:c r="A48" s="7" t="str">
        <x:v>FC042</x:v>
      </x:c>
      <x:c r="B48" s="20" t="str">
        <x:v>イマオコーポレーション</x:v>
      </x:c>
      <x:c r="C48" s="7" t="str">
        <x:v>ナットランナー治具</x:v>
      </x:c>
      <x:c r="D48" s="7" t="str">
        <x:v>W2001</x:v>
      </x:c>
      <x:c r="E48" s="7" t="str">
        <x:v>自動化</x:v>
      </x:c>
      <x:c r="F48" s="7" t="str">
        <x:v>ワーク固定</x:v>
      </x:c>
      <x:c r="G48" s="7" t="str">
        <x:v>ロボットのワーク固定工程</x:v>
      </x:c>
      <x:c r="H48" s="7" t="str">
        <x:v>ナットランナー装着ロボットハンド</x:v>
      </x:c>
      <x:c r="I48" s="7" t="str">
        <x:v>ロボットハンドのナットランナーの回転操作</x:v>
      </x:c>
      <x:c r="J48" s="7" t="str">
        <x:v>締結はメカ機構。ワーク選択・把持可否を判断するAIをこの治具が持つとは記載なし</x:v>
      </x:c>
      <x:c r="K48" s="7" t="str">
        <x:v>ナットランナーでクランプ・アンクランプ。配管配線不要で手動操作も可能</x:v>
      </x:c>
      <x:c r="L48" s="7" t="str">
        <x:v>事前準備：公式：ワークに合う治具・アクセサリー・フック形状を選び構築／承認：未記載：締付トルク・着座・クランプ完了を誰が何で確認するか／例外対応：公式資料：手動操作も可能。異物・緩み・締付異常時の運用は要確認</x:v>
      </x:c>
      <x:c r="M48" s="7" t="str">
        <x:v>2024企業出展パンフにナットランナーのスイング・サイド・引込みクランプ、サポーター等を具体掲載。</x:v>
      </x:c>
      <x:c r="N48" s="7" t="str">
        <x:v>ナットランナー治具の種類追加を説明</x:v>
      </x:c>
      <x:c r="O48" s="7" t="str">
        <x:v>対象・構成・要素の追加記載</x:v>
      </x:c>
      <x:c r="P48" s="7" t="str">
        <x:v>JIMTOF2026公式カタログ掲載・現地未確認</x:v>
      </x:c>
      <x:c r="Q48" s="7" t="str">
        <x:v>2026展示予定・提供段階未確認</x:v>
      </x:c>
      <x:c r="R48" s="7" t="str">
        <x:v>2024出展パンフにも同系列の治具を掲載済み。2026の新規型式は個別品番で確認する 現地質問：両年の初出品表現は対象が不明。新規性・機能差は現地確認</x:v>
      </x:c>
      <x:c r="S48" s="7" t="str">
        <x:v>EOV-V025-2024-1
EOV-V025-2026-1
EDP-30
EDP-32</x:v>
      </x:c>
      <x:c r="T48" s="7" t="str">
        <x:v>EOV-V025-2024-1: https://www.jimtof.org/2024/search/jp/ESdetails?e=MTYTZ2Km3zM
EOV-V025-2026-1: https://www.jimtof.org/search/jp/ESdetails?e=shuDpJLDn-A
EDP-30: https://www.imao.co.jp/products/nutrunnerclamp.html
EDP-32: https://www.imao.co.jp/event-20241105-1110-jimtof/jimtof.pdf</x:v>
      </x:c>
      <x:c r="U48" s="7" t="str">
        <x:v>個別タスクの重点整理（従来69カード）</x:v>
      </x:c>
      <x:c r="V48" s="7" t="str">
        <x:v>機構によるクランプ・AIは未確認</x:v>
      </x:c>
      <x:c r="W48" s="7" t="str">
        <x:v>締結はメカ機構。ワーク選択・把持可否を判断するAIをこの治具が持つとは記載なし</x:v>
      </x:c>
      <x:c r="X48" s="7" t="str">
        <x:v>ナットランナーでクランプ・アンクランプ。配管配線不要で手動操作も可能</x:v>
      </x:c>
      <x:c r="Y48" s="7" t="str">
        <x:v>公式：ワークに合う治具・アクセサリー・フック形状を選び構築</x:v>
      </x:c>
      <x:c r="Z48" s="7" t="str">
        <x:v>未記載：締付トルク・着座・クランプ完了を誰が何で確認するか</x:v>
      </x:c>
      <x:c r="AA48" s="7" t="str">
        <x:v>公式資料：手動操作も可能。異物・緩み・締付異常時の運用は要確認</x:v>
      </x:c>
      <x:c r="AB48" s="7" t="str">
        <x:v>2024出展パンフにも同系列の治具を掲載済み。2026の新規型式は個別品番で確認する</x:v>
      </x:c>
    </x:row>
    <x:row r="49" ht="170" customHeight="1">
      <x:c r="A49" s="7" t="str">
        <x:v>FC043</x:v>
      </x:c>
      <x:c r="B49" s="20" t="str">
        <x:v>イマオコーポレーション</x:v>
      </x:c>
      <x:c r="C49" s="7" t="str">
        <x:v>メカ式フィンガー交換</x:v>
      </x:c>
      <x:c r="D49" s="7" t="str">
        <x:v>W2001</x:v>
      </x:c>
      <x:c r="E49" s="7" t="str">
        <x:v>自動化</x:v>
      </x:c>
      <x:c r="F49" s="7" t="str">
        <x:v>指・ハンド交換</x:v>
      </x:c>
      <x:c r="G49" s="7" t="str">
        <x:v>ロボットハンド先端</x:v>
      </x:c>
      <x:c r="H49" s="7" t="str">
        <x:v>ロボットハンド、フィンガー、爪チェンジャー、クランプ／サポート／イジェクトピン。取付板は設計が必要</x:v>
      </x:c>
      <x:c r="I49" s="7" t="str">
        <x:v>ロボットアームの挿入／離脱動作とイジェクトピン</x:v>
      </x:c>
      <x:c r="J49" s="7" t="str">
        <x:v>締結部品がロックを機械的に保持。自動で交換すべき指を選ぶAIとは記載なし</x:v>
      </x:c>
      <x:c r="K49" s="7" t="str">
        <x:v>ハンド本体を残してフィンガーを交換。ばね・ボール・クサビで固定し、イジェクトピンで解除</x:v>
      </x:c>
      <x:c r="L49" s="7" t="str">
        <x:v>事前準備：公式：ハンドに合う取付板・フィンガー・ピンを設計して配置／承認：未記載：指の種類識別・締結完了の信号確認。認識センサの標準範囲は要確認／例外対応：未記載：ピン未挿入・切粉噛込み・ロック不足の検出と復帰</x:v>
      </x:c>
      <x:c r="M49" s="7" t="str">
        <x:v>メカ式ツールチェンジャーを掲載</x:v>
      </x:c>
      <x:c r="N49" s="7" t="str">
        <x:v>ばねを用いたフィンガー交換を具体掲載</x:v>
      </x:c>
      <x:c r="O49" s="7" t="str">
        <x:v>2026具体化・機能差未確定</x:v>
      </x:c>
      <x:c r="P49" s="7" t="str">
        <x:v>JIMTOF2026公式カタログ掲載・現地未確認</x:v>
      </x:c>
      <x:c r="Q49" s="7" t="str">
        <x:v>2026展示予定・提供段階未確認</x:v>
      </x:c>
      <x:c r="R49" s="7" t="str">
        <x:v>配線配管不要はロック機構についての説明。セル全体のセンサ・制御配線が不要という意味ではない 現地質問：両年の初出品表現は対象が不明。新規性・機能差は現地確認</x:v>
      </x:c>
      <x:c r="S49" s="7" t="str">
        <x:v>EOV-V025-2024-1
EOV-V025-2026-1
EDP-31</x:v>
      </x:c>
      <x:c r="T49" s="7" t="str">
        <x:v>EOV-V025-2024-1: https://www.jimtof.org/2024/search/jp/ESdetails?e=MTYTZ2Km3zM
EOV-V025-2026-1: https://www.jimtof.org/search/jp/ESdetails?e=shuDpJLDn-A
EDP-31: https://www.imao.co.jp/products/tsume-changer.html</x:v>
      </x:c>
      <x:c r="U49" s="7" t="str">
        <x:v>個別タスクの重点整理（従来69カード）</x:v>
      </x:c>
      <x:c r="V49" s="7" t="str">
        <x:v>ばね・ボール・クサビの機構・AIは未確認</x:v>
      </x:c>
      <x:c r="W49" s="7" t="str">
        <x:v>締結部品がロックを機械的に保持。自動で交換すべき指を選ぶAIとは記載なし</x:v>
      </x:c>
      <x:c r="X49" s="7" t="str">
        <x:v>ハンド本体を残してフィンガーを交換。ばね・ボール・クサビで固定し、イジェクトピンで解除</x:v>
      </x:c>
      <x:c r="Y49" s="7" t="str">
        <x:v>公式：ハンドに合う取付板・フィンガー・ピンを設計して配置</x:v>
      </x:c>
      <x:c r="Z49" s="7" t="str">
        <x:v>未記載：指の種類識別・締結完了の信号確認。認識センサの標準範囲は要確認</x:v>
      </x:c>
      <x:c r="AA49" s="7" t="str">
        <x:v>未記載：ピン未挿入・切粉噛込み・ロック不足の検出と復帰</x:v>
      </x:c>
      <x:c r="AB49" s="7" t="str">
        <x:v>配線配管不要はロック機構についての説明。セル全体のセンサ・制御配線が不要という意味ではない</x:v>
      </x:c>
    </x:row>
    <x:row r="50" ht="170" customHeight="1">
      <x:c r="A50" s="7" t="str">
        <x:v>FC044</x:v>
      </x:c>
      <x:c r="B50" s="20" t="str">
        <x:v>エヌティーツール</x:v>
      </x:c>
      <x:c r="C50" s="7" t="str">
        <x:v>マテハンホルダ</x:v>
      </x:c>
      <x:c r="D50" s="7" t="str">
        <x:v>W2019</x:v>
      </x:c>
      <x:c r="E50" s="7" t="str">
        <x:v>自動化</x:v>
      </x:c>
      <x:c r="F50" s="7" t="str">
        <x:v>ワーク搬入出</x:v>
      </x:c>
      <x:c r="G50" s="7" t="str">
        <x:v>既設工作機械の主軸</x:v>
      </x:c>
      <x:c r="H50" s="7" t="str">
        <x:v>クーラント圧で動作するホルダ</x:v>
      </x:c>
      <x:c r="I50" s="7" t="str">
        <x:v>主軸スルークーラント圧・ワーク</x:v>
      </x:c>
      <x:c r="J50" s="7" t="str">
        <x:v>既存の圧力源を利用したワーク搬送</x:v>
      </x:c>
      <x:c r="K50" s="7" t="str">
        <x:v>工程間のワーク受渡し</x:v>
      </x:c>
      <x:c r="L50" s="7" t="str">
        <x:v>形状・重量・機種・搬送経路の適合条件は未確認</x:v>
      </x:c>
      <x:c r="M50" s="7" t="str">
        <x:v>高圧洗浄と自動プリセットを掲載</x:v>
      </x:c>
      <x:c r="N50" s="7" t="str">
        <x:v>マテハンホルダを具体紹介</x:v>
      </x:c>
      <x:c r="O50" s="7" t="str">
        <x:v>対象・構成・要素の追加記載</x:v>
      </x:c>
      <x:c r="P50" s="7" t="str">
        <x:v>JIMTOF2026公式カタログ掲載・現地未確認</x:v>
      </x:c>
      <x:c r="Q50" s="7" t="str">
        <x:v>2026展示予定・提供段階未確認</x:v>
      </x:c>
      <x:c r="R50" s="7" t="str">
        <x:v>AI不要な機械的対策を比較基準に含める。機種・ワーク適合性が制約</x:v>
      </x:c>
      <x:c r="S50" s="7" t="str">
        <x:v>EOV-V026-2024-1
EOV-V026-2026-1</x:v>
      </x:c>
      <x:c r="T50" s="7" t="str">
        <x:v>EOV-V026-2024-1: https://www.jimtof.org/2024/search/jp/ESdetails?e=pYGmVz5GC1c
EOV-V026-2026-1: https://www.jimtof.org/search/jp/ESdetails?e=iW3vesxy4DU</x:v>
      </x:c>
      <x:c r="U50" s="7" t="str">
        <x:v>個別タスクの重点整理（従来69カード）</x:v>
      </x:c>
      <x:c r="V50" s="7"/>
      <x:c r="W50" s="7"/>
      <x:c r="X50" s="7"/>
      <x:c r="Y50" s="7"/>
      <x:c r="Z50" s="7"/>
      <x:c r="AA50" s="7"/>
      <x:c r="AB50" s="7"/>
    </x:row>
    <x:row r="51" ht="170" customHeight="1">
      <x:c r="A51" s="7" t="str">
        <x:v>FC045</x:v>
      </x:c>
      <x:c r="B51" s="20" t="str">
        <x:v>エヌティーツール</x:v>
      </x:c>
      <x:c r="C51" s="7" t="str">
        <x:v>BoostMaster</x:v>
      </x:c>
      <x:c r="D51" s="7" t="str">
        <x:v>W2019</x:v>
      </x:c>
      <x:c r="E51" s="7" t="str">
        <x:v>自動化</x:v>
      </x:c>
      <x:c r="F51" s="7" t="str">
        <x:v>切粉処理</x:v>
      </x:c>
      <x:c r="G51" s="7" t="str">
        <x:v>工作機械の主軸・クーラント回路</x:v>
      </x:c>
      <x:c r="H51" s="7" t="str">
        <x:v>主軸回転で駆動する増圧ツール</x:v>
      </x:c>
      <x:c r="I51" s="7" t="str">
        <x:v>主軸回転と低圧クーラント</x:v>
      </x:c>
      <x:c r="J51" s="7" t="str">
        <x:v>回転で増圧して切屑の排出・洗浄に利用</x:v>
      </x:c>
      <x:c r="K51" s="7" t="str">
        <x:v>切粉処理</x:v>
      </x:c>
      <x:c r="L51" s="7" t="str">
        <x:v>絡まりを認識して除去するAI方式との効果比較は未実施</x:v>
      </x:c>
      <x:c r="M51" s="7" t="str">
        <x:v>最大15MPaの高圧洗浄方式を既に説明</x:v>
      </x:c>
      <x:c r="N51" s="7" t="str">
        <x:v>BoostMasterとして切屑処理の自動化を説明</x:v>
      </x:c>
      <x:c r="O51" s="7" t="str">
        <x:v>2024から継続</x:v>
      </x:c>
      <x:c r="P51" s="7" t="str">
        <x:v>JIMTOF2026公式カタログ掲載・現地未確認</x:v>
      </x:c>
      <x:c r="Q51" s="7" t="str">
        <x:v>2026展示予定・提供段階未確認</x:v>
      </x:c>
      <x:c r="R51" s="7" t="str">
        <x:v>AI不要な機械的対策を比較基準に含める。機種・ワーク適合性が制約</x:v>
      </x:c>
      <x:c r="S51" s="7" t="str">
        <x:v>EOV-V026-2024-1
EOV-V026-2026-1</x:v>
      </x:c>
      <x:c r="T51" s="7" t="str">
        <x:v>EOV-V026-2024-1: https://www.jimtof.org/2024/search/jp/ESdetails?e=pYGmVz5GC1c
EOV-V026-2026-1: https://www.jimtof.org/search/jp/ESdetails?e=iW3vesxy4DU</x:v>
      </x:c>
      <x:c r="U51" s="7" t="str">
        <x:v>個別タスクの重点整理（従来69カード）</x:v>
      </x:c>
      <x:c r="V51" s="7"/>
      <x:c r="W51" s="7"/>
      <x:c r="X51" s="7"/>
      <x:c r="Y51" s="7"/>
      <x:c r="Z51" s="7"/>
      <x:c r="AA51" s="7"/>
      <x:c r="AB51" s="7"/>
    </x:row>
    <x:row r="52" ht="170" customHeight="1">
      <x:c r="A52" s="7" t="str">
        <x:v>FC046</x:v>
      </x:c>
      <x:c r="B52" s="20" t="str">
        <x:v>牧野フライス製作所</x:v>
      </x:c>
      <x:c r="C52" s="7" t="str">
        <x:v>パレット自動化／MAS・ラインエンジニアリング</x:v>
      </x:c>
      <x:c r="D52" s="7" t="str">
        <x:v>E1024</x:v>
      </x:c>
      <x:c r="E52" s="7" t="str">
        <x:v>工場運用DX
自動化</x:v>
      </x:c>
      <x:c r="F52" s="7" t="str">
        <x:v>パレット供給</x:v>
      </x:c>
      <x:c r="G52" s="7" t="str">
        <x:v>加工機から生産ライン</x:v>
      </x:c>
      <x:c r="H52" s="7" t="str">
        <x:v>パレットシステム等。2026個別構成未確認</x:v>
      </x:c>
      <x:c r="I52" s="7" t="str">
        <x:v>パレット・作業・設備情報の詳細は未記載</x:v>
      </x:c>
      <x:c r="J52" s="7" t="str">
        <x:v>機械・パレット・ソフト・ライン設計・保守を組み合わせる</x:v>
      </x:c>
      <x:c r="K52" s="7" t="str">
        <x:v>加工と供給・運用の支援</x:v>
      </x:c>
      <x:c r="L52" s="7" t="str">
        <x:v>ラインの再計画・例外復帰の自律範囲は未確認</x:v>
      </x:c>
      <x:c r="M52" s="7" t="str">
        <x:v>DA300自動化パッケージ・DA500パレット等を掲載</x:v>
      </x:c>
      <x:c r="N52" s="7" t="str">
        <x:v>MAS、生産ライン全体と保守を訴求</x:v>
      </x:c>
      <x:c r="O52" s="7" t="str">
        <x:v>2026具体化・機能差未確定</x:v>
      </x:c>
      <x:c r="P52" s="7" t="str">
        <x:v>JIMTOF2026公式カタログ掲載・現地未確認</x:v>
      </x:c>
      <x:c r="Q52" s="7" t="str">
        <x:v>2026展示予定・提供段階未確認</x:v>
      </x:c>
      <x:c r="R52" s="7" t="str">
        <x:v>定量的な自律化性能・新規機能の差は比較不能</x:v>
      </x:c>
      <x:c r="S52" s="7" t="str">
        <x:v>EOV-V027-2024-1
EOV-V027-2026-1</x:v>
      </x:c>
      <x:c r="T52" s="7" t="str">
        <x:v>EOV-V027-2024-1: https://www.jimtof.org/2024/search/jp/ESdetails?e=95Yl5dQv2vI
EOV-V027-2026-1: https://www.jimtof.org/search/jp/ESdetails?e=M5OL10ECBTE</x:v>
      </x:c>
      <x:c r="U52" s="7" t="str">
        <x:v>個別タスクの重点整理（従来69カード）</x:v>
      </x:c>
      <x:c r="V52" s="7"/>
      <x:c r="W52" s="7"/>
      <x:c r="X52" s="7"/>
      <x:c r="Y52" s="7"/>
      <x:c r="Z52" s="7"/>
      <x:c r="AA52" s="7"/>
      <x:c r="AB52" s="7"/>
    </x:row>
    <x:row r="53" ht="170" customHeight="1">
      <x:c r="A53" s="7" t="str">
        <x:v>FC047</x:v>
      </x:c>
      <x:c r="B53" s="20" t="str">
        <x:v>松浦機械製作所</x:v>
      </x:c>
      <x:c r="C53" s="7" t="str">
        <x:v>5軸＋マルチパレット／MiOS</x:v>
      </x:c>
      <x:c r="D53" s="7" t="str">
        <x:v>E3030</x:v>
      </x:c>
      <x:c r="E53" s="7" t="str">
        <x:v>設計・製造DX
工場運用DX
自動化</x:v>
      </x:c>
      <x:c r="F53" s="7" t="str">
        <x:v>パレット供給</x:v>
      </x:c>
      <x:c r="G53" s="7" t="str">
        <x:v>変種変量加工のセル</x:v>
      </x:c>
      <x:c r="H53" s="7" t="str">
        <x:v>工作機械と多面パレットシステム</x:v>
      </x:c>
      <x:c r="I53" s="7" t="str">
        <x:v>加工プログラム・指示・画像・ワークオフセット等</x:v>
      </x:c>
      <x:c r="J53" s="7" t="str">
        <x:v>加工データをプロジェクト単位で管理し供給・無人運転を支援</x:v>
      </x:c>
      <x:c r="K53" s="7" t="str">
        <x:v>多品種のパレット加工</x:v>
      </x:c>
      <x:c r="L53" s="7" t="str">
        <x:v>事前段取り・工具準備・異常時対応の自動範囲は未確認</x:v>
      </x:c>
      <x:c r="M53" s="7" t="str">
        <x:v>5軸＋多パレット、MiOS4、CAMの一貫支援を説明</x:v>
      </x:c>
      <x:c r="N53" s="7" t="str">
        <x:v>旋削機能等で加工対象を広げる提案</x:v>
      </x:c>
      <x:c r="O53" s="7" t="str">
        <x:v>2024から継続</x:v>
      </x:c>
      <x:c r="P53" s="7" t="str">
        <x:v>JIMTOF2026公式カタログ掲載・現地未確認</x:v>
      </x:c>
      <x:c r="Q53" s="7" t="str">
        <x:v>2026展示予定・提供段階未確認</x:v>
      </x:c>
      <x:c r="R53" s="7" t="str">
        <x:v>工程集約の仕様差とAI／自律性の進化を混同しない</x:v>
      </x:c>
      <x:c r="S53" s="7" t="str">
        <x:v>EOV-V028-2024-1
EOV-V028-2024-2
EOV-V028-2026-1</x:v>
      </x:c>
      <x:c r="T53" s="7" t="str">
        <x:v>EOV-V028-2024-1: https://www.jimtof.org/2024/search/jp/ESdetails?e=_4GLIXLZuKE
EOV-V028-2024-2: https://www.jimtof.org/2024/search/jp/ESdetails?e=coHqGCjVn0c
EOV-V028-2026-1: https://www.jimtof.org/search/jp/ESdetails?e=K_X61J2xV_w</x:v>
      </x:c>
      <x:c r="U53" s="7" t="str">
        <x:v>個別タスクの重点整理（従来69カード）</x:v>
      </x:c>
      <x:c r="V53" s="7"/>
      <x:c r="W53" s="7"/>
      <x:c r="X53" s="7"/>
      <x:c r="Y53" s="7"/>
      <x:c r="Z53" s="7"/>
      <x:c r="AA53" s="7"/>
      <x:c r="AB53" s="7"/>
    </x:row>
    <x:row r="54" ht="170" customHeight="1">
      <x:c r="A54" s="7" t="str">
        <x:v>FC048</x:v>
      </x:c>
      <x:c r="B54" s="20" t="str">
        <x:v>中村留精密工業</x:v>
      </x:c>
      <x:c r="C54" s="7" t="str">
        <x:v>RoboSync：移設後の位置復旧</x:v>
      </x:c>
      <x:c r="D54" s="7" t="str">
        <x:v>E2027</x:v>
      </x:c>
      <x:c r="E54" s="7" t="str">
        <x:v>自動化</x:v>
      </x:c>
      <x:c r="F54" s="7" t="str">
        <x:v>教示・位置合わせ</x:v>
      </x:c>
      <x:c r="G54" s="7" t="str">
        <x:v>機械・ロボット・ストッカー間</x:v>
      </x:c>
      <x:c r="H54" s="7" t="str">
        <x:v>ロボット＋ビジョン・マーカ。関節構成未確認</x:v>
      </x:c>
      <x:c r="I54" s="7" t="str">
        <x:v>各設備のマーカ画像</x:v>
      </x:c>
      <x:c r="J54" s="7" t="str">
        <x:v>移動後にマーカを読み相対位置を補正</x:v>
      </x:c>
      <x:c r="K54" s="7" t="str">
        <x:v>再設置の位置合わせ</x:v>
      </x:c>
      <x:c r="L54" s="7" t="str">
        <x:v>人の移設・復旧操作を含む。未知トラブルの自律復帰の証明ではない</x:v>
      </x:c>
      <x:c r="M54" s="7" t="str">
        <x:v>New Robot System等を掲載。RoboSync同一機能は未確認</x:v>
      </x:c>
      <x:c r="N54" s="7" t="str">
        <x:v>既存パレット・台車の利用と位置復旧を具体説明</x:v>
      </x:c>
      <x:c r="O54" s="7" t="str">
        <x:v>2026具体化・機能差未確定</x:v>
      </x:c>
      <x:c r="P54" s="7" t="str">
        <x:v>JIMTOF2026公式カタログ掲載・現地未確認</x:v>
      </x:c>
      <x:c r="Q54" s="7" t="str">
        <x:v>既存製品方式確認・2026展示予定</x:v>
      </x:c>
      <x:c r="R54" s="7" t="str">
        <x:v>どの位置ずれを補正できるか。治具・台車が変わると何を再教示するか。</x:v>
      </x:c>
      <x:c r="S54" s="7" t="str">
        <x:v>EOV-V029-2024-1
EOV-V029-2026-1
EOV-W04</x:v>
      </x:c>
      <x:c r="T54" s="7" t="str">
        <x:v>EOV-V029-2024-1: https://www.jimtof.org/2024/search/jp/ESdetails?e=RYK326OoMn4
EOV-V029-2026-1: https://www.jimtof.org/search/jp/ESdetails?e=C7A_2ZTDXNw
EOV-W04: https://www.nakamura-tome.co.jp/products/automation/robosync/</x:v>
      </x:c>
      <x:c r="U54" s="7" t="str">
        <x:v>個別タスクの重点整理（従来69カード）</x:v>
      </x:c>
      <x:c r="V54" s="7"/>
      <x:c r="W54" s="7"/>
      <x:c r="X54" s="7"/>
      <x:c r="Y54" s="7"/>
      <x:c r="Z54" s="7"/>
      <x:c r="AA54" s="7"/>
      <x:c r="AB54" s="7"/>
    </x:row>
    <x:row r="55" ht="170" customHeight="1">
      <x:c r="A55" s="7" t="str">
        <x:v>FC049</x:v>
      </x:c>
      <x:c r="B55" s="20" t="str">
        <x:v>TAKISAWA</x:v>
      </x:c>
      <x:c r="C55" s="7" t="str">
        <x:v>TR-20W：主軸の切粉除去</x:v>
      </x:c>
      <x:c r="D55" s="7" t="str">
        <x:v>E3013</x:v>
      </x:c>
      <x:c r="E55" s="7" t="str">
        <x:v>フィジカルAI
自動化
自律化</x:v>
      </x:c>
      <x:c r="F55" s="7" t="str">
        <x:v>切粉処理</x:v>
      </x:c>
      <x:c r="G55" s="7" t="str">
        <x:v>旋盤の主軸周辺</x:v>
      </x:c>
      <x:c r="H55" s="7" t="str">
        <x:v>台車型ロボットシステムTR-20W。アーム軸構成は未確認</x:v>
      </x:c>
      <x:c r="I55" s="7" t="str">
        <x:v>主軸に絡まった切粉の状況。センサ種・学習データは非開示</x:v>
      </x:c>
      <x:c r="J55" s="7" t="str">
        <x:v>切粉の絡まり状況を認識・判断するとメーカーが説明</x:v>
      </x:c>
      <x:c r="K55" s="7" t="str">
        <x:v>台車型TR-20Wのロボットが主軸の切粉を除去する予定</x:v>
      </x:c>
      <x:c r="L55" s="7" t="str">
        <x:v>事前準備：未記載：対象切粉・機械配置・除去具の設定手順／承認：未記載：動作前の承認、機械インターロックと許可範囲／例外対応：未記載：除去失敗の検出・再試行・停止後の人への引継ぎ</x:v>
      </x:c>
      <x:c r="M55" s="7" t="str">
        <x:v>2024のTR-20Wはワーク搬入・搬出の自動化デモを予告</x:v>
      </x:c>
      <x:c r="N55" s="7" t="str">
        <x:v>2026は切粉絡まり判断・除去を参考出品</x:v>
      </x:c>
      <x:c r="O55" s="7" t="str">
        <x:v>担当タスクの追加記載</x:v>
      </x:c>
      <x:c r="P55" s="7" t="str">
        <x:v>JIMTOF2026公式カタログ掲載・現地未確認</x:v>
      </x:c>
      <x:c r="Q55" s="7" t="str">
        <x:v>参考出品・現地未検証</x:v>
      </x:c>
      <x:c r="R55" s="7" t="str">
        <x:v>未知の絡まり、除去力・接触回避・完了確認・成功率は未確認。市販済みと扱わない 現地質問は追補の確認表を参照。</x:v>
      </x:c>
      <x:c r="S55" s="7" t="str">
        <x:v>EOV-V030-2024-1
EOV-V030-2026-1
EAT-N01
EAT-N02
ERF-13</x:v>
      </x:c>
      <x:c r="T55" s="7" t="str">
        <x:v>EOV-V030-2024-1: https://www.jimtof.org/2024/search/jp/ESdetails?e=K00DRD-BngA
EOV-V030-2026-1: https://www.jimtof.org/search/jp/ESdetails?e=3dTDRAMwZpM
EAT-N01: https://www.nidec.com/jp/products/machine-tools/contents/machine-tool-jimtof2026/
EAT-N02: https://www.nidec.com/jp/product/news/2024/news1101-03/
ERF-13: https://www.nidec.com/jp/products/machine-tools/contents/machine-tool-jimtof2026/</x:v>
      </x:c>
      <x:c r="U55" s="7" t="str">
        <x:v>個別タスクの重点整理（従来69カード）</x:v>
      </x:c>
      <x:c r="V55" s="7" t="str">
        <x:v>限定的な物理作業・参考出品</x:v>
      </x:c>
      <x:c r="W55" s="7" t="str">
        <x:v>切粉の絡まり状況を認識・判断するとメーカーが説明</x:v>
      </x:c>
      <x:c r="X55" s="7" t="str">
        <x:v>台車型TR-20Wのロボットが主軸の切粉を除去する予定</x:v>
      </x:c>
      <x:c r="Y55" s="7" t="str">
        <x:v>未記載：対象切粉・機械配置・除去具の設定手順</x:v>
      </x:c>
      <x:c r="Z55" s="7" t="str">
        <x:v>未記載：動作前の承認、機械インターロックと許可範囲</x:v>
      </x:c>
      <x:c r="AA55" s="7" t="str">
        <x:v>未記載：除去失敗の検出・再試行・停止後の人への引継ぎ</x:v>
      </x:c>
      <x:c r="AB55" s="7" t="str">
        <x:v>未知の絡まり、除去力・接触回避・完了確認・成功率は未確認。市販済みと扱わない</x:v>
      </x:c>
    </x:row>
    <x:row r="56" ht="170" customHeight="1">
      <x:c r="A56" s="7" t="str">
        <x:v>FC050</x:v>
      </x:c>
      <x:c r="B56" s="20" t="str">
        <x:v>シマダマシンツール</x:v>
      </x:c>
      <x:c r="C56" s="7" t="str">
        <x:v>HS4200＋レール走行ロボット</x:v>
      </x:c>
      <x:c r="D56" s="7" t="str">
        <x:v>E2018</x:v>
      </x:c>
      <x:c r="E56" s="7" t="str">
        <x:v>自動化</x:v>
      </x:c>
      <x:c r="F56" s="7" t="str">
        <x:v>ワーク搬入出</x:v>
      </x:c>
      <x:c r="G56" s="7" t="str">
        <x:v>4主軸旋盤と素材・完成品のパレット間</x:v>
      </x:c>
      <x:c r="H56" s="7" t="str">
        <x:v>ガントリーレール取付ロボット。軸構成未確認</x:v>
      </x:c>
      <x:c r="I56" s="7" t="str">
        <x:v>素材・完成品の位置・搬送指示。知覚方式未記載</x:v>
      </x:c>
      <x:c r="J56" s="7" t="str">
        <x:v>走行範囲を広げ1台で素材・完成品のパレタイジング</x:v>
      </x:c>
      <x:c r="K56" s="7" t="str">
        <x:v>素材・完成品の搬送</x:v>
      </x:c>
      <x:c r="L56" s="7" t="str">
        <x:v>品種別教示・把持・失敗時の介入範囲は未確認</x:v>
      </x:c>
      <x:c r="M56" s="7" t="str">
        <x:v>HS4200と機上ロボットのスライドレール搬送を説明</x:v>
      </x:c>
      <x:c r="N56" s="7" t="str">
        <x:v>ガントリーレールで素材・完成品パレタイジングを具体紹介</x:v>
      </x:c>
      <x:c r="O56" s="7" t="str">
        <x:v>2024から継続</x:v>
      </x:c>
      <x:c r="P56" s="7" t="str">
        <x:v>JIMTOF2026公式カタログ掲載・現地未確認</x:v>
      </x:c>
      <x:c r="Q56" s="7" t="str">
        <x:v>2026展示予定・提供段階未確認</x:v>
      </x:c>
      <x:c r="R56" s="7" t="str">
        <x:v>AIの判断対象と段取り時間の実測差は要確認</x:v>
      </x:c>
      <x:c r="S56" s="7" t="str">
        <x:v>EOV-V031-2024-1
EOV-V031-2024-2
EOV-V031-2026-1</x:v>
      </x:c>
      <x:c r="T56" s="7" t="str">
        <x:v>EOV-V031-2024-1: https://www.jimtof.org/2024/search/jp/ESdetails?e=WZjeoEoTWXw
EOV-V031-2024-2: https://www.jimtof.org/2024/search/jp/ESdetails?e=bLvQhW7XtZw
EOV-V031-2026-1: https://www.jimtof.org/search/jp/ESdetails?e=xntdeqgs_F4</x:v>
      </x:c>
      <x:c r="U56" s="7" t="str">
        <x:v>個別タスクの重点整理（従来69カード）</x:v>
      </x:c>
      <x:c r="V56" s="7"/>
      <x:c r="W56" s="7"/>
      <x:c r="X56" s="7"/>
      <x:c r="Y56" s="7"/>
      <x:c r="Z56" s="7"/>
      <x:c r="AA56" s="7"/>
      <x:c r="AB56" s="7"/>
    </x:row>
    <x:row r="57" ht="170" customHeight="1">
      <x:c r="A57" s="7" t="str">
        <x:v>FC051</x:v>
      </x:c>
      <x:c r="B57" s="20" t="str">
        <x:v>シマダマシンツール</x:v>
      </x:c>
      <x:c r="C57" s="7" t="str">
        <x:v>HS4200：フィジカルAI自動段取り替え</x:v>
      </x:c>
      <x:c r="D57" s="7" t="str">
        <x:v>E2018</x:v>
      </x:c>
      <x:c r="E57" s="7" t="str">
        <x:v>フィジカルAI
自動化</x:v>
      </x:c>
      <x:c r="F57" s="7" t="str">
        <x:v>教示・位置合わせ</x:v>
      </x:c>
      <x:c r="G57" s="7" t="str">
        <x:v>HS4200のロボットセル</x:v>
      </x:c>
      <x:c r="H57" s="7" t="str">
        <x:v>フィジカルAI搭載のレール走行ロボット</x:v>
      </x:c>
      <x:c r="I57" s="7" t="str">
        <x:v>段取り指示・対象。音声や画像などの入力方式は一次資料では未確認</x:v>
      </x:c>
      <x:c r="J57" s="7" t="str">
        <x:v>誰でも簡単な自動段取り替えとのメーカー説明</x:v>
      </x:c>
      <x:c r="K57" s="7" t="str">
        <x:v>具体的に交換・変更する対象は未記載</x:v>
      </x:c>
      <x:c r="L57" s="7" t="str">
        <x:v>治具・爪・位置・プログラム等のどこを自動化するか未確認</x:v>
      </x:c>
      <x:c r="M57" s="7" t="str">
        <x:v>レールロボット搬送は既存。AI段取りの記載は確認できず</x:v>
      </x:c>
      <x:c r="N57" s="7" t="str">
        <x:v>2026はフィジカルAIによる自動段取り替えを明記</x:v>
      </x:c>
      <x:c r="O57" s="7" t="str">
        <x:v>担当タスクの追加記載</x:v>
      </x:c>
      <x:c r="P57" s="7" t="str">
        <x:v>JIMTOF2026公式カタログ掲載・現地未確認</x:v>
      </x:c>
      <x:c r="Q57" s="7" t="str">
        <x:v>2026展示予定・提供段階未確認</x:v>
      </x:c>
      <x:c r="R57" s="7" t="str">
        <x:v>交換するのは爪・治具・品種設定・動作プログラムのどれか。自然言語指示の有無と人の段取り残作業は。</x:v>
      </x:c>
      <x:c r="S57" s="7" t="str">
        <x:v>EOV-V031-2024-1
EOV-V031-2024-2
EOV-V031-2026-1</x:v>
      </x:c>
      <x:c r="T57" s="7" t="str">
        <x:v>EOV-V031-2024-1: https://www.jimtof.org/2024/search/jp/ESdetails?e=WZjeoEoTWXw
EOV-V031-2024-2: https://www.jimtof.org/2024/search/jp/ESdetails?e=bLvQhW7XtZw
EOV-V031-2026-1: https://www.jimtof.org/search/jp/ESdetails?e=xntdeqgs_F4</x:v>
      </x:c>
      <x:c r="U57" s="7" t="str">
        <x:v>個別タスクの重点整理（従来69カード）</x:v>
      </x:c>
      <x:c r="V57" s="7"/>
      <x:c r="W57" s="7"/>
      <x:c r="X57" s="7"/>
      <x:c r="Y57" s="7"/>
      <x:c r="Z57" s="7"/>
      <x:c r="AA57" s="7"/>
      <x:c r="AB57" s="7"/>
    </x:row>
    <x:row r="58" ht="170" customHeight="1">
      <x:c r="A58" s="7" t="str">
        <x:v>FC052</x:v>
      </x:c>
      <x:c r="B58" s="20" t="str">
        <x:v>日本精工</x:v>
      </x:c>
      <x:c r="C58" s="7" t="str">
        <x:v>振動診断AI・遠隔監視</x:v>
      </x:c>
      <x:c r="D58" s="7" t="str">
        <x:v>W2048</x:v>
      </x:c>
      <x:c r="E58" s="7" t="str">
        <x:v>検査・診断・予測AI
工場運用DX</x:v>
      </x:c>
      <x:c r="F58" s="7" t="str">
        <x:v>保全診断・知識支援</x:v>
      </x:c>
      <x:c r="G58" s="7" t="str">
        <x:v>設備診断・主軸周辺</x:v>
      </x:c>
      <x:c r="H58" s="7" t="str">
        <x:v>軸受・回転機械の診断システム</x:v>
      </x:c>
      <x:c r="I58" s="7" t="str">
        <x:v>振動等。2026個別AI入力は未記載</x:v>
      </x:c>
      <x:c r="J58" s="7" t="str">
        <x:v>2024はAIによる高度診断、2026はトライボロジー中心の総論</x:v>
      </x:c>
      <x:c r="K58" s="7" t="str">
        <x:v>設備保全・診断支援</x:v>
      </x:c>
      <x:c r="L58" s="7" t="str">
        <x:v>2026の同機能提供範囲は資料不足</x:v>
      </x:c>
      <x:c r="M58" s="7" t="str">
        <x:v>AI振動診断・遠隔監視を掲載</x:v>
      </x:c>
      <x:c r="N58" s="7" t="str">
        <x:v>2026総論から個別AI機能差を比較できない</x:v>
      </x:c>
      <x:c r="O58" s="7" t="str">
        <x:v>2026具体化・機能差未確定</x:v>
      </x:c>
      <x:c r="P58" s="7" t="str">
        <x:v>JIMTOF2026公式カタログ掲載・現地未確認</x:v>
      </x:c>
      <x:c r="Q58" s="7" t="str">
        <x:v>2026展示予定・提供段階未確認</x:v>
      </x:c>
      <x:c r="R58" s="7" t="str">
        <x:v>AI診断は2026のどの製品・展示に継承されるか。記載減を機能撤退と解釈しない。</x:v>
      </x:c>
      <x:c r="S58" s="7" t="str">
        <x:v>EOV-V032-2024-1
EOV-V032-2026-1</x:v>
      </x:c>
      <x:c r="T58" s="7" t="str">
        <x:v>EOV-V032-2024-1: https://www.jimtof.org/2024/search/jp/ESdetails?e=5maDHvHPff8
EOV-V032-2026-1: https://www.jimtof.org/search/jp/ESdetails?e=hzAGGAi5wL4</x:v>
      </x:c>
      <x:c r="U58" s="7" t="str">
        <x:v>個別タスクの重点整理（従来69カード）</x:v>
      </x:c>
      <x:c r="V58" s="7"/>
      <x:c r="W58" s="7"/>
      <x:c r="X58" s="7"/>
      <x:c r="Y58" s="7"/>
      <x:c r="Z58" s="7"/>
      <x:c r="AA58" s="7"/>
      <x:c r="AB58" s="7"/>
    </x:row>
    <x:row r="59" ht="170" customHeight="1">
      <x:c r="A59" s="7" t="str">
        <x:v>FC053</x:v>
      </x:c>
      <x:c r="B59" s="20" t="str">
        <x:v>日本エスケイエフ</x:v>
      </x:c>
      <x:c r="C59" s="7" t="str">
        <x:v>Adaptive Lubrication／主軸監視</x:v>
      </x:c>
      <x:c r="D59" s="7" t="str">
        <x:v>S3031</x:v>
      </x:c>
      <x:c r="E59" s="7" t="str">
        <x:v>工場運用DX
自動化</x:v>
      </x:c>
      <x:c r="F59" s="7" t="str">
        <x:v>潤滑・主軸状態管理</x:v>
      </x:c>
      <x:c r="G59" s="7" t="str">
        <x:v>主軸・軸受・潤滑系</x:v>
      </x:c>
      <x:c r="H59" s="7" t="str">
        <x:v>主軸関連システム</x:v>
      </x:c>
      <x:c r="I59" s="7" t="str">
        <x:v>状態監視情報。潤滑制御の具体入力は未確認</x:v>
      </x:c>
      <x:c r="J59" s="7" t="str">
        <x:v>適応潤滑と監視・主軸構成を紹介</x:v>
      </x:c>
      <x:c r="K59" s="7" t="str">
        <x:v>信頼性と潤滑負荷の改善を狙う</x:v>
      </x:c>
      <x:c r="L59" s="7" t="str">
        <x:v>自動調整の条件・AI使用・効果実測は未確認</x:v>
      </x:c>
      <x:c r="M59" s="7" t="str">
        <x:v>監視・潤滑を掲載</x:v>
      </x:c>
      <x:c r="N59" s="7" t="str">
        <x:v>Adaptive Lubrication等を具体掲載</x:v>
      </x:c>
      <x:c r="O59" s="7" t="str">
        <x:v>2026具体化・機能差未確定</x:v>
      </x:c>
      <x:c r="P59" s="7" t="str">
        <x:v>JIMTOF2026公式カタログ掲載・現地未確認</x:v>
      </x:c>
      <x:c r="Q59" s="7" t="str">
        <x:v>2026展示予定・提供段階未確認</x:v>
      </x:c>
      <x:c r="R59" s="7" t="str">
        <x:v>状態基準保全・省エネ効果の適用条件と実績は未確認</x:v>
      </x:c>
      <x:c r="S59" s="7" t="str">
        <x:v>EOV-V033-2024-1
EOV-V033-2026-1</x:v>
      </x:c>
      <x:c r="T59" s="7" t="str">
        <x:v>EOV-V033-2024-1: https://www.jimtof.org/2024/search/jp/ESdetails?e=_wNjhm1EAFE
EOV-V033-2026-1: https://www.jimtof.org/search/jp/ESdetails?e=h22pEjdpmdU</x:v>
      </x:c>
      <x:c r="U59" s="7" t="str">
        <x:v>個別タスクの重点整理（従来69カード）</x:v>
      </x:c>
      <x:c r="V59" s="7"/>
      <x:c r="W59" s="7"/>
      <x:c r="X59" s="7"/>
      <x:c r="Y59" s="7"/>
      <x:c r="Z59" s="7"/>
      <x:c r="AA59" s="7"/>
      <x:c r="AB59" s="7"/>
    </x:row>
    <x:row r="60" ht="170" customHeight="1">
      <x:c r="A60" s="7" t="str">
        <x:v>FC054</x:v>
      </x:c>
      <x:c r="B60" s="20" t="str">
        <x:v>Wintech Automation</x:v>
      </x:c>
      <x:c r="C60" s="7" t="str">
        <x:v>HGM-DX：測定フィードバック研削</x:v>
      </x:c>
      <x:c r="D60" s="7" t="str">
        <x:v>W3051</x:v>
      </x:c>
      <x:c r="E60" s="7" t="str">
        <x:v>工場運用DX
自動化</x:v>
      </x:c>
      <x:c r="F60" s="7" t="str">
        <x:v>測定から加工へ補正</x:v>
      </x:c>
      <x:c r="G60" s="7" t="str">
        <x:v>超硬工具の両面研削ライン</x:v>
      </x:c>
      <x:c r="H60" s="7" t="str">
        <x:v>研削機＋自動ハンドリング＋ドレッシング＋測定</x:v>
      </x:c>
      <x:c r="I60" s="7" t="str">
        <x:v>加工後の厚み・刃先高さ</x:v>
      </x:c>
      <x:c r="J60" s="7" t="str">
        <x:v>測定値を研削機に返して加工公差を自動補正</x:v>
      </x:c>
      <x:c r="K60" s="7" t="str">
        <x:v>無人研削の寸法補正</x:v>
      </x:c>
      <x:c r="L60" s="7" t="str">
        <x:v>補正上限、測定不確かさ、異常値への対応は未確認</x:v>
      </x:c>
      <x:c r="M60" s="7" t="str">
        <x:v>超硬インサートの製造・検査自動化を説明</x:v>
      </x:c>
      <x:c r="N60" s="7" t="str">
        <x:v>HGM-DXで測定→研削の補正経路を具体記載</x:v>
      </x:c>
      <x:c r="O60" s="7" t="str">
        <x:v>担当タスクの追加記載</x:v>
      </x:c>
      <x:c r="P60" s="7" t="str">
        <x:v>JIMTOF2026公式カタログ掲載・現地未確認</x:v>
      </x:c>
      <x:c r="Q60" s="7" t="str">
        <x:v>2026展示予定・提供段階未確認</x:v>
      </x:c>
      <x:c r="R60" s="7" t="str">
        <x:v>方式説明は確認。既存版との制御差、安定性・測定不確かさは未確認</x:v>
      </x:c>
      <x:c r="S60" s="7" t="str">
        <x:v>EOV-V034-2024-1
EOV-V034-2026-1</x:v>
      </x:c>
      <x:c r="T60" s="7" t="str">
        <x:v>EOV-V034-2024-1: https://www.jimtof.org/2024/search/jp/ESdetails?e=-09Q4AWJx1E
EOV-V034-2026-1: https://www.jimtof.org/search/jp/ESdetails?e=lMk3zNvQJbg</x:v>
      </x:c>
      <x:c r="U60" s="7" t="str">
        <x:v>個別タスクの重点整理（従来69カード）</x:v>
      </x:c>
      <x:c r="V60" s="7"/>
      <x:c r="W60" s="7"/>
      <x:c r="X60" s="7"/>
      <x:c r="Y60" s="7"/>
      <x:c r="Z60" s="7"/>
      <x:c r="AA60" s="7"/>
      <x:c r="AB60" s="7"/>
    </x:row>
    <x:row r="61" ht="170" customHeight="1">
      <x:c r="A61" s="7" t="str">
        <x:v>FC055</x:v>
      </x:c>
      <x:c r="B61" s="20" t="str">
        <x:v>Walter Maschinenbau</x:v>
      </x:c>
      <x:c r="C61" s="7" t="str">
        <x:v>ATP：工具製造の工程間搬送</x:v>
      </x:c>
      <x:c r="D61" s="7" t="str">
        <x:v>E8001</x:v>
      </x:c>
      <x:c r="E61" s="7" t="str">
        <x:v>工場運用DX
自動化</x:v>
      </x:c>
      <x:c r="F61" s="7" t="str">
        <x:v>工場内搬送</x:v>
      </x:c>
      <x:c r="G61" s="7" t="str">
        <x:v>工具研削・放電・計測をまたぐセル</x:v>
      </x:c>
      <x:c r="H61" s="7" t="str">
        <x:v>複数工程・他社設備を含む自動搬送システム</x:v>
      </x:c>
      <x:c r="I61" s="7" t="str">
        <x:v>工具・工程情報。詳細仕様未確認</x:v>
      </x:c>
      <x:c r="J61" s="7" t="str">
        <x:v>ATPで複数の加工・測定工程を接続</x:v>
      </x:c>
      <x:c r="K61" s="7" t="str">
        <x:v>工程間の搬送と生産連携</x:v>
      </x:c>
      <x:c r="L61" s="7" t="str">
        <x:v>機種別連携・工具切替・停止復帰の詳細は未確認</x:v>
      </x:c>
      <x:c r="M61" s="7" t="str">
        <x:v>ATP、他社機連携を掲載</x:v>
      </x:c>
      <x:c r="N61" s="7" t="str">
        <x:v>ATPを日本初公開とするが版・対象の差は不明</x:v>
      </x:c>
      <x:c r="O61" s="7" t="str">
        <x:v>2024から継続</x:v>
      </x:c>
      <x:c r="P61" s="7" t="str">
        <x:v>JIMTOF2026公式カタログ掲載・現地未確認</x:v>
      </x:c>
      <x:c r="Q61" s="7" t="str">
        <x:v>2026展示予定・提供段階未確認</x:v>
      </x:c>
      <x:c r="R61" s="7" t="str">
        <x:v>同名システムの初公開表現だけで新規性を認定しない</x:v>
      </x:c>
      <x:c r="S61" s="7" t="str">
        <x:v>EOV-V035-2024-1
EOV-V035-2026-1</x:v>
      </x:c>
      <x:c r="T61" s="7" t="str">
        <x:v>EOV-V035-2024-1: https://www.jimtof.org/2024/search/jp/ESdetails?e=lCRhaAH1JOM
EOV-V035-2026-1: https://www.jimtof.org/search/jp/ESdetails?e=roSu2EMRXwk</x:v>
      </x:c>
      <x:c r="U61" s="7" t="str">
        <x:v>個別タスクの重点整理（従来69カード）</x:v>
      </x:c>
      <x:c r="V61" s="7"/>
      <x:c r="W61" s="7"/>
      <x:c r="X61" s="7"/>
      <x:c r="Y61" s="7"/>
      <x:c r="Z61" s="7"/>
      <x:c r="AA61" s="7"/>
      <x:c r="AB61" s="7"/>
    </x:row>
    <x:row r="62" ht="170" customHeight="1">
      <x:c r="A62" s="7" t="str">
        <x:v>FC056</x:v>
      </x:c>
      <x:c r="B62" s="20" t="str">
        <x:v>Innovalia Metrology</x:v>
      </x:c>
      <x:c r="C62" s="7" t="str">
        <x:v>M3MH：既設機での機上計測</x:v>
      </x:c>
      <x:c r="D62" s="7" t="str">
        <x:v>S4001</x:v>
      </x:c>
      <x:c r="E62" s="7" t="str">
        <x:v>設計・製造DX
自動化</x:v>
      </x:c>
      <x:c r="F62" s="7" t="str">
        <x:v>寸法・形状計測</x:v>
      </x:c>
      <x:c r="G62" s="7" t="str">
        <x:v>既設3軸・5軸加工機</x:v>
      </x:c>
      <x:c r="H62" s="7" t="str">
        <x:v>機上測定システム</x:v>
      </x:c>
      <x:c r="I62" s="7" t="str">
        <x:v>CAD・機上測定データ</x:v>
      </x:c>
      <x:c r="J62" s="7" t="str">
        <x:v>オフライン測定計画と機上の形状評価・工程制御を紹介</x:v>
      </x:c>
      <x:c r="K62" s="7" t="str">
        <x:v>載せ替えを抑える測定・工程情報</x:v>
      </x:c>
      <x:c r="L62" s="7" t="str">
        <x:v>校正・機械精度・対応機種・補正先の詳細は未確認</x:v>
      </x:c>
      <x:c r="M62" s="7" t="str">
        <x:v>機上評価・CAD計画・リアルタイム工程制御を説明済み</x:v>
      </x:c>
      <x:c r="N62" s="7" t="str">
        <x:v>後付け・工数削減を再訴求</x:v>
      </x:c>
      <x:c r="O62" s="7" t="str">
        <x:v>2024から継続</x:v>
      </x:c>
      <x:c r="P62" s="7" t="str">
        <x:v>JIMTOF2026公式カタログ掲載・現地未確認</x:v>
      </x:c>
      <x:c r="Q62" s="7" t="str">
        <x:v>2026展示予定・提供段階未確認</x:v>
      </x:c>
      <x:c r="R62" s="7" t="str">
        <x:v>既存方式の継続。精度検証・校正・機種適合性が制約</x:v>
      </x:c>
      <x:c r="S62" s="7" t="str">
        <x:v>EOV-V036-2024-1
EOV-V036-2026-1</x:v>
      </x:c>
      <x:c r="T62" s="7" t="str">
        <x:v>EOV-V036-2024-1: https://www.jimtof.org/2024/search/jp/ESdetails?e=WPabQbHCkho
EOV-V036-2026-1: https://www.jimtof.org/search/jp/ESdetails?e=gvfw4D5z-qc</x:v>
      </x:c>
      <x:c r="U62" s="7" t="str">
        <x:v>個別タスクの重点整理（従来69カード）</x:v>
      </x:c>
      <x:c r="V62" s="7"/>
      <x:c r="W62" s="7"/>
      <x:c r="X62" s="7"/>
      <x:c r="Y62" s="7"/>
      <x:c r="Z62" s="7"/>
      <x:c r="AA62" s="7"/>
      <x:c r="AB62" s="7"/>
    </x:row>
    <x:row r="63" ht="170" customHeight="1">
      <x:c r="A63" s="7" t="str">
        <x:v>FC057</x:v>
      </x:c>
      <x:c r="B63" s="20" t="str">
        <x:v>ニコン</x:v>
      </x:c>
      <x:c r="C63" s="7" t="str">
        <x:v>NEXIV・CT・ロボットビジョン等</x:v>
      </x:c>
      <x:c r="D63" s="7" t="str">
        <x:v>E7001</x:v>
      </x:c>
      <x:c r="E63" s="7" t="str">
        <x:v>設計・製造DX
自動化</x:v>
      </x:c>
      <x:c r="F63" s="7" t="str">
        <x:v>寸法・形状計測</x:v>
      </x:c>
      <x:c r="G63" s="7" t="str">
        <x:v>外観・寸法・内部品質の評価</x:v>
      </x:c>
      <x:c r="H63" s="7" t="str">
        <x:v>画像測定・CT・ロボット関連計測</x:v>
      </x:c>
      <x:c r="I63" s="7" t="str">
        <x:v>画像・CT・測定対象</x:v>
      </x:c>
      <x:c r="J63" s="7" t="str">
        <x:v>異なる計測手段で工程別の品質を評価</x:v>
      </x:c>
      <x:c r="K63" s="7" t="str">
        <x:v>外観・寸法・内部品質の情報</x:v>
      </x:c>
      <x:c r="L63" s="7" t="str">
        <x:v>一体化した自律補正やAIの性能向上は資料から不明</x:v>
      </x:c>
      <x:c r="M63" s="7" t="str">
        <x:v>ロボット測定・自動搬送・インライン検査を掲載</x:v>
      </x:c>
      <x:c r="N63" s="7" t="str">
        <x:v>計測・画像・CT・ビジョンの統合的訴求</x:v>
      </x:c>
      <x:c r="O63" s="7" t="str">
        <x:v>2024から継続</x:v>
      </x:c>
      <x:c r="P63" s="7" t="str">
        <x:v>JIMTOF2026公式カタログ掲載・現地未確認</x:v>
      </x:c>
      <x:c r="Q63" s="7" t="str">
        <x:v>2026展示予定・提供段階未確認</x:v>
      </x:c>
      <x:c r="R63" s="7" t="str">
        <x:v>品質制御の閉ループやAI精度向上はカタログから断定不可</x:v>
      </x:c>
      <x:c r="S63" s="7" t="str">
        <x:v>EOV-V037-2024-1
EOV-V037-2026-1</x:v>
      </x:c>
      <x:c r="T63" s="7" t="str">
        <x:v>EOV-V037-2024-1: https://www.jimtof.org/2024/search/jp/ESdetails?e=anszOsTbjDI
EOV-V037-2026-1: https://www.jimtof.org/search/jp/ESdetails?e=lmqsWTyiVAY</x:v>
      </x:c>
      <x:c r="U63" s="7" t="str">
        <x:v>個別タスクの重点整理（従来69カード）</x:v>
      </x:c>
      <x:c r="V63" s="7"/>
      <x:c r="W63" s="7"/>
      <x:c r="X63" s="7"/>
      <x:c r="Y63" s="7"/>
      <x:c r="Z63" s="7"/>
      <x:c r="AA63" s="7"/>
      <x:c r="AB63" s="7"/>
    </x:row>
    <x:row r="64" ht="170" customHeight="1">
      <x:c r="A64" s="7" t="str">
        <x:v>FC058</x:v>
      </x:c>
      <x:c r="B64" s="20" t="str">
        <x:v>ミロクリエ</x:v>
      </x:c>
      <x:c r="C64" s="7" t="str">
        <x:v>ミロクルAI保全ナビ／分析レポート</x:v>
      </x:c>
      <x:c r="D64" s="7" t="str">
        <x:v>E2016</x:v>
      </x:c>
      <x:c r="E64" s="7" t="str">
        <x:v>AIエージェント・対話支援
検査・診断・予測AI
工場運用DX</x:v>
      </x:c>
      <x:c r="F64" s="7" t="str">
        <x:v>保全診断・知識支援</x:v>
      </x:c>
      <x:c r="G64" s="7" t="str">
        <x:v>保全クラウドの対話・分析機能</x:v>
      </x:c>
      <x:c r="H64" s="7" t="str">
        <x:v>保全クラウド、AI分析レポート、対話・音声による保全ナビ</x:v>
      </x:c>
      <x:c r="I64" s="7" t="str">
        <x:v>保全履歴・現場の音声入力・質問</x:v>
      </x:c>
      <x:c r="J64" s="7" t="str">
        <x:v>記録を整形し類似トラブルのヒント、KPIと分析解説を生成</x:v>
      </x:c>
      <x:c r="K64" s="7" t="str">
        <x:v>保全記録・診断のヒント・分析レポート</x:v>
      </x:c>
      <x:c r="L64" s="7" t="str">
        <x:v>設備への操作指示・修理実行は説明なし。AIオプションと本体を区別</x:v>
      </x:c>
      <x:c r="M64" s="7" t="str">
        <x:v>2024詳細なし</x:v>
      </x:c>
      <x:c r="N64" s="7" t="str">
        <x:v>2026は保全ナビ・分析・ヘルプを個別説明</x:v>
      </x:c>
      <x:c r="O64" s="7" t="str">
        <x:v>2024個別比較不能</x:v>
      </x:c>
      <x:c r="P64" s="7" t="str">
        <x:v>JIMTOF2026公式カタログ掲載・現地未確認</x:v>
      </x:c>
      <x:c r="Q64" s="7" t="str">
        <x:v>本体とは別のAIオプション・提供範囲未確認</x:v>
      </x:c>
      <x:c r="R64" s="7" t="str">
        <x:v>α版と本体機能・選択オプションを区別。自律保全とはしない</x:v>
      </x:c>
      <x:c r="S64" s="7" t="str">
        <x:v>EOV-V038-2026-1</x:v>
      </x:c>
      <x:c r="T64" s="7" t="str">
        <x:v>EOV-V038-2026-1: https://www.jimtof.org/search/jp/ESdetails?e=IQhLnLagU5I</x:v>
      </x:c>
      <x:c r="U64" s="7" t="str">
        <x:v>個別タスクの重点整理（従来69カード）</x:v>
      </x:c>
      <x:c r="V64" s="7"/>
      <x:c r="W64" s="7"/>
      <x:c r="X64" s="7"/>
      <x:c r="Y64" s="7"/>
      <x:c r="Z64" s="7"/>
      <x:c r="AA64" s="7"/>
      <x:c r="AB64" s="7"/>
    </x:row>
    <x:row r="65" ht="170" customHeight="1">
      <x:c r="A65" s="7" t="str">
        <x:v>FC059</x:v>
      </x:c>
      <x:c r="B65" s="20" t="str">
        <x:v>ミロクリエ</x:v>
      </x:c>
      <x:c r="C65" s="7" t="str">
        <x:v>ミロクルAIメーター読み取り</x:v>
      </x:c>
      <x:c r="D65" s="7" t="str">
        <x:v>E2016</x:v>
      </x:c>
      <x:c r="E65" s="7" t="str">
        <x:v>検査・診断・予測AI
工場運用DX
自動化</x:v>
      </x:c>
      <x:c r="F65" s="7" t="str">
        <x:v>異機種・旧設備の接続</x:v>
      </x:c>
      <x:c r="G65" s="7" t="str">
        <x:v>スマホ等の点検入力</x:v>
      </x:c>
      <x:c r="H65" s="7" t="str">
        <x:v>メーター画像読取AIと点検入力機能（α版）</x:v>
      </x:c>
      <x:c r="I65" s="7" t="str">
        <x:v>メーター画像</x:v>
      </x:c>
      <x:c r="J65" s="7" t="str">
        <x:v>画像から値を読み点検欄へ反映</x:v>
      </x:c>
      <x:c r="K65" s="7" t="str">
        <x:v>数値と画像の点検記録</x:v>
      </x:c>
      <x:c r="L65" s="7" t="str">
        <x:v>読取確認・対応計器・オフライン条件は未確認</x:v>
      </x:c>
      <x:c r="M65" s="7" t="str">
        <x:v>2024詳細なし</x:v>
      </x:c>
      <x:c r="N65" s="7" t="str">
        <x:v>2026はα版と明記</x:v>
      </x:c>
      <x:c r="O65" s="7" t="str">
        <x:v>2024個別比較不能</x:v>
      </x:c>
      <x:c r="P65" s="7" t="str">
        <x:v>JIMTOF2026公式カタログ掲載・現地未確認</x:v>
      </x:c>
      <x:c r="Q65" s="7" t="str">
        <x:v>α版・AIオプション</x:v>
      </x:c>
      <x:c r="R65" s="7" t="str">
        <x:v>α版と本体機能・選択オプションを区別。自律保全とはしない</x:v>
      </x:c>
      <x:c r="S65" s="7" t="str">
        <x:v>EOV-V038-2026-1</x:v>
      </x:c>
      <x:c r="T65" s="7" t="str">
        <x:v>EOV-V038-2026-1: https://www.jimtof.org/search/jp/ESdetails?e=IQhLnLagU5I</x:v>
      </x:c>
      <x:c r="U65" s="7" t="str">
        <x:v>個別タスクの重点整理（従来69カード）</x:v>
      </x:c>
      <x:c r="V65" s="7"/>
      <x:c r="W65" s="7"/>
      <x:c r="X65" s="7"/>
      <x:c r="Y65" s="7"/>
      <x:c r="Z65" s="7"/>
      <x:c r="AA65" s="7"/>
      <x:c r="AB65" s="7"/>
    </x:row>
    <x:row r="66" ht="170" customHeight="1">
      <x:c r="A66" s="7" t="str">
        <x:v>FC060</x:v>
      </x:c>
      <x:c r="B66" s="20" t="str">
        <x:v>UEL</x:v>
      </x:c>
      <x:c r="C66" s="7" t="str">
        <x:v>BreylSimulator</x:v>
      </x:c>
      <x:c r="D66" s="7" t="str">
        <x:v>S1024</x:v>
      </x:c>
      <x:c r="E66" s="7" t="str">
        <x:v>設計・製造DX
自動化</x:v>
      </x:c>
      <x:c r="F66" s="7" t="str">
        <x:v>治具設計</x:v>
      </x:c>
      <x:c r="G66" s="7" t="str">
        <x:v>加工用クランプ・治具設計</x:v>
      </x:c>
      <x:c r="H66" s="7" t="str">
        <x:v>クランプ構成ルールDBと治具設計提案ソフトウェア</x:v>
      </x:c>
      <x:c r="I66" s="7" t="str">
        <x:v>クランプ構成・設計ルールDB</x:v>
      </x:c>
      <x:c r="J66" s="7" t="str">
        <x:v>ルールDBを用いて設計・構成案を提案</x:v>
      </x:c>
      <x:c r="K66" s="7" t="str">
        <x:v>治具設計の候補</x:v>
      </x:c>
      <x:c r="L66" s="7" t="str">
        <x:v>ルール外の形状や制約、設計採否は要確認。生成AI方式と扱わない</x:v>
      </x:c>
      <x:c r="M66" s="7" t="str">
        <x:v>BreylSimulatorとルールDBを掲載</x:v>
      </x:c>
      <x:c r="N66" s="7" t="str">
        <x:v>同製品に加えAI・XR等を紹介</x:v>
      </x:c>
      <x:c r="O66" s="7" t="str">
        <x:v>2024から継続</x:v>
      </x:c>
      <x:c r="P66" s="7" t="str">
        <x:v>JIMTOF2026公式カタログ掲載・現地未確認</x:v>
      </x:c>
      <x:c r="Q66" s="7" t="str">
        <x:v>2026展示予定・提供段階未確認</x:v>
      </x:c>
      <x:c r="R66" s="7" t="str">
        <x:v>ルールDB方式の実績を生成AIの成果と解釈しない</x:v>
      </x:c>
      <x:c r="S66" s="7" t="str">
        <x:v>EOV-V039-2024-1
EOV-V039-2026-1</x:v>
      </x:c>
      <x:c r="T66" s="7" t="str">
        <x:v>EOV-V039-2024-1: https://www.jimtof.org/2024/search/jp/ESdetails?e=uIeoIsq5v7g
EOV-V039-2026-1: https://www.jimtof.org/search/jp/ESdetails?e=dBv-8tktfaE</x:v>
      </x:c>
      <x:c r="U66" s="7" t="str">
        <x:v>個別タスクの重点整理（従来69カード）</x:v>
      </x:c>
      <x:c r="V66" s="7"/>
      <x:c r="W66" s="7"/>
      <x:c r="X66" s="7"/>
      <x:c r="Y66" s="7"/>
      <x:c r="Z66" s="7"/>
      <x:c r="AA66" s="7"/>
      <x:c r="AB66" s="7"/>
    </x:row>
    <x:row r="67" ht="170" customHeight="1">
      <x:c r="A67" s="7" t="str">
        <x:v>FC061</x:v>
      </x:c>
      <x:c r="B67" s="20" t="str">
        <x:v>テクノア</x:v>
      </x:c>
      <x:c r="C67" s="7" t="str">
        <x:v>TECHS系：スマホ実績・購買API</x:v>
      </x:c>
      <x:c r="D67" s="7" t="str">
        <x:v>S3009</x:v>
      </x:c>
      <x:c r="E67" s="7" t="str">
        <x:v>工場運用DX
自動化</x:v>
      </x:c>
      <x:c r="F67" s="7" t="str">
        <x:v>生産・品質・在庫管理</x:v>
      </x:c>
      <x:c r="G67" s="7" t="str">
        <x:v>生産管理と現場入力・購買</x:v>
      </x:c>
      <x:c r="H67" s="7" t="str">
        <x:v>生産管理ソフトウェア、スマホ実績入力、購買API連携</x:v>
      </x:c>
      <x:c r="I67" s="7" t="str">
        <x:v>実績・購買・商品DB等</x:v>
      </x:c>
      <x:c r="J67" s="7" t="str">
        <x:v>スマホ入力と購買APIで転記・連携の負担を抑える</x:v>
      </x:c>
      <x:c r="K67" s="7" t="str">
        <x:v>生産実績・購買情報</x:v>
      </x:c>
      <x:c r="L67" s="7" t="str">
        <x:v>AIによる自律購買や全体計画の確定とは未確認</x:v>
      </x:c>
      <x:c r="M67" s="7" t="str">
        <x:v>AI・IoT、生産管理4500社超を既に掲載</x:v>
      </x:c>
      <x:c r="N67" s="7" t="str">
        <x:v>購買API・スマホ機能を具体化</x:v>
      </x:c>
      <x:c r="O67" s="7" t="str">
        <x:v>2026具体化・機能差未確定</x:v>
      </x:c>
      <x:c r="P67" s="7" t="str">
        <x:v>JIMTOF2026公式カタログ掲載・現地未確認</x:v>
      </x:c>
      <x:c r="Q67" s="7" t="str">
        <x:v>2026展示予定・提供段階未確認</x:v>
      </x:c>
      <x:c r="R67" s="7" t="str">
        <x:v>導入社数は生産管理全体とAI機能を区別。機能ごとの利用・受注・業務削減実績は。</x:v>
      </x:c>
      <x:c r="S67" s="7" t="str">
        <x:v>EOV-V040-2024-1
EOV-V040-2026-1</x:v>
      </x:c>
      <x:c r="T67" s="7" t="str">
        <x:v>EOV-V040-2024-1: https://www.jimtof.org/2024/search/jp/ESdetails?e=lmqsWTyiVAY
EOV-V040-2026-1: https://www.jimtof.org/search/jp/ESdetails?e=sSRmH-KuV8U</x:v>
      </x:c>
      <x:c r="U67" s="7" t="str">
        <x:v>個別タスクの重点整理（従来69カード）</x:v>
      </x:c>
      <x:c r="V67" s="7"/>
      <x:c r="W67" s="7"/>
      <x:c r="X67" s="7"/>
      <x:c r="Y67" s="7"/>
      <x:c r="Z67" s="7"/>
      <x:c r="AA67" s="7"/>
      <x:c r="AB67" s="7"/>
    </x:row>
    <x:row r="68" ht="170" customHeight="1">
      <x:c r="A68" s="7" t="str">
        <x:v>FC062</x:v>
      </x:c>
      <x:c r="B68" s="20" t="str">
        <x:v>匠技研工業</x:v>
      </x:c>
      <x:c r="C68" s="7" t="str">
        <x:v>匠フォース：業務AIエージェント</x:v>
      </x:c>
      <x:c r="D68" s="7" t="str">
        <x:v>S3011</x:v>
      </x:c>
      <x:c r="E68" s="7" t="str">
        <x:v>AIエージェント・対話支援
加工準備・業務AI
工場運用DX
自動化
自律化</x:v>
      </x:c>
      <x:c r="F68" s="7" t="str">
        <x:v>図面検索・見積・調達</x:v>
      </x:c>
      <x:c r="G68" s="7" t="str">
        <x:v>見積・設計・調達・原価管理業務</x:v>
      </x:c>
      <x:c r="H68" s="7" t="str">
        <x:v>見積・設計・調達・原価管理向けAIエージェント。接続構成は未記載</x:v>
      </x:c>
      <x:c r="I68" s="7" t="str">
        <x:v>引合メール・図面・過去見積・原価情報・担当者の修正</x:v>
      </x:c>
      <x:c r="J68" s="7" t="str">
        <x:v>図面認識、類似案件参照、材料費・加工費・自社見積金額の算出</x:v>
      </x:c>
      <x:c r="K68" s="7" t="str">
        <x:v>引合受領から見積書のたたき台を生成。人の修正を次回の学習へ還元する説明</x:v>
      </x:c>
      <x:c r="L68" s="7" t="str">
        <x:v>事前準備：公式：過去見積・原価・自社の見積ロジックを利用／承認：公式：担当者が根拠を見て確認・修正・承認／例外対応：未記載：図面不足・矛盾、再学習の誤更新、承認前の社外送信</x:v>
      </x:c>
      <x:c r="M68" s="7" t="str">
        <x:v>2024詳細なし</x:v>
      </x:c>
      <x:c r="N68" s="7" t="str">
        <x:v>2026/7/17のメーカー発表で、引合メール受領・図面認識・原価計算・類似参照・見積書生成と、人の確認修正承認・再学習を具体化。</x:v>
      </x:c>
      <x:c r="O68" s="7" t="str">
        <x:v>2024個別比較不能</x:v>
      </x:c>
      <x:c r="P68" s="7" t="str">
        <x:v>JIMTOF2026公式カタログ掲載・現地未確認</x:v>
      </x:c>
      <x:c r="Q68" s="7" t="str">
        <x:v>2026年7月に新プロダクト発表。顧客別提供・JIMTOF展示版の権限は要確認</x:v>
      </x:c>
      <x:c r="R68" s="7" t="str">
        <x:v>見積以外の管理業務全体への展開は将来。自動送信・ERP更新の権限は未確認 現地質問：見積1件の入力→検索→計算→提案→承認→登録を実演で追い、各段階の実行者を確認する。</x:v>
      </x:c>
      <x:c r="S68" s="7" t="str">
        <x:v>EOV-V041-2026-1
EDP-05</x:v>
      </x:c>
      <x:c r="T68" s="7" t="str">
        <x:v>EOV-V041-2026-1: https://www.jimtof.org/search/jp/ESdetails?e=i_4zCxJP258
EDP-05: https://prtimes.jp/main/html/rd/p/000000031.000057137.html</x:v>
      </x:c>
      <x:c r="U68" s="7" t="str">
        <x:v>個別タスクの重点整理（従来69カード）</x:v>
      </x:c>
      <x:c r="V68" s="7" t="str">
        <x:v>業務の算定・文書生成と人の承認</x:v>
      </x:c>
      <x:c r="W68" s="7" t="str">
        <x:v>図面認識、類似案件参照、材料費・加工費・自社見積金額の算出</x:v>
      </x:c>
      <x:c r="X68" s="7" t="str">
        <x:v>引合受領から見積書のたたき台を生成。人の修正を次回の学習へ還元する説明</x:v>
      </x:c>
      <x:c r="Y68" s="7" t="str">
        <x:v>公式：過去見積・原価・自社の見積ロジックを利用</x:v>
      </x:c>
      <x:c r="Z68" s="7" t="str">
        <x:v>公式：担当者が根拠を見て確認・修正・承認</x:v>
      </x:c>
      <x:c r="AA68" s="7" t="str">
        <x:v>未記載：図面不足・矛盾、再学習の誤更新、承認前の社外送信</x:v>
      </x:c>
      <x:c r="AB68" s="7" t="str">
        <x:v>見積以外の管理業務全体への展開は将来。自動送信・ERP更新の権限は未確認</x:v>
      </x:c>
    </x:row>
    <x:row r="69" ht="170" customHeight="1">
      <x:c r="A69" s="7" t="str">
        <x:v>FC063</x:v>
      </x:c>
      <x:c r="B69" s="20" t="str">
        <x:v>興和オプトロニクス</x:v>
      </x:c>
      <x:c r="C69" s="7" t="str">
        <x:v>RW耐環境ビジョンユニット</x:v>
      </x:c>
      <x:c r="D69" s="7" t="str">
        <x:v>S3104</x:v>
      </x:c>
      <x:c r="E69" s="7" t="str">
        <x:v>検査・診断・予測AI
工場運用DX
自動化
AI実装・連携基盤</x:v>
      </x:c>
      <x:c r="F69" s="7" t="str">
        <x:v>過酷環境の撮像</x:v>
      </x:c>
      <x:c r="G69" s="7" t="str">
        <x:v>工作機械内部・製造ライン</x:v>
      </x:c>
      <x:c r="H69" s="7" t="str">
        <x:v>回転機構・エア制御を備えた耐環境撮像ユニット</x:v>
      </x:c>
      <x:c r="I69" s="7" t="str">
        <x:v>回転機構付きRWカメラの加工中画像と、別体ビジョンプロセッサ</x:v>
      </x:c>
      <x:c r="J69" s="7" t="str">
        <x:v>加工不良・切粉巻付き・刃先の欠損をAIで検出する説明</x:v>
      </x:c>
      <x:c r="K69" s="7" t="str">
        <x:v>異常部のヒートマップ表示、アラート発信。切粉除去や機械停止は別の接続機能で未確認</x:v>
      </x:c>
      <x:c r="L69" s="7" t="str">
        <x:v>事前準備：公式：ビジョンプロセッサとの組合せが必要。学習・閾値・照明の設定手順は未公開／承認：未記載：アラート後の継続加工・停止の承認者と自動停止範囲／例外対応：未記載：カメラ視界不良、油付着、過検出・見逃し時の切替</x:v>
      </x:c>
      <x:c r="M69" s="7" t="str">
        <x:v>2024詳細なし</x:v>
      </x:c>
      <x:c r="N69" s="7" t="str">
        <x:v>2026は耐環境撮像とAIによる切粉・工具異常検知を具体説明</x:v>
      </x:c>
      <x:c r="O69" s="7" t="str">
        <x:v>2024個別比較不能</x:v>
      </x:c>
      <x:c r="P69" s="7" t="str">
        <x:v>JIMTOF2026公式カタログ掲載・現地未確認</x:v>
      </x:c>
      <x:c r="Q69" s="7" t="str">
        <x:v>2026展示予定・提供段階未確認</x:v>
      </x:c>
      <x:c r="R69" s="7" t="str">
        <x:v>RWカメラ単体とAI解析を含む構成を分ける。検知→通知は確認、検知→自動除去は未確認 現地質問：AI以前に撮像安定性が成立条件。検出遅延・見逃しを現地確認</x:v>
      </x:c>
      <x:c r="S69" s="7" t="str">
        <x:v>EOV-V042-2026-1
EDP-33</x:v>
      </x:c>
      <x:c r="T69" s="7" t="str">
        <x:v>EOV-V042-2026-1: https://www.jimtof.org/search/jp/ESdetails?e=v6nw4APC-vQ
EDP-33: https://optical.kowa-opt.co.jp/camera-rw/</x:v>
      </x:c>
      <x:c r="U69" s="7" t="str">
        <x:v>個別タスクの重点整理（従来69カード）</x:v>
      </x:c>
      <x:c r="V69" s="7" t="str">
        <x:v>機内画像の異常検知・通知</x:v>
      </x:c>
      <x:c r="W69" s="7" t="str">
        <x:v>加工不良・切粉巻付き・刃先の欠損をAIで検出する説明</x:v>
      </x:c>
      <x:c r="X69" s="7" t="str">
        <x:v>異常部のヒートマップ表示、アラート発信。切粉除去や機械停止は別の接続機能で未確認</x:v>
      </x:c>
      <x:c r="Y69" s="7" t="str">
        <x:v>公式：ビジョンプロセッサとの組合せが必要。学習・閾値・照明の設定手順は未公開</x:v>
      </x:c>
      <x:c r="Z69" s="7" t="str">
        <x:v>未記載：アラート後の継続加工・停止の承認者と自動停止範囲</x:v>
      </x:c>
      <x:c r="AA69" s="7" t="str">
        <x:v>未記載：カメラ視界不良、油付着、過検出・見逃し時の切替</x:v>
      </x:c>
      <x:c r="AB69" s="7" t="str">
        <x:v>RWカメラ単体とAI解析を含む構成を分ける。検知→通知は確認、検知→自動除去は未確認</x:v>
      </x:c>
    </x:row>
    <x:row r="70" ht="170" customHeight="1">
      <x:c r="A70" s="7" t="str">
        <x:v>FC064</x:v>
      </x:c>
      <x:c r="B70" s="20" t="str">
        <x:v>三菱電機</x:v>
      </x:c>
      <x:c r="C70" s="7" t="str">
        <x:v>NC MachiningAID（2024）／2026 CNC省人化</x:v>
      </x:c>
      <x:c r="D70" s="7" t="str">
        <x:v>S2003</x:v>
      </x:c>
      <x:c r="E70" s="7" t="str">
        <x:v>検査・診断・予測AI
工場運用DX
自動化</x:v>
      </x:c>
      <x:c r="F70" s="7" t="str">
        <x:v>加工信号解析</x:v>
      </x:c>
      <x:c r="G70" s="7" t="str">
        <x:v>CNCと加工工程</x:v>
      </x:c>
      <x:c r="H70" s="7" t="str">
        <x:v>工作機械の加工監視</x:v>
      </x:c>
      <x:c r="I70" s="7" t="str">
        <x:v>加工信号等。今回カタログでは入力方式未記載</x:v>
      </x:c>
      <x:c r="J70" s="7" t="str">
        <x:v>2024はAI・機械学習で加工異常・工具摩耗・作業ミスを検知すると説明</x:v>
      </x:c>
      <x:c r="K70" s="7" t="str">
        <x:v>加工工程の監視・検知</x:v>
      </x:c>
      <x:c r="L70" s="7" t="str">
        <x:v>2026の個別製品名・機能継承・自動停止権限は未確認</x:v>
      </x:c>
      <x:c r="M70" s="7" t="str">
        <x:v>2024にNC MachiningAIDの3種類の検知タスクを記載</x:v>
      </x:c>
      <x:c r="N70" s="7" t="str">
        <x:v>2026は設計から加工・保守までのAI省人化を訴求するが、個別差分は不明</x:v>
      </x:c>
      <x:c r="O70" s="7" t="str">
        <x:v>2026具体化・機能差未確定</x:v>
      </x:c>
      <x:c r="P70" s="7" t="str">
        <x:v>JIMTOF2026公式カタログ掲載・現地未確認</x:v>
      </x:c>
      <x:c r="Q70" s="7" t="str">
        <x:v>2026展示予定・提供段階未確認</x:v>
      </x:c>
      <x:c r="R70" s="7" t="str">
        <x:v>2024の3検知がどの製品へ継承・拡張されたか。AIを新搭載したとは説明しない。</x:v>
      </x:c>
      <x:c r="S70" s="7" t="str">
        <x:v>EAT-V043-2024-1
EAT-V043-2026-1</x:v>
      </x:c>
      <x:c r="T70" s="7" t="str">
        <x:v>EAT-V043-2024-1: https://www.jimtof.org/2024/search/jp/ESdetails?e=30li0vWcseI
EAT-V043-2026-1: https://www.jimtof.org/search/jp/ESdetails?e=AjLnzm01WWU</x:v>
      </x:c>
      <x:c r="U70" s="7" t="str">
        <x:v>個別タスクの重点整理（従来69カード）</x:v>
      </x:c>
      <x:c r="V70" s="7"/>
      <x:c r="W70" s="7"/>
      <x:c r="X70" s="7"/>
      <x:c r="Y70" s="7"/>
      <x:c r="Z70" s="7"/>
      <x:c r="AA70" s="7"/>
      <x:c r="AB70" s="7"/>
    </x:row>
    <x:row r="71" ht="170" customHeight="1">
      <x:c r="A71" s="7" t="str">
        <x:v>FC065</x:v>
      </x:c>
      <x:c r="B71" s="20" t="str">
        <x:v>三菱電機</x:v>
      </x:c>
      <x:c r="C71" s="7" t="str">
        <x:v>放電加工の新開発スケジューラ</x:v>
      </x:c>
      <x:c r="D71" s="7" t="str">
        <x:v>S2003</x:v>
      </x:c>
      <x:c r="E71" s="7" t="str">
        <x:v>工場運用DX
自動化</x:v>
      </x:c>
      <x:c r="F71" s="7" t="str">
        <x:v>計画変更・負荷調整</x:v>
      </x:c>
      <x:c r="G71" s="7" t="str">
        <x:v>放電加工機の自動化運用</x:v>
      </x:c>
      <x:c r="H71" s="7" t="str">
        <x:v>放電加工機の新開発スケジューラ。連携構成は未記載</x:v>
      </x:c>
      <x:c r="I71" s="7" t="str">
        <x:v>加工予定・設備等。入力と制約は未記載</x:v>
      </x:c>
      <x:c r="J71" s="7" t="str">
        <x:v>新開発スケジューラによる自動化運用を提案</x:v>
      </x:c>
      <x:c r="K71" s="7" t="str">
        <x:v>放電加工の計画・運用支援</x:v>
      </x:c>
      <x:c r="L71" s="7" t="str">
        <x:v>自動確定する工程・工具・順序と人の承認は未確認</x:v>
      </x:c>
      <x:c r="M71" s="7" t="str">
        <x:v>2024はMX600、SV-P等とラインDXを掲載</x:v>
      </x:c>
      <x:c r="N71" s="7" t="str">
        <x:v>2026はMG12R・SV12Pと新開発スケジューラを記載</x:v>
      </x:c>
      <x:c r="O71" s="7" t="str">
        <x:v>担当タスクの追加記載</x:v>
      </x:c>
      <x:c r="P71" s="7" t="str">
        <x:v>JIMTOF2026公式カタログ掲載・現地未確認</x:v>
      </x:c>
      <x:c r="Q71" s="7" t="str">
        <x:v>2026展示予定・提供段階未確認</x:v>
      </x:c>
      <x:c r="R71" s="7" t="str">
        <x:v>適用条件・操作権限・現場効果・採用実績は未確認</x:v>
      </x:c>
      <x:c r="S71" s="7" t="str">
        <x:v>EAT-V043-2024-1
EAT-V043-2026-1</x:v>
      </x:c>
      <x:c r="T71" s="7" t="str">
        <x:v>EAT-V043-2024-1: https://www.jimtof.org/2024/search/jp/ESdetails?e=30li0vWcseI
EAT-V043-2026-1: https://www.jimtof.org/search/jp/ESdetails?e=AjLnzm01WWU</x:v>
      </x:c>
      <x:c r="U71" s="7" t="str">
        <x:v>個別タスクの重点整理（従来69カード）</x:v>
      </x:c>
      <x:c r="V71" s="7"/>
      <x:c r="W71" s="7"/>
      <x:c r="X71" s="7"/>
      <x:c r="Y71" s="7"/>
      <x:c r="Z71" s="7"/>
      <x:c r="AA71" s="7"/>
      <x:c r="AB71" s="7"/>
    </x:row>
    <x:row r="72" ht="170" customHeight="1">
      <x:c r="A72" s="7" t="str">
        <x:v>FC066</x:v>
      </x:c>
      <x:c r="B72" s="20" t="str">
        <x:v>三菱電機</x:v>
      </x:c>
      <x:c r="C72" s="7" t="str">
        <x:v>遠隔保守サポート／スマート保全</x:v>
      </x:c>
      <x:c r="D72" s="7" t="str">
        <x:v>S2003</x:v>
      </x:c>
      <x:c r="E72" s="7" t="str">
        <x:v>工場運用DX</x:v>
      </x:c>
      <x:c r="F72" s="7" t="str">
        <x:v>遠隔操作・例外対応</x:v>
      </x:c>
      <x:c r="G72" s="7" t="str">
        <x:v>装置メーカーと納品先工場のデジタル接続</x:v>
      </x:c>
      <x:c r="H72" s="7" t="str">
        <x:v>装置と納品先工場をデジタル接続する遠隔保守・保全サービス</x:v>
      </x:c>
      <x:c r="I72" s="7" t="str">
        <x:v>装置情報等。個別データ仕様未記載</x:v>
      </x:c>
      <x:c r="J72" s="7" t="str">
        <x:v>デジタル接続で復旧迅速化、保全の計画対応化を支援</x:v>
      </x:c>
      <x:c r="K72" s="7" t="str">
        <x:v>保守・保全業務の支援</x:v>
      </x:c>
      <x:c r="L72" s="7" t="str">
        <x:v>遠隔で操作可能な範囲、顧客承認・現場作業は未確認</x:v>
      </x:c>
      <x:c r="M72" s="7" t="str">
        <x:v>2024はクラウドアプリ・ラインDX等を掲載</x:v>
      </x:c>
      <x:c r="N72" s="7" t="str">
        <x:v>2026は遠隔保守とスマート保全を明示</x:v>
      </x:c>
      <x:c r="O72" s="7" t="str">
        <x:v>2026具体化・機能差未確定</x:v>
      </x:c>
      <x:c r="P72" s="7" t="str">
        <x:v>JIMTOF2026公式カタログ掲載・現地未確認</x:v>
      </x:c>
      <x:c r="Q72" s="7" t="str">
        <x:v>2026展示予定・提供段階未確認</x:v>
      </x:c>
      <x:c r="R72" s="7" t="str">
        <x:v>適用条件・操作権限・現場効果・採用実績は未確認</x:v>
      </x:c>
      <x:c r="S72" s="7" t="str">
        <x:v>EAT-V043-2024-1
EAT-V043-2026-1</x:v>
      </x:c>
      <x:c r="T72" s="7" t="str">
        <x:v>EAT-V043-2024-1: https://www.jimtof.org/2024/search/jp/ESdetails?e=30li0vWcseI
EAT-V043-2026-1: https://www.jimtof.org/search/jp/ESdetails?e=AjLnzm01WWU</x:v>
      </x:c>
      <x:c r="U72" s="7" t="str">
        <x:v>個別タスクの重点整理（従来69カード）</x:v>
      </x:c>
      <x:c r="V72" s="7"/>
      <x:c r="W72" s="7"/>
      <x:c r="X72" s="7"/>
      <x:c r="Y72" s="7"/>
      <x:c r="Z72" s="7"/>
      <x:c r="AA72" s="7"/>
      <x:c r="AB72" s="7"/>
    </x:row>
    <x:row r="73" ht="170" customHeight="1">
      <x:c r="A73" s="7" t="str">
        <x:v>FC067</x:v>
      </x:c>
      <x:c r="B73" s="20" t="str">
        <x:v>三菱商事テクノス</x:v>
      </x:c>
      <x:c r="C73" s="7" t="str">
        <x:v>ロボット＋AMRの工程間連携デモ</x:v>
      </x:c>
      <x:c r="D73" s="7" t="str">
        <x:v>S3100</x:v>
      </x:c>
      <x:c r="E73" s="7" t="str">
        <x:v>フィジカルAI
工場運用DX
自動化
自律化</x:v>
      </x:c>
      <x:c r="F73" s="7" t="str">
        <x:v>工場内搬送</x:v>
      </x:c>
      <x:c r="G73" s="7" t="str">
        <x:v>ロボットとAMRの連携セル</x:v>
      </x:c>
      <x:c r="H73" s="7" t="str">
        <x:v>ロボット＋自律走行搬送ロボット。型式未確認</x:v>
      </x:c>
      <x:c r="I73" s="7" t="str">
        <x:v>ワーク・工程情報。具体データ・知覚方式未記載</x:v>
      </x:c>
      <x:c r="J73" s="7" t="str">
        <x:v>工程を止めずにワークをつなぐ連携デモを予告</x:v>
      </x:c>
      <x:c r="K73" s="7" t="str">
        <x:v>ワークの工程間受渡し・搬送</x:v>
      </x:c>
      <x:c r="L73" s="7" t="str">
        <x:v>ロボットとAMR間の位置合わせ・待合せ・エラー対処とAIの担当は未確認</x:v>
      </x:c>
      <x:c r="M73" s="7" t="str">
        <x:v>Mech Mind×FANUCのビジョン、S-CART、重量物RGV等を個別掲載</x:v>
      </x:c>
      <x:c r="N73" s="7" t="str">
        <x:v>2026はロボットとAMRの連携を具体展示しフィジカルAIと呼ぶ</x:v>
      </x:c>
      <x:c r="O73" s="7" t="str">
        <x:v>対象・構成・要素の追加記載</x:v>
      </x:c>
      <x:c r="P73" s="7" t="str">
        <x:v>JIMTOF2026公式カタログ掲載・現地未確認</x:v>
      </x:c>
      <x:c r="Q73" s="7" t="str">
        <x:v>連携デモ予定・AIの担当範囲未特定</x:v>
      </x:c>
      <x:c r="R73" s="7" t="str">
        <x:v>どの認識・判断がAIか。設備状態・受渡し位置・作業順をどう同期し、片方停止時にどう復帰するか。</x:v>
      </x:c>
      <x:c r="S73" s="7" t="str">
        <x:v>EAT-V044-2024-1
EAT-V044-2026-1</x:v>
      </x:c>
      <x:c r="T73" s="7" t="str">
        <x:v>EAT-V044-2024-1: https://www.jimtof.org/2024/search/jp/ESdetails?e=jSH3JMqQ0XA
EAT-V044-2026-1: https://www.jimtof.org/search/jp/ESdetails?e=YIwM2AR4N4M</x:v>
      </x:c>
      <x:c r="U73" s="7" t="str">
        <x:v>個別タスクの重点整理（従来69カード）</x:v>
      </x:c>
      <x:c r="V73" s="7"/>
      <x:c r="W73" s="7"/>
      <x:c r="X73" s="7"/>
      <x:c r="Y73" s="7"/>
      <x:c r="Z73" s="7"/>
      <x:c r="AA73" s="7"/>
      <x:c r="AB73" s="7"/>
    </x:row>
    <x:row r="74" ht="170" customHeight="1">
      <x:c r="A74" s="7" t="str">
        <x:v>FC068</x:v>
      </x:c>
      <x:c r="B74" s="20" t="str">
        <x:v>ケーメックス・オートメーション</x:v>
      </x:c>
      <x:c r="C74" s="7" t="str">
        <x:v>産業用IPC／VARIO-X・分散I/O</x:v>
      </x:c>
      <x:c r="D74" s="7" t="str">
        <x:v>S3024</x:v>
      </x:c>
      <x:c r="E74" s="7" t="str">
        <x:v>フィジカルAI
工場運用DX
AI実装・連携基盤</x:v>
      </x:c>
      <x:c r="F74" s="7" t="str">
        <x:v>IPC・分散I/O基盤</x:v>
      </x:c>
      <x:c r="G74" s="7" t="str">
        <x:v>機械の制御・データ処理基盤</x:v>
      </x:c>
      <x:c r="H74" s="7" t="str">
        <x:v>産業用IPC・分散I/O・省配線機器</x:v>
      </x:c>
      <x:c r="I74" s="7" t="str">
        <x:v>機器・センサの現場データ</x:v>
      </x:c>
      <x:c r="J74" s="7" t="str">
        <x:v>省配線・省スペース化とデータ収集・処理環境を構成</x:v>
      </x:c>
      <x:c r="K74" s="7" t="str">
        <x:v>AIを載せるための基盤。特定AI作業の実演とは別</x:v>
      </x:c>
      <x:c r="L74" s="7" t="str">
        <x:v>AIモデル・タスク・実機判断は今回記載なし</x:v>
      </x:c>
      <x:c r="M74" s="7" t="str">
        <x:v>Vario-X・IIoT省配線・安全I/Oと協働ロボットのケーブル保護展示</x:v>
      </x:c>
      <x:c r="N74" s="7" t="str">
        <x:v>2026はIPCとVARIO-XをAI活用基盤として説明</x:v>
      </x:c>
      <x:c r="O74" s="7" t="str">
        <x:v>2026具体化・機能差未確定</x:v>
      </x:c>
      <x:c r="P74" s="7" t="str">
        <x:v>JIMTOF2026公式カタログ掲載・現地未確認</x:v>
      </x:c>
      <x:c r="Q74" s="7" t="str">
        <x:v>実装基盤の展示予定・AI応用そのものは未特定</x:v>
      </x:c>
      <x:c r="R74" s="7" t="str">
        <x:v>適用条件・操作権限・現場効果・採用実績は未確認</x:v>
      </x:c>
      <x:c r="S74" s="7" t="str">
        <x:v>EAT-V045-2024-1
EAT-V045-2026-1</x:v>
      </x:c>
      <x:c r="T74" s="7" t="str">
        <x:v>EAT-V045-2024-1: https://www.jimtof.org/2024/search/jp/ESdetails?e=tvCG3p0xThA
EAT-V045-2026-1: https://www.jimtof.org/search/jp/ESdetails?e=bz4bGc4T6ag</x:v>
      </x:c>
      <x:c r="U74" s="7" t="str">
        <x:v>個別タスクの重点整理（従来69カード）</x:v>
      </x:c>
      <x:c r="V74" s="7"/>
      <x:c r="W74" s="7"/>
      <x:c r="X74" s="7"/>
      <x:c r="Y74" s="7"/>
      <x:c r="Z74" s="7"/>
      <x:c r="AA74" s="7"/>
      <x:c r="AB74" s="7"/>
    </x:row>
    <x:row r="75" ht="170" customHeight="1">
      <x:c r="A75" s="7" t="str">
        <x:v>FC069</x:v>
      </x:c>
      <x:c r="B75" s="20" t="str">
        <x:v>テクノダイナミックス</x:v>
      </x:c>
      <x:c r="C75" s="7" t="str">
        <x:v>歳差ローラカム式減速機</x:v>
      </x:c>
      <x:c r="D75" s="7" t="str">
        <x:v>W3036</x:v>
      </x:c>
      <x:c r="E75" s="7" t="str">
        <x:v>フィジカルAI</x:v>
      </x:c>
      <x:c r="F75" s="7" t="str">
        <x:v>駆動・動力伝達要素</x:v>
      </x:c>
      <x:c r="G75" s="7" t="str">
        <x:v>ロボット等へ適用を想定する駆動要素</x:v>
      </x:c>
      <x:c r="H75" s="7" t="str">
        <x:v>カム式減速機。搭載ロボットは未特定</x:v>
      </x:c>
      <x:c r="I75" s="7" t="str">
        <x:v>モータの回転</x:v>
      </x:c>
      <x:c r="J75" s="7" t="str">
        <x:v>動力伝達の機械要素。フィジカルAIに最適とのメーカー訴求</x:v>
      </x:c>
      <x:c r="K75" s="7" t="str">
        <x:v>トルク・精度・剛性等を担う部品</x:v>
      </x:c>
      <x:c r="L75" s="7" t="str">
        <x:v>認識・判断・タスク生成のAI機能を備えるとは記載なし</x:v>
      </x:c>
      <x:c r="M75" s="7" t="str">
        <x:v>DSR・DM9・GTB減速機等を掲載</x:v>
      </x:c>
      <x:c r="N75" s="7" t="str">
        <x:v>歳差ローラカム式減速機を初公開と記載</x:v>
      </x:c>
      <x:c r="O75" s="7" t="str">
        <x:v>対象・構成・要素の追加記載</x:v>
      </x:c>
      <x:c r="P75" s="7" t="str">
        <x:v>JIMTOF2026公式カタログ掲載・現地未確認</x:v>
      </x:c>
      <x:c r="Q75" s="7" t="str">
        <x:v>機構部品の新製品展示予定・AI搭載実績未確認</x:v>
      </x:c>
      <x:c r="R75" s="7" t="str">
        <x:v>物理AI向けという用途提案と、実際の搭載機・作業・採用実績を分けて確認する。</x:v>
      </x:c>
      <x:c r="S75" s="7" t="str">
        <x:v>EAT-V046-2024-1
EAT-V046-2026-1</x:v>
      </x:c>
      <x:c r="T75" s="7" t="str">
        <x:v>EAT-V046-2024-1: https://www.jimtof.org/2024/search/jp/ESdetails?e=7pg5I7Dvfkc
EAT-V046-2026-1: https://www.jimtof.org/search/jp/ESdetails?e=2X8A1y5c4A8</x:v>
      </x:c>
      <x:c r="U75" s="7" t="str">
        <x:v>個別タスクの重点整理（従来69カード）</x:v>
      </x:c>
      <x:c r="V75" s="7"/>
      <x:c r="W75" s="7"/>
      <x:c r="X75" s="7"/>
      <x:c r="Y75" s="7"/>
      <x:c r="Z75" s="7"/>
      <x:c r="AA75" s="7"/>
      <x:c r="AB75" s="7"/>
    </x:row>
    <x:row r="76" ht="170" customHeight="1">
      <x:c r="A76" s="7" t="str">
        <x:v>AC001</x:v>
      </x:c>
      <x:c r="B76" s="20" t="str">
        <x:v>愛知産業株式会社</x:v>
      </x:c>
      <x:c r="C76" s="7" t="str">
        <x:v>1）ハームレ C 12 GEN2＋ロボット自動化システム RS 05-2</x:v>
      </x:c>
      <x:c r="D76" s="7" t="str">
        <x:v>E2024</x:v>
      </x:c>
      <x:c r="E76" s="7" t="str">
        <x:v>自動化</x:v>
      </x:c>
      <x:c r="F76" s="7" t="str">
        <x:v>出展説明の関連用途（個別タスクの分解は未完了）</x:v>
      </x:c>
      <x:c r="G76" s="7" t="str">
        <x:v>出展説明に記載。実装位置の個別精査はカードの方式・未確認欄を参照</x:v>
      </x:c>
      <x:c r="H76" s="7" t="str">
        <x:v>原典抜粋：ハームレ社の「C 12 GEN2」と、ロボット自動化システム「RS 05-2」による、省スペース5軸自動加工ラインをご紹介します。 / RS 05-2は設置面積わずか2m²で、6軸ロボットが工作機械・ストレージと連携し、単品ストレージ、引き出しストレージ、パレットストレージなど様々な構成を選択できます。 / 1）ハームレ C 12 GEN2＋ロボット自動化システム RS 05-2 / ドイツ・ハームレ社の5軸マシニングセンタ「C 12 </x:v>
      </x:c>
      <x:c r="I76" s="7" t="str">
        <x:v>個別入力の追加確認が必要</x:v>
      </x:c>
      <x:c r="J76" s="7" t="str">
        <x:v>原典抜粋：ハームレ社の「C 12 GEN2」と、ロボット自動化システム「RS 05-2」による、省スペース5軸自動加工ラインをご紹介します。 / RS 05-2は設置面積わずか2m²で、6軸ロボットが工作機械・ストレージと連携し、単品ストレージ、引き出しストレージ、パレットストレージなど様々な構成を選択できます。 / 1）ハームレ C 12 GEN2＋ロボット自動化システム RS 05-2 / ドイツ・ハームレ社の5軸マシニングセンタ「C 12 </x:v>
      </x:c>
      <x:c r="K76" s="7" t="str">
        <x:v>ハームレ社の「C 12 GEN2」と、ロボット自動化システム「RS 05-2」による、省スペース5軸自動加工ラインをご紹介します。 / RS 05-2は設置面積わずか2m²で、6軸ロボットが工作機械・ストレージと連携し、単品ストレージ、引き出しストレージ、パレットストレージなど様々な構成を選択できます。 / 1）ハームレ C 12 GEN2＋ロボット自動化システム RS 05-2 / ドイツ・ハームレ社の5軸マシニングセンタ「C 12 </x:v>
      </x:c>
      <x:c r="L76" s="7" t="str">
        <x:v>承認・例外対応・停止・復帰の境界は未確認</x:v>
      </x:c>
      <x:c r="M76" s="7" t="str">
        <x:v>2024原典抜粋：＜システム＞ 金属3Dプリンタ分野で技術の黎明期より注目し、AMシステムでは、ドイツ SLMソリューションズ社のパウダーベッドフュージョン方式のSLM、電子ビームによるEBAM、ワイヤーアークによるWAAM、レーザディポジションLMDなど幅広い選択肢をご用意しております。 ＜マテリアル＞ ポーランド 3Dラボ社の小型パウダーアトマイズシステムをご提案します。 ＜デザイン・製造技術＞ 愛知産業の長年培ったノウハウでのコンサルティングや、試作サービスを行っております。 ＜ドイツ ニコンSLMソリューションズ社 レーザ溶</x:v>
      </x:c>
      <x:c r="N76" s="7" t="str">
        <x:v>2026原典抜粋：ハームレ社の「C 12 GEN2」と、ロボット自動化システム「RS 05-2」による、省スペース5軸自動加工ラインをご紹介します。 / RS 05-2は設置面積わずか2m²で、6軸ロボットが工作機械・ストレージと連携し、単品ストレージ、引き出しストレージ、パレットストレージなど様々な構成を選択できます。 / 1）ハームレ C 12 GEN2＋ロボット自動化システム RS 05-2 / ドイツ・ハームレ社の5軸マシニングセンタ「C 12 </x:v>
      </x:c>
      <x:c r="O76" s="7" t="str">
        <x:v>両年原典あり・機能差未判定</x:v>
      </x:c>
      <x:c r="P76" s="7" t="str">
        <x:v>2026公式カタログ掲載・現地未確認</x:v>
      </x:c>
      <x:c r="Q76" s="7" t="str">
        <x:v>2026展示予定。既存製品・参考出展・構想等は原典で個別確認</x:v>
      </x:c>
      <x:c r="R76" s="7" t="str">
        <x:v>どの作業を自動化・支援するか、入力と判断・操作の範囲、適用条件と人の残作業、2024からの機能差、採用・受注・効果の実測を確認する。</x:v>
      </x:c>
      <x:c r="S76" s="7" t="str">
        <x:v>EEX-EXH-2026-48e2386f5fc453a1
EEX-EXH-2024-37c22841d48e3e8a
EEX-EXH-2024-70e71aea00af46ab</x:v>
      </x:c>
      <x:c r="T76" s="7" t="str">
        <x:v>EEX-EXH-2026-48e2386f5fc453a1: https://www.jimtof.org/search/jp/ESdetails?e=Yl0biW0wGYQ
EEX-EXH-2024-37c22841d48e3e8a: https://www.jimtof.org/2024/search/jp/ESdetails?e=IEkaqwch5ys
EEX-EXH-2024-70e71aea00af46ab: https://www.jimtof.org/2024/search/jp/ESdetails?e=fQIZuGa3hGk</x:v>
      </x:c>
      <x:c r="U76" s="7" t="str">
        <x:v>出展説明の関連箇所に基づく一次分類</x:v>
      </x:c>
      <x:c r="V76" s="7"/>
      <x:c r="W76" s="7"/>
      <x:c r="X76" s="7"/>
      <x:c r="Y76" s="7"/>
      <x:c r="Z76" s="7"/>
      <x:c r="AA76" s="7"/>
      <x:c r="AB76" s="7"/>
    </x:row>
    <x:row r="77" ht="170" customHeight="1">
      <x:c r="A77" s="7" t="str">
        <x:v>AC002</x:v>
      </x:c>
      <x:c r="B77" s="20" t="str">
        <x:v>IDEC株式会社</x:v>
      </x:c>
      <x:c r="C77" s="7" t="str">
        <x:v>IDECブースでは、「安全が支える止まらない現場」をテーマに、</x:v>
      </x:c>
      <x:c r="D77" s="7" t="str">
        <x:v>W4090</x:v>
      </x:c>
      <x:c r="E77" s="7" t="str">
        <x:v>自動化
AI実装・連携基盤</x:v>
      </x:c>
      <x:c r="F77" s="7" t="str">
        <x:v>出展説明の関連用途（個別タスクの分解は未完了）</x:v>
      </x:c>
      <x:c r="G77" s="7" t="str">
        <x:v>出展説明に記載。実装位置の個別精査はカードの方式・未確認欄を参照</x:v>
      </x:c>
      <x:c r="H77" s="7" t="str">
        <x:v>原典抜粋：近年、工作機械の現場では、自動化や無人運転の拡大に伴い、 / 非接触方式によるガード扉監視を実現し、高い耐久性と設置自由度で工作機械の安全性向上をサポートします。</x:v>
      </x:c>
      <x:c r="I77" s="7" t="str">
        <x:v>個別入力の追加確認が必要</x:v>
      </x:c>
      <x:c r="J77" s="7" t="str">
        <x:v>原典抜粋：近年、工作機械の現場では、自動化や無人運転の拡大に伴い、 / 非接触方式によるガード扉監視を実現し、高い耐久性と設置自由度で工作機械の安全性向上をサポートします。</x:v>
      </x:c>
      <x:c r="K77" s="7" t="str">
        <x:v>近年、工作機械の現場では、自動化や無人運転の拡大に伴い、 / 非接触方式によるガード扉監視を実現し、高い耐久性と設置自由度で工作機械の安全性向上をサポートします。</x:v>
      </x:c>
      <x:c r="L77" s="7" t="str">
        <x:v>承認・例外対応・停止・復帰の境界は未確認</x:v>
      </x:c>
      <x:c r="M77" s="7" t="str">
        <x:v>2024原典抜粋：IDECは工作機械の安全において最も重要な部品であるインターロック装置において国際安全規格の要求事項を満たし、工作機械の使用環境において特に要求される十分な堅牢性・耐久性を持つ製品を取り揃えています。また工作機械の周辺機器も含めた自動化のトレンドに合わせ、安全機器、HMIコンポーネンツ等、新しいニーズに適合した製品を提供し、工作機械の安全性の向上に貢献してまいります。 ・重量物搬送の負荷を軽減する Assist Wheel Drive ・安心安全なAGV/AMRを簡単につくれる Safety Wheel Drive</x:v>
      </x:c>
      <x:c r="N77" s="7" t="str">
        <x:v>2026原典抜粋：近年、工作機械の現場では、自動化や無人運転の拡大に伴い、 / 非接触方式によるガード扉監視を実現し、高い耐久性と設置自由度で工作機械の安全性向上をサポートします。</x:v>
      </x:c>
      <x:c r="O77" s="7" t="str">
        <x:v>両年原典あり・機能差未判定</x:v>
      </x:c>
      <x:c r="P77" s="7" t="str">
        <x:v>2026公式カタログ掲載・現地未確認</x:v>
      </x:c>
      <x:c r="Q77" s="7" t="str">
        <x:v>2026展示予定。既存製品・参考出展・構想等は原典で個別確認</x:v>
      </x:c>
      <x:c r="R77" s="7" t="str">
        <x:v>どの作業を自動化・支援するか、入力と判断・操作の範囲、適用条件と人の残作業、2024からの機能差、採用・受注・効果の実測を確認する。</x:v>
      </x:c>
      <x:c r="S77" s="7" t="str">
        <x:v>EEX-EXH-2026-7d2e05044c8b6788
EEX-EXH-2024-4ae441a189083735</x:v>
      </x:c>
      <x:c r="T77" s="7" t="str">
        <x:v>EEX-EXH-2026-7d2e05044c8b6788: https://www.jimtof.org/search/jp/ESdetails?e=26-u-N6DHfQ
EEX-EXH-2024-4ae441a189083735: https://www.jimtof.org/2024/search/jp/ESdetails?e=v8v8EXXpRXM</x:v>
      </x:c>
      <x:c r="U77" s="7" t="str">
        <x:v>出展説明の関連箇所に基づく一次分類</x:v>
      </x:c>
      <x:c r="V77" s="7"/>
      <x:c r="W77" s="7"/>
      <x:c r="X77" s="7"/>
      <x:c r="Y77" s="7"/>
      <x:c r="Z77" s="7"/>
      <x:c r="AA77" s="7"/>
      <x:c r="AB77" s="7"/>
    </x:row>
    <x:row r="78" ht="170" customHeight="1">
      <x:c r="A78" s="7" t="str">
        <x:v>AC003</x:v>
      </x:c>
      <x:c r="B78" s="20" t="str">
        <x:v>株式会社赤松電機製作所</x:v>
      </x:c>
      <x:c r="C78" s="7" t="str">
        <x:v>【ミストコレクター】</x:v>
      </x:c>
      <x:c r="D78" s="7" t="str">
        <x:v>W2032</x:v>
      </x:c>
      <x:c r="E78" s="7" t="str">
        <x:v>工場運用DX</x:v>
      </x:c>
      <x:c r="F78" s="7" t="str">
        <x:v>出展説明の関連用途（個別タスクの分解は未完了）</x:v>
      </x:c>
      <x:c r="G78" s="7" t="str">
        <x:v>出展説明に記載。実装位置の個別精査はカードの方式・未確認欄を参照</x:v>
      </x:c>
      <x:c r="H78" s="7" t="str">
        <x:v>原典抜粋：既存設備が最新鋭に生まれ変わる！ミストコレクター最新ソリューション / ✨ JIMTOF初出品！ニッチながら高機能なオプション ✨ / これまで現物を見られる機会が少なかった「あったらいいな」を実現した赤松独自のソリューションを、3つのゾーン展示で多数ご用意いたしております。 / ①スマート保全ゾーン / ミストコレクター「スマートミストゼロ（SMXシリーズ）」 / 目詰まりセンサーユニットで計画保全を実現！ / 設備稼働率向上と保全工</x:v>
      </x:c>
      <x:c r="I78" s="7" t="str">
        <x:v>個別入力の追加確認が必要</x:v>
      </x:c>
      <x:c r="J78" s="7" t="str">
        <x:v>原典抜粋：既存設備が最新鋭に生まれ変わる！ミストコレクター最新ソリューション / ✨ JIMTOF初出品！ニッチながら高機能なオプション ✨ / これまで現物を見られる機会が少なかった「あったらいいな」を実現した赤松独自のソリューションを、3つのゾーン展示で多数ご用意いたしております。 / ①スマート保全ゾーン / ミストコレクター「スマートミストゼロ（SMXシリーズ）」 / 目詰まりセンサーユニットで計画保全を実現！ / 設備稼働率向上と保全工</x:v>
      </x:c>
      <x:c r="K78" s="7" t="str">
        <x:v>既存設備が最新鋭に生まれ変わる！ミストコレクター最新ソリューション / ✨ JIMTOF初出品！ニッチながら高機能なオプション ✨ / これまで現物を見られる機会が少なかった「あったらいいな」を実現した赤松独自のソリューションを、3つのゾーン展示で多数ご用意いたしております。 / ①スマート保全ゾーン / ミストコレクター「スマートミストゼロ（SMXシリーズ）」 / 目詰まりセンサーユニットで計画保全を実現！ / 設備稼働率向上と保全工</x:v>
      </x:c>
      <x:c r="L78" s="7" t="str">
        <x:v>承認・例外対応・停止・復帰の境界は未確認</x:v>
      </x:c>
      <x:c r="M78" s="7" t="str">
        <x:v>2024原典抜粋：弊社の主力製品であるミストコレクター3機種（HVS・SMG・SMX）を展示いたします。 今回の展示の目玉は、手間いらずでクリーンな工場環境を実現するミストコレクター「スマートミストゼロ（SMX）」の実演展示です。 ＜特徴＞ ■フィルターレスミストコレクターでトップクラスの捕集効率（1µm以上99%） ■吸引力の低下を限りなく”ゼロ”に近づける捕集構造 ■本体を開閉することなく捕集部の清掃が可能な逆洗配管付き ■運転状況の可視化も可能！ 吸引している様子はもちろん、インバータユニットや逆洗ユニット、目詰まりセンサーユ</x:v>
      </x:c>
      <x:c r="N78" s="7" t="str">
        <x:v>2026原典抜粋：既存設備が最新鋭に生まれ変わる！ミストコレクター最新ソリューション / ✨ JIMTOF初出品！ニッチながら高機能なオプション ✨ / これまで現物を見られる機会が少なかった「あったらいいな」を実現した赤松独自のソリューションを、3つのゾーン展示で多数ご用意いたしております。 / ①スマート保全ゾーン / ミストコレクター「スマートミストゼロ（SMXシリーズ）」 / 目詰まりセンサーユニットで計画保全を実現！ / 設備稼働率向上と保全工</x:v>
      </x:c>
      <x:c r="O78" s="7" t="str">
        <x:v>両年原典あり・機能差未判定</x:v>
      </x:c>
      <x:c r="P78" s="7" t="str">
        <x:v>2026公式カタログ掲載・現地未確認</x:v>
      </x:c>
      <x:c r="Q78" s="7" t="str">
        <x:v>2026展示予定。既存製品・参考出展・構想等は原典で個別確認</x:v>
      </x:c>
      <x:c r="R78" s="7" t="str">
        <x:v>どの作業を自動化・支援するか、入力と判断・操作の範囲、適用条件と人の残作業、2024からの機能差、採用・受注・効果の実測を確認する。</x:v>
      </x:c>
      <x:c r="S78" s="7" t="str">
        <x:v>EEX-EXH-2026-e01dca63e90b3edc
EEX-EXH-2024-e846a033c656fdd5</x:v>
      </x:c>
      <x:c r="T78" s="7" t="str">
        <x:v>EEX-EXH-2026-e01dca63e90b3edc: https://www.jimtof.org/search/jp/ESdetails?e=lPv1x-bM_CQ
EEX-EXH-2024-e846a033c656fdd5: https://www.jimtof.org/2024/search/jp/ESdetails?e=WsI73rbywv8</x:v>
      </x:c>
      <x:c r="U78" s="7" t="str">
        <x:v>出展説明の関連箇所に基づく一次分類</x:v>
      </x:c>
      <x:c r="V78" s="7"/>
      <x:c r="W78" s="7"/>
      <x:c r="X78" s="7"/>
      <x:c r="Y78" s="7"/>
      <x:c r="Z78" s="7"/>
      <x:c r="AA78" s="7"/>
      <x:c r="AB78" s="7"/>
    </x:row>
    <x:row r="79" ht="170" customHeight="1">
      <x:c r="A79" s="7" t="str">
        <x:v>AC005</x:v>
      </x:c>
      <x:c r="B79" s="20" t="str">
        <x:v>株式会社旭商工社</x:v>
      </x:c>
      <x:c r="C79" s="7" t="str">
        <x:v>①マーテルハンド：母の手で包む様に持つことができるマジックハンド</x:v>
      </x:c>
      <x:c r="D79" s="7" t="str">
        <x:v>W3043</x:v>
      </x:c>
      <x:c r="E79" s="7" t="str">
        <x:v>自動化</x:v>
      </x:c>
      <x:c r="F79" s="7" t="str">
        <x:v>出展説明の関連用途（個別タスクの分解は未完了）</x:v>
      </x:c>
      <x:c r="G79" s="7" t="str">
        <x:v>出展説明に記載。実装位置の個別精査はカードの方式・未確認欄を参照</x:v>
      </x:c>
      <x:c r="H79" s="7" t="str">
        <x:v>原典抜粋：⑥各種ロボットシステム：驚きしかない！ 世にないロボットシステム</x:v>
      </x:c>
      <x:c r="I79" s="7" t="str">
        <x:v>個別入力の追加確認が必要</x:v>
      </x:c>
      <x:c r="J79" s="7" t="str">
        <x:v>原典抜粋：⑥各種ロボットシステム：驚きしかない！ 世にないロボットシステム</x:v>
      </x:c>
      <x:c r="K79" s="7" t="str">
        <x:v>⑥各種ロボットシステム：驚きしかない！ 世にないロボットシステム</x:v>
      </x:c>
      <x:c r="L79" s="7" t="str">
        <x:v>承認・例外対応・停止・復帰の境界は未確認</x:v>
      </x:c>
      <x:c r="M79" s="7" t="str">
        <x:v>2024原典抜粋：★アミューズメントをコンセプトとした商品・システムをご用意しております。 ぜひお立ち寄りください。 皆様の「あっ！！」と驚く顔が目に浮かびます・・・ ①超硬ロータリーバー：あらゆる分野で使用可能な超硬ロータリーバー ②バリ取りホルダ：各種ツールを使用できる特殊なバリ取りホルダ ③エアツール：多様な状況に対応したエアツール ④省エネ・作業改善コーナー：空圧機器メーカーによる様々な商品展示 ⑤測定無線システム：測定器メーカーによるデジタル化システム ⑥ロボットシステム：驚きしかない！ 世にないロボットシステム</x:v>
      </x:c>
      <x:c r="N79" s="7" t="str">
        <x:v>2026原典抜粋：⑥各種ロボットシステム：驚きしかない！ 世にないロボットシステム</x:v>
      </x:c>
      <x:c r="O79" s="7" t="str">
        <x:v>両年原典あり・機能差未判定</x:v>
      </x:c>
      <x:c r="P79" s="7" t="str">
        <x:v>2026公式カタログ掲載・現地未確認</x:v>
      </x:c>
      <x:c r="Q79" s="7" t="str">
        <x:v>2026展示予定。既存製品・参考出展・構想等は原典で個別確認</x:v>
      </x:c>
      <x:c r="R79" s="7" t="str">
        <x:v>どの作業を自動化・支援するか、入力と判断・操作の範囲、適用条件と人の残作業、2024からの機能差、採用・受注・効果の実測を確認する。</x:v>
      </x:c>
      <x:c r="S79" s="7" t="str">
        <x:v>EEX-EXH-2026-907ef152949f6105
EEX-EXH-2024-0786860de58f6965</x:v>
      </x:c>
      <x:c r="T79" s="7" t="str">
        <x:v>EEX-EXH-2026-907ef152949f6105: https://www.jimtof.org/search/jp/ESdetails?e=16et4DWBUOg
EEX-EXH-2024-0786860de58f6965: https://www.jimtof.org/2024/search/jp/ESdetails?e=7JYRMsNRXRM</x:v>
      </x:c>
      <x:c r="U79" s="7" t="str">
        <x:v>出展説明の関連箇所に基づく一次分類</x:v>
      </x:c>
      <x:c r="V79" s="7"/>
      <x:c r="W79" s="7"/>
      <x:c r="X79" s="7"/>
      <x:c r="Y79" s="7"/>
      <x:c r="Z79" s="7"/>
      <x:c r="AA79" s="7"/>
      <x:c r="AB79" s="7"/>
    </x:row>
    <x:row r="80" ht="170" customHeight="1">
      <x:c r="A80" s="7" t="str">
        <x:v>AC006</x:v>
      </x:c>
      <x:c r="B80" s="20" t="str">
        <x:v>株式会社アステック</x:v>
      </x:c>
      <x:c r="C80" s="7" t="str">
        <x:v>【A33CNC7】</x:v>
      </x:c>
      <x:c r="D80" s="7" t="str">
        <x:v>S1023</x:v>
      </x:c>
      <x:c r="E80" s="7" t="str">
        <x:v>自動化</x:v>
      </x:c>
      <x:c r="F80" s="7" t="str">
        <x:v>出展説明の関連用途（個別タスクの分解は未完了）</x:v>
      </x:c>
      <x:c r="G80" s="7" t="str">
        <x:v>出展説明に記載。実装位置の個別精査はカードの方式・未確認欄を参照</x:v>
      </x:c>
      <x:c r="H80" s="7" t="str">
        <x:v>原典抜粋：細穴放電加工機の加工ヘッドをロボットに取り付け、自由自在な動きを生かした実演加工を行います。 / ロボットに取り付け、工場のインライン化・多数穴の同時加工などが可能。</x:v>
      </x:c>
      <x:c r="I80" s="7" t="str">
        <x:v>個別入力の追加確認が必要</x:v>
      </x:c>
      <x:c r="J80" s="7" t="str">
        <x:v>原典抜粋：細穴放電加工機の加工ヘッドをロボットに取り付け、自由自在な動きを生かした実演加工を行います。 / ロボットに取り付け、工場のインライン化・多数穴の同時加工などが可能。</x:v>
      </x:c>
      <x:c r="K80" s="7" t="str">
        <x:v>細穴放電加工機の加工ヘッドをロボットに取り付け、自由自在な動きを生かした実演加工を行います。 / ロボットに取り付け、工場のインライン化・多数穴の同時加工などが可能。</x:v>
      </x:c>
      <x:c r="L80" s="7" t="str">
        <x:v>承認・例外対応・停止・復帰の境界は未確認</x:v>
      </x:c>
      <x:c r="M80" s="7" t="str">
        <x:v>2024原典抜粋：今回のJIMTOF2024では細穴放電加工機3台を展示し実演加工を行います。 細穴放電加工機専門メーカーならではの技術力をお確かめください。 【A33CNC7】 当社最新のNC細穴放電加工機で自動連続加工を初披露いたします！ ドリル加工では熱によるゆがみや溶着などが生じてしまう「アルミ材」。 細穴放電加工機の特徴を存分に生かし、厚さ0.5mmの薄いアルミワークに対し、 φ0.5という微細かつ高品質な穴加工を実現させます。 【A22T】 コンパクトな設計で省スペース化に貢献するA22シリーズに傾斜ヘッドを搭載した機種</x:v>
      </x:c>
      <x:c r="N80" s="7" t="str">
        <x:v>2026原典抜粋：細穴放電加工機の加工ヘッドをロボットに取り付け、自由自在な動きを生かした実演加工を行います。 / ロボットに取り付け、工場のインライン化・多数穴の同時加工などが可能。</x:v>
      </x:c>
      <x:c r="O80" s="7" t="str">
        <x:v>両年原典あり・機能差未判定</x:v>
      </x:c>
      <x:c r="P80" s="7" t="str">
        <x:v>2026公式カタログ掲載・現地未確認</x:v>
      </x:c>
      <x:c r="Q80" s="7" t="str">
        <x:v>2026展示予定。既存製品・参考出展・構想等は原典で個別確認</x:v>
      </x:c>
      <x:c r="R80" s="7" t="str">
        <x:v>どの作業を自動化・支援するか、入力と判断・操作の範囲、適用条件と人の残作業、2024からの機能差、採用・受注・効果の実測を確認する。</x:v>
      </x:c>
      <x:c r="S80" s="7" t="str">
        <x:v>EEX-EXH-2026-b6d1434bfe8ae571
EEX-EXH-2024-11244625c2f8dff1</x:v>
      </x:c>
      <x:c r="T80" s="7" t="str">
        <x:v>EEX-EXH-2026-b6d1434bfe8ae571: https://www.jimtof.org/search/jp/ESdetails?e=3riic2Y52c8
EEX-EXH-2024-11244625c2f8dff1: https://www.jimtof.org/2024/search/jp/ESdetails?e=KqvVyzLYaL0</x:v>
      </x:c>
      <x:c r="U80" s="7" t="str">
        <x:v>出展説明の関連箇所に基づく一次分類</x:v>
      </x:c>
      <x:c r="V80" s="7"/>
      <x:c r="W80" s="7"/>
      <x:c r="X80" s="7"/>
      <x:c r="Y80" s="7"/>
      <x:c r="Z80" s="7"/>
      <x:c r="AA80" s="7"/>
      <x:c r="AB80" s="7"/>
    </x:row>
    <x:row r="81" ht="170" customHeight="1">
      <x:c r="A81" s="7" t="str">
        <x:v>AC007</x:v>
      </x:c>
      <x:c r="B81" s="20" t="str">
        <x:v>アズビルTACO株式会社</x:v>
      </x:c>
      <x:c r="C81" s="7" t="str">
        <x:v>アズビルTACO</x:v>
      </x:c>
      <x:c r="D81" s="7" t="str">
        <x:v>W4070</x:v>
      </x:c>
      <x:c r="E81" s="7" t="str">
        <x:v>検査・診断・予測AI
工場運用DX
AI実装・連携基盤</x:v>
      </x:c>
      <x:c r="F81" s="7" t="str">
        <x:v>出展説明の関連用途（個別タスクの分解は未完了）</x:v>
      </x:c>
      <x:c r="G81" s="7" t="str">
        <x:v>出展説明に記載。実装位置の個別精査はカードの方式・未確認欄を参照</x:v>
      </x:c>
      <x:c r="H81" s="7" t="str">
        <x:v>原典抜粋：① 工作機械の自動扉に合わせた形状で、確実に挟まれを検知する、セーフティエッジスイッチ。 / ・工作機械の自動扉の挟まれ検知に最適なエッジスイッチ / ・自動扉の形状に合わせて設置可能。 / ② 状態監視用振動・温度センサ　形:QM30VT3 / ・3軸振動・温度監視と自動しきい値設定機能を搭載したコンパクトな状態監視センサ。</x:v>
      </x:c>
      <x:c r="I81" s="7" t="str">
        <x:v>個別入力の追加確認が必要</x:v>
      </x:c>
      <x:c r="J81" s="7" t="str">
        <x:v>原典抜粋：① 工作機械の自動扉に合わせた形状で、確実に挟まれを検知する、セーフティエッジスイッチ。 / ・工作機械の自動扉の挟まれ検知に最適なエッジスイッチ / ・自動扉の形状に合わせて設置可能。 / ② 状態監視用振動・温度センサ　形:QM30VT3 / ・3軸振動・温度監視と自動しきい値設定機能を搭載したコンパクトな状態監視センサ。</x:v>
      </x:c>
      <x:c r="K81" s="7" t="str">
        <x:v>① 工作機械の自動扉に合わせた形状で、確実に挟まれを検知する、セーフティエッジスイッチ。 / ・工作機械の自動扉の挟まれ検知に最適なエッジスイッチ / ・自動扉の形状に合わせて設置可能。 / ② 状態監視用振動・温度センサ　形:QM30VT3 / ・3軸振動・温度監視と自動しきい値設定機能を搭載したコンパクトな状態監視センサ。</x:v>
      </x:c>
      <x:c r="L81" s="7" t="str">
        <x:v>承認・例外対応・停止・復帰の境界は未確認</x:v>
      </x:c>
      <x:c r="M81" s="7" t="str">
        <x:v>2024原典抜粋：工作機械など各種機械要素の潤滑課題に対応したフォグ潤滑装置「ミクロンルブ™潤滑ユニット」を展示しております。 ミクロンルブ™潤滑ユニットは、工作機械のパフォーマンスの最適化や運用コストを削減するために非常に重要な役割を果たしています。 ミクロンルブ™潤滑ユニット</x:v>
      </x:c>
      <x:c r="N81" s="7" t="str">
        <x:v>2026原典抜粋：① 工作機械の自動扉に合わせた形状で、確実に挟まれを検知する、セーフティエッジスイッチ。 / ・工作機械の自動扉の挟まれ検知に最適なエッジスイッチ / ・自動扉の形状に合わせて設置可能。 / ② 状態監視用振動・温度センサ　形:QM30VT3 / ・3軸振動・温度監視と自動しきい値設定機能を搭載したコンパクトな状態監視センサ。</x:v>
      </x:c>
      <x:c r="O81" s="7" t="str">
        <x:v>両年原典あり・機能差未判定</x:v>
      </x:c>
      <x:c r="P81" s="7" t="str">
        <x:v>2026公式カタログ掲載・現地未確認</x:v>
      </x:c>
      <x:c r="Q81" s="7" t="str">
        <x:v>2026展示予定。既存製品・参考出展・構想等は原典で個別確認</x:v>
      </x:c>
      <x:c r="R81" s="7" t="str">
        <x:v>どの作業を自動化・支援するか、入力と判断・操作の範囲、適用条件と人の残作業、2024からの機能差、採用・受注・効果の実測を確認する。</x:v>
      </x:c>
      <x:c r="S81" s="7" t="str">
        <x:v>EEX-EXH-2026-2c48cf1373cedc75
EEX-EXH-2024-88a3ebaf12d0b049</x:v>
      </x:c>
      <x:c r="T81" s="7" t="str">
        <x:v>EEX-EXH-2026-2c48cf1373cedc75: https://www.jimtof.org/search/jp/ESdetails?e=x6DdroBnfSA
EEX-EXH-2024-88a3ebaf12d0b049: https://www.jimtof.org/2024/search/jp/ESdetails?e=vJBoIDNEQPQ</x:v>
      </x:c>
      <x:c r="U81" s="7" t="str">
        <x:v>出展説明の関連箇所に基づく一次分類</x:v>
      </x:c>
      <x:c r="V81" s="7"/>
      <x:c r="W81" s="7"/>
      <x:c r="X81" s="7"/>
      <x:c r="Y81" s="7"/>
      <x:c r="Z81" s="7"/>
      <x:c r="AA81" s="7"/>
      <x:c r="AB81" s="7"/>
    </x:row>
    <x:row r="82" ht="170" customHeight="1">
      <x:c r="A82" s="7" t="str">
        <x:v>AC008</x:v>
      </x:c>
      <x:c r="B82" s="20" t="str">
        <x:v>アナログ・デバイセズ株式会社</x:v>
      </x:c>
      <x:c r="C82" s="7" t="str">
        <x:v>長距離、省配線を実現する産業用イーサーネット</x:v>
      </x:c>
      <x:c r="D82" s="7" t="str">
        <x:v>S3003</x:v>
      </x:c>
      <x:c r="E82" s="7" t="str">
        <x:v>AI実装・連携基盤</x:v>
      </x:c>
      <x:c r="F82" s="7" t="str">
        <x:v>出展説明の関連用途（個別タスクの分解は未完了）</x:v>
      </x:c>
      <x:c r="G82" s="7" t="str">
        <x:v>出展説明に記載。実装位置の個別精査はカードの方式・未確認欄を参照</x:v>
      </x:c>
      <x:c r="H82" s="7" t="str">
        <x:v>原典抜粋：- AIを、確実な制御へ - / AIを現場価値へ変えるために必要な全てを、ADIの技術でつなぐ</x:v>
      </x:c>
      <x:c r="I82" s="7" t="str">
        <x:v>個別入力の追加確認が必要</x:v>
      </x:c>
      <x:c r="J82" s="7" t="str">
        <x:v>原典抜粋：- AIを、確実な制御へ - / AIを現場価値へ変えるために必要な全てを、ADIの技術でつなぐ</x:v>
      </x:c>
      <x:c r="K82" s="7" t="str">
        <x:v>- AIを、確実な制御へ - / AIを現場価値へ変えるために必要な全てを、ADIの技術でつなぐ</x:v>
      </x:c>
      <x:c r="L82" s="7" t="str">
        <x:v>承認・例外対応・停止・復帰の境界は未確認</x:v>
      </x:c>
      <x:c r="M82" s="7" t="str">
        <x:v>同一正規化名称の2024詳細なし。新規出展・技術不存在とは判断しない。</x:v>
      </x:c>
      <x:c r="N82" s="7" t="str">
        <x:v>2026原典抜粋：- AIを、確実な制御へ - / AIを現場価値へ変えるために必要な全てを、ADIの技術でつなぐ</x:v>
      </x:c>
      <x:c r="O82" s="7" t="str">
        <x:v>2024個別比較不能</x:v>
      </x:c>
      <x:c r="P82" s="7" t="str">
        <x:v>2026公式カタログ掲載・現地未確認</x:v>
      </x:c>
      <x:c r="Q82" s="7" t="str">
        <x:v>2026展示予定。既存製品・参考出展・構想等は原典で個別確認</x:v>
      </x:c>
      <x:c r="R82" s="7" t="str">
        <x:v>どの作業を自動化・支援するか、入力と判断・操作の範囲、適用条件と人の残作業、2024からの機能差、採用・受注・効果の実測を確認する。</x:v>
      </x:c>
      <x:c r="S82" s="7" t="str">
        <x:v>EEX-EXH-2026-5fe4f7b65e7b1d1b</x:v>
      </x:c>
      <x:c r="T82" s="7" t="str">
        <x:v>EEX-EXH-2026-5fe4f7b65e7b1d1b: https://www.jimtof.org/search/jp/ESdetails?e=KmFutdwRdo0</x:v>
      </x:c>
      <x:c r="U82" s="7" t="str">
        <x:v>出展説明の関連箇所に基づく一次分類</x:v>
      </x:c>
      <x:c r="V82" s="7"/>
      <x:c r="W82" s="7"/>
      <x:c r="X82" s="7"/>
      <x:c r="Y82" s="7"/>
      <x:c r="Z82" s="7"/>
      <x:c r="AA82" s="7"/>
      <x:c r="AB82" s="7"/>
    </x:row>
    <x:row r="83" ht="170" customHeight="1">
      <x:c r="A83" s="7" t="str">
        <x:v>AC009</x:v>
      </x:c>
      <x:c r="B83" s="20" t="str">
        <x:v>株式会社アビコ技術研究所</x:v>
      </x:c>
      <x:c r="C83" s="7" t="str">
        <x:v>ウォーターレーザー加工機　ND-10LA</x:v>
      </x:c>
      <x:c r="D83" s="7" t="str">
        <x:v>S2008</x:v>
      </x:c>
      <x:c r="E83" s="7" t="str">
        <x:v>自動化</x:v>
      </x:c>
      <x:c r="F83" s="7" t="str">
        <x:v>出展説明の関連用途（個別タスクの分解は未完了）</x:v>
      </x:c>
      <x:c r="G83" s="7" t="str">
        <x:v>出展説明に記載。実装位置の個別精査はカードの方式・未確認欄を参照</x:v>
      </x:c>
      <x:c r="H83" s="7" t="str">
        <x:v>原典抜粋：チルトテーブル「ゼロTYPE-0C」、ロボットストッカー「AL-1」なども出展します。 / ロボットストッカー　AL-1</x:v>
      </x:c>
      <x:c r="I83" s="7" t="str">
        <x:v>個別入力の追加確認が必要</x:v>
      </x:c>
      <x:c r="J83" s="7" t="str">
        <x:v>原典抜粋：チルトテーブル「ゼロTYPE-0C」、ロボットストッカー「AL-1」なども出展します。 / ロボットストッカー　AL-1</x:v>
      </x:c>
      <x:c r="K83" s="7" t="str">
        <x:v>チルトテーブル「ゼロTYPE-0C」、ロボットストッカー「AL-1」なども出展します。 / ロボットストッカー　AL-1</x:v>
      </x:c>
      <x:c r="L83" s="7" t="str">
        <x:v>承認・例外対応・停止・復帰の境界は未確認</x:v>
      </x:c>
      <x:c r="M83" s="7" t="str">
        <x:v>2024原典抜粋：ベアリング軌道面を超精密に研削できる「GM-10」を初出展いたします！LMガイド、ロボットチャック、スプライン溝研削などに最適です。 その他に超精密グライディングセンタ「AUM-10」、超精密ダイヤモンド工具研磨機「MB-20」、チルトテーブル「ゼロTYPE-0C」なども出展します。 ダイヤモンド工具の超精密研磨・ベアリング軌道面の超精密な溝研磨に興味のある方、是非お立ちよりください。 精密溝研削盤 GM-10 超精密微細加工機 AUM-10 超精密ダイヤモンド工具研磨機 MB-20 CNCチルトテーブル Type</x:v>
      </x:c>
      <x:c r="N83" s="7" t="str">
        <x:v>2026原典抜粋：チルトテーブル「ゼロTYPE-0C」、ロボットストッカー「AL-1」なども出展します。 / ロボットストッカー　AL-1</x:v>
      </x:c>
      <x:c r="O83" s="7" t="str">
        <x:v>両年原典あり・機能差未判定</x:v>
      </x:c>
      <x:c r="P83" s="7" t="str">
        <x:v>2026公式カタログ掲載・現地未確認</x:v>
      </x:c>
      <x:c r="Q83" s="7" t="str">
        <x:v>2026展示予定。既存製品・参考出展・構想等は原典で個別確認</x:v>
      </x:c>
      <x:c r="R83" s="7" t="str">
        <x:v>どの作業を自動化・支援するか、入力と判断・操作の範囲、適用条件と人の残作業、2024からの機能差、採用・受注・効果の実測を確認する。</x:v>
      </x:c>
      <x:c r="S83" s="7" t="str">
        <x:v>EEX-EXH-2026-ad740d16e5bf8aeb
EEX-EXH-2024-9978a6cc726ef068</x:v>
      </x:c>
      <x:c r="T83" s="7" t="str">
        <x:v>EEX-EXH-2026-ad740d16e5bf8aeb: https://www.jimtof.org/search/jp/ESdetails?e=FM2ZTtdHV5w
EEX-EXH-2024-9978a6cc726ef068: https://www.jimtof.org/2024/search/jp/ESdetails?e=j5gLefJy6e8</x:v>
      </x:c>
      <x:c r="U83" s="7" t="str">
        <x:v>出展説明の関連箇所に基づく一次分類</x:v>
      </x:c>
      <x:c r="V83" s="7"/>
      <x:c r="W83" s="7"/>
      <x:c r="X83" s="7"/>
      <x:c r="Y83" s="7"/>
      <x:c r="Z83" s="7"/>
      <x:c r="AA83" s="7"/>
      <x:c r="AB83" s="7"/>
    </x:row>
    <x:row r="84" ht="170" customHeight="1">
      <x:c r="A84" s="7" t="str">
        <x:v>AC010</x:v>
      </x:c>
      <x:c r="B84" s="20" t="str">
        <x:v>株式会社アマダ</x:v>
      </x:c>
      <x:c r="C84" s="7" t="str">
        <x:v>新型ファイバーレーザ</x:v>
      </x:c>
      <x:c r="D84" s="7" t="str">
        <x:v>E2012</x:v>
      </x:c>
      <x:c r="E84" s="7" t="str">
        <x:v>自動化</x:v>
      </x:c>
      <x:c r="F84" s="7" t="str">
        <x:v>出展説明の関連用途（個別タスクの分解は未完了）</x:v>
      </x:c>
      <x:c r="G84" s="7" t="str">
        <x:v>出展説明に記載。実装位置の個別精査はカードの方式・未確認欄を参照</x:v>
      </x:c>
      <x:c r="H84" s="7" t="str">
        <x:v>原典抜粋：・デジタルプロファイル研削盤「DPG150」 / ・順送プレス加工自動化システム「SDEW8010iⅢ＋ALFAS03KR」</x:v>
      </x:c>
      <x:c r="I84" s="7" t="str">
        <x:v>個別入力の追加確認が必要</x:v>
      </x:c>
      <x:c r="J84" s="7" t="str">
        <x:v>原典抜粋：・デジタルプロファイル研削盤「DPG150」 / ・順送プレス加工自動化システム「SDEW8010iⅢ＋ALFAS03KR」</x:v>
      </x:c>
      <x:c r="K84" s="7" t="str">
        <x:v>・デジタルプロファイル研削盤「DPG150」 / ・順送プレス加工自動化システム「SDEW8010iⅢ＋ALFAS03KR」</x:v>
      </x:c>
      <x:c r="L84" s="7" t="str">
        <x:v>承認・例外対応・停止・復帰の境界は未確認</x:v>
      </x:c>
      <x:c r="M84" s="7" t="str">
        <x:v>2024原典抜粋：アマダグループは、板金、微細溶接、切削・研削盤、プレス自動化ソリューション事業より、国内展示会初披露となる3機種を含む10機種を出展。幅広い加工技術と、工場全体をデジタルに繋ぐソリューションをご紹介します。 会場では実素材を用いたデモ加工や豊富な加工サンプルにて、マシン性能をご体感ください。 【板金事業】 AI-TASにより自動プログラム補正運転を実現するファイバーレーザ溶接システムと、ブルーレーザ・ファイバーレーザ発振器を搭載し、切断・溶接・積層造形を1台で実現する3次元レーザ統合システムを出展。 さらには、国内</x:v>
      </x:c>
      <x:c r="N84" s="7" t="str">
        <x:v>2026原典抜粋：・デジタルプロファイル研削盤「DPG150」 / ・順送プレス加工自動化システム「SDEW8010iⅢ＋ALFAS03KR」</x:v>
      </x:c>
      <x:c r="O84" s="7" t="str">
        <x:v>両年原典あり・機能差未判定</x:v>
      </x:c>
      <x:c r="P84" s="7" t="str">
        <x:v>2026公式カタログ掲載・現地未確認</x:v>
      </x:c>
      <x:c r="Q84" s="7" t="str">
        <x:v>2026展示予定。既存製品・参考出展・構想等は原典で個別確認</x:v>
      </x:c>
      <x:c r="R84" s="7" t="str">
        <x:v>どの作業を自動化・支援するか、入力と判断・操作の範囲、適用条件と人の残作業、2024からの機能差、採用・受注・効果の実測を確認する。</x:v>
      </x:c>
      <x:c r="S84" s="7" t="str">
        <x:v>EEX-EXH-2026-650d9d144d109d53
EEX-EXH-2024-6494a99b9e9dbbed</x:v>
      </x:c>
      <x:c r="T84" s="7" t="str">
        <x:v>EEX-EXH-2026-650d9d144d109d53: https://www.jimtof.org/search/jp/ESdetails?e=lwacRdqPa60
EEX-EXH-2024-6494a99b9e9dbbed: https://www.jimtof.org/2024/search/jp/ESdetails?e=Jc5GYaUqS1I</x:v>
      </x:c>
      <x:c r="U84" s="7" t="str">
        <x:v>出展説明の関連箇所に基づく一次分類</x:v>
      </x:c>
      <x:c r="V84" s="7"/>
      <x:c r="W84" s="7"/>
      <x:c r="X84" s="7"/>
      <x:c r="Y84" s="7"/>
      <x:c r="Z84" s="7"/>
      <x:c r="AA84" s="7"/>
      <x:c r="AB84" s="7"/>
    </x:row>
    <x:row r="85" ht="170" customHeight="1">
      <x:c r="A85" s="7" t="str">
        <x:v>AC011</x:v>
      </x:c>
      <x:c r="B85" s="20" t="str">
        <x:v>株式会社アマダプレスシステム</x:v>
      </x:c>
      <x:c r="C85" s="7" t="str">
        <x:v>順送プレス加工自動化システム「SDEW-8010iⅢ+ALFAS-03KR」</x:v>
      </x:c>
      <x:c r="D85" s="7" t="str">
        <x:v>E2012</x:v>
      </x:c>
      <x:c r="E85" s="7" t="str">
        <x:v>自動化</x:v>
      </x:c>
      <x:c r="F85" s="7" t="str">
        <x:v>出展説明の関連用途（個別タスクの分解は未完了）</x:v>
      </x:c>
      <x:c r="G85" s="7" t="str">
        <x:v>出展説明に記載。実装位置の個別精査はカードの方式・未確認欄を参照</x:v>
      </x:c>
      <x:c r="H85" s="7" t="str">
        <x:v>原典抜粋：アマダプレスシステムは、塑性加工分野であるプレスマシン事業、プレス周辺装置事業、ばね成形機事業から成り、自動車、住宅設備、家電、電装部品、半導体、精密機器、医療機器・器具など、私たちの生活に欠かせない製品に使用される金属部品を生み出すマシンや装置の開発、製造、販売、サービスを担っています。 / 順送プレス加工自動化システム「SDEW-8010iⅢ+ALFAS-03KR」</x:v>
      </x:c>
      <x:c r="I85" s="7" t="str">
        <x:v>個別入力の追加確認が必要</x:v>
      </x:c>
      <x:c r="J85" s="7" t="str">
        <x:v>原典抜粋：アマダプレスシステムは、塑性加工分野であるプレスマシン事業、プレス周辺装置事業、ばね成形機事業から成り、自動車、住宅設備、家電、電装部品、半導体、精密機器、医療機器・器具など、私たちの生活に欠かせない製品に使用される金属部品を生み出すマシンや装置の開発、製造、販売、サービスを担っています。 / 順送プレス加工自動化システム「SDEW-8010iⅢ+ALFAS-03KR」</x:v>
      </x:c>
      <x:c r="K85" s="7" t="str">
        <x:v>アマダプレスシステムは、塑性加工分野であるプレスマシン事業、プレス周辺装置事業、ばね成形機事業から成り、自動車、住宅設備、家電、電装部品、半導体、精密機器、医療機器・器具など、私たちの生活に欠かせない製品に使用される金属部品を生み出すマシンや装置の開発、製造、販売、サービスを担っています。 / 順送プレス加工自動化システム「SDEW-8010iⅢ+ALFAS-03KR」</x:v>
      </x:c>
      <x:c r="L85" s="7" t="str">
        <x:v>承認・例外対応・停止・復帰の境界は未確認</x:v>
      </x:c>
      <x:c r="M85" s="7" t="str">
        <x:v>同一正規化名称の2024詳細なし。新規出展・技術不存在とは判断しない。</x:v>
      </x:c>
      <x:c r="N85" s="7" t="str">
        <x:v>2026原典抜粋：アマダプレスシステムは、塑性加工分野であるプレスマシン事業、プレス周辺装置事業、ばね成形機事業から成り、自動車、住宅設備、家電、電装部品、半導体、精密機器、医療機器・器具など、私たちの生活に欠かせない製品に使用される金属部品を生み出すマシンや装置の開発、製造、販売、サービスを担っています。 / 順送プレス加工自動化システム「SDEW-8010iⅢ+ALFAS-03KR」</x:v>
      </x:c>
      <x:c r="O85" s="7" t="str">
        <x:v>2024個別比較不能</x:v>
      </x:c>
      <x:c r="P85" s="7" t="str">
        <x:v>2026公式カタログ掲載・現地未確認</x:v>
      </x:c>
      <x:c r="Q85" s="7" t="str">
        <x:v>2026展示予定。既存製品・参考出展・構想等は原典で個別確認</x:v>
      </x:c>
      <x:c r="R85" s="7" t="str">
        <x:v>どの作業を自動化・支援するか、入力と判断・操作の範囲、適用条件と人の残作業、2024からの機能差、採用・受注・効果の実測を確認する。</x:v>
      </x:c>
      <x:c r="S85" s="7" t="str">
        <x:v>EEX-EXH-2026-6029a59fb8aad4a7</x:v>
      </x:c>
      <x:c r="T85" s="7" t="str">
        <x:v>EEX-EXH-2026-6029a59fb8aad4a7: https://www.jimtof.org/search/jp/ESdetails?e=QfXLYGGnIbs</x:v>
      </x:c>
      <x:c r="U85" s="7" t="str">
        <x:v>出展説明の関連箇所に基づく一次分類</x:v>
      </x:c>
      <x:c r="V85" s="7"/>
      <x:c r="W85" s="7"/>
      <x:c r="X85" s="7"/>
      <x:c r="Y85" s="7"/>
      <x:c r="Z85" s="7"/>
      <x:c r="AA85" s="7"/>
      <x:c r="AB85" s="7"/>
    </x:row>
    <x:row r="86" ht="170" customHeight="1">
      <x:c r="A86" s="7" t="str">
        <x:v>AC012</x:v>
      </x:c>
      <x:c r="B86" s="20" t="str">
        <x:v>株式会社アルプスツール</x:v>
      </x:c>
      <x:c r="C86" s="7" t="str">
        <x:v>CELSUS 32、ASR X-04A、SWP-RB65、AQ2クイックチェンジシステム , 回転工具ユニット , アルプスナイスミルシリーズ , A</x:v>
      </x:c>
      <x:c r="D86" s="7" t="str">
        <x:v>E7047</x:v>
      </x:c>
      <x:c r="E86" s="7" t="str">
        <x:v>自動化</x:v>
      </x:c>
      <x:c r="F86" s="7" t="str">
        <x:v>出展説明の関連用途（個別タスクの分解は未完了）</x:v>
      </x:c>
      <x:c r="G86" s="7" t="str">
        <x:v>出展説明に記載。実装位置の個別精査はカードの方式・未確認欄を参照</x:v>
      </x:c>
      <x:c r="H86" s="7" t="str">
        <x:v>原典抜粋：【CELSUS 32】 / CELSUS（セルサス）とはラテン語で「至上・最高」という意味があり、CELSUS 32は最新技術を駆使して新しい発想から開発された新機種となります。 / また、アルミ製カバーを採用することによりスタイリッシュな外観を持ったCELSUS 32は機能性とデザインを兼ね備えた機種となっており作業現場においても美しく調和する存在となっております。 / 【ASR X-04A】 / 独自のトップキャッチングシステムを標</x:v>
      </x:c>
      <x:c r="I86" s="7" t="str">
        <x:v>個別入力の追加確認が必要</x:v>
      </x:c>
      <x:c r="J86" s="7" t="str">
        <x:v>原典抜粋：【CELSUS 32】 / CELSUS（セルサス）とはラテン語で「至上・最高」という意味があり、CELSUS 32は最新技術を駆使して新しい発想から開発された新機種となります。 / また、アルミ製カバーを採用することによりスタイリッシュな外観を持ったCELSUS 32は機能性とデザインを兼ね備えた機種となっており作業現場においても美しく調和する存在となっております。 / 【ASR X-04A】 / 独自のトップキャッチングシステムを標</x:v>
      </x:c>
      <x:c r="K86" s="7" t="str">
        <x:v>【CELSUS 32】 / CELSUS（セルサス）とはラテン語で「至上・最高」という意味があり、CELSUS 32は最新技術を駆使して新しい発想から開発された新機種となります。 / また、アルミ製カバーを採用することによりスタイリッシュな外観を持ったCELSUS 32は機能性とデザインを兼ね備えた機種となっており作業現場においても美しく調和する存在となっております。 / 【ASR X-04A】 / 独自のトップキャッチングシステムを標</x:v>
      </x:c>
      <x:c r="L86" s="7" t="str">
        <x:v>承認・例外対応・停止・復帰の境界は未確認</x:v>
      </x:c>
      <x:c r="M86" s="7" t="str">
        <x:v>同一正規化名称の2024詳細なし。新規出展・技術不存在とは判断しない。</x:v>
      </x:c>
      <x:c r="N86" s="7" t="str">
        <x:v>2026原典抜粋：【CELSUS 32】 / CELSUS（セルサス）とはラテン語で「至上・最高」という意味があり、CELSUS 32は最新技術を駆使して新しい発想から開発された新機種となります。 / また、アルミ製カバーを採用することによりスタイリッシュな外観を持ったCELSUS 32は機能性とデザインを兼ね備えた機種となっており作業現場においても美しく調和する存在となっております。 / 【ASR X-04A】 / 独自のトップキャッチングシステムを標</x:v>
      </x:c>
      <x:c r="O86" s="7" t="str">
        <x:v>2024個別比較不能</x:v>
      </x:c>
      <x:c r="P86" s="7" t="str">
        <x:v>2026公式カタログ掲載・現地未確認</x:v>
      </x:c>
      <x:c r="Q86" s="7" t="str">
        <x:v>2026展示予定。既存製品・参考出展・構想等は原典で個別確認</x:v>
      </x:c>
      <x:c r="R86" s="7" t="str">
        <x:v>どの作業を自動化・支援するか、入力と判断・操作の範囲、適用条件と人の残作業、2024からの機能差、採用・受注・効果の実測を確認する。</x:v>
      </x:c>
      <x:c r="S86" s="7" t="str">
        <x:v>EEX-EXH-2026-aa4cb9abd8dccbec</x:v>
      </x:c>
      <x:c r="T86" s="7" t="str">
        <x:v>EEX-EXH-2026-aa4cb9abd8dccbec: https://www.jimtof.org/search/jp/ESdetails?e=2TYreMhMb5Q</x:v>
      </x:c>
      <x:c r="U86" s="7" t="str">
        <x:v>出展説明の関連箇所に基づく一次分類</x:v>
      </x:c>
      <x:c r="V86" s="7"/>
      <x:c r="W86" s="7"/>
      <x:c r="X86" s="7"/>
      <x:c r="Y86" s="7"/>
      <x:c r="Z86" s="7"/>
      <x:c r="AA86" s="7"/>
      <x:c r="AB86" s="7"/>
    </x:row>
    <x:row r="87" ht="170" customHeight="1">
      <x:c r="A87" s="7" t="str">
        <x:v>AC013</x:v>
      </x:c>
      <x:c r="B87" s="20" t="str">
        <x:v>安藤株式会社</x:v>
      </x:c>
      <x:c r="C87" s="7" t="str">
        <x:v>中国発の協働ロボット『FARINO』は、圧倒的な低コストと直感操作で現場の自動化を加速。人との共存を実現する高い安全性を備えています。</x:v>
      </x:c>
      <x:c r="D87" s="7" t="str">
        <x:v>S3034</x:v>
      </x:c>
      <x:c r="E87" s="7" t="str">
        <x:v>自動化</x:v>
      </x:c>
      <x:c r="F87" s="7" t="str">
        <x:v>出展説明の関連用途（個別タスクの分解は未完了）</x:v>
      </x:c>
      <x:c r="G87" s="7" t="str">
        <x:v>出展説明に記載。実装位置の個別精査はカードの方式・未確認欄を参照</x:v>
      </x:c>
      <x:c r="H87" s="7" t="str">
        <x:v>原典抜粋：注目は、高いコストパフォーマンスと直感的な操作性を兼ね備えた「FAIRINO」協働ロボットによる溶接デモンストレーションです。 / 深刻な人手不足が続く溶接工程の自動化を、圧倒的な導入しやすさで強力に後押しします。 / ワーク供給の自動化コストを大幅に抑制します。 / そして、今後のヒューマノイドロボット制御や高度な動作解析・位置補正の現場に欠かせない技術として「CHING MU」の高精度モーションキャプチャシステムを展示。 / 中国発</x:v>
      </x:c>
      <x:c r="I87" s="7" t="str">
        <x:v>個別入力の追加確認が必要</x:v>
      </x:c>
      <x:c r="J87" s="7" t="str">
        <x:v>原典抜粋：注目は、高いコストパフォーマンスと直感的な操作性を兼ね備えた「FAIRINO」協働ロボットによる溶接デモンストレーションです。 / 深刻な人手不足が続く溶接工程の自動化を、圧倒的な導入しやすさで強力に後押しします。 / ワーク供給の自動化コストを大幅に抑制します。 / そして、今後のヒューマノイドロボット制御や高度な動作解析・位置補正の現場に欠かせない技術として「CHING MU」の高精度モーションキャプチャシステムを展示。 / 中国発</x:v>
      </x:c>
      <x:c r="K87" s="7" t="str">
        <x:v>注目は、高いコストパフォーマンスと直感的な操作性を兼ね備えた「FAIRINO」協働ロボットによる溶接デモンストレーションです。 / 深刻な人手不足が続く溶接工程の自動化を、圧倒的な導入しやすさで強力に後押しします。 / ワーク供給の自動化コストを大幅に抑制します。 / そして、今後のヒューマノイドロボット制御や高度な動作解析・位置補正の現場に欠かせない技術として「CHING MU」の高精度モーションキャプチャシステムを展示。 / 中国発</x:v>
      </x:c>
      <x:c r="L87" s="7" t="str">
        <x:v>承認・例外対応・停止・復帰の境界は未確認</x:v>
      </x:c>
      <x:c r="M87" s="7" t="str">
        <x:v>同一正規化名称の2024詳細なし。新規出展・技術不存在とは判断しない。</x:v>
      </x:c>
      <x:c r="N87" s="7" t="str">
        <x:v>2026原典抜粋：注目は、高いコストパフォーマンスと直感的な操作性を兼ね備えた「FAIRINO」協働ロボットによる溶接デモンストレーションです。 / 深刻な人手不足が続く溶接工程の自動化を、圧倒的な導入しやすさで強力に後押しします。 / ワーク供給の自動化コストを大幅に抑制します。 / そして、今後のヒューマノイドロボット制御や高度な動作解析・位置補正の現場に欠かせない技術として「CHING MU」の高精度モーションキャプチャシステムを展示。 / 中国発</x:v>
      </x:c>
      <x:c r="O87" s="7" t="str">
        <x:v>2024個別比較不能</x:v>
      </x:c>
      <x:c r="P87" s="7" t="str">
        <x:v>2026公式カタログ掲載・現地未確認</x:v>
      </x:c>
      <x:c r="Q87" s="7" t="str">
        <x:v>2026展示予定。既存製品・参考出展・構想等は原典で個別確認</x:v>
      </x:c>
      <x:c r="R87" s="7" t="str">
        <x:v>どの作業を自動化・支援するか、入力と判断・操作の範囲、適用条件と人の残作業、2024からの機能差、採用・受注・効果の実測を確認する。</x:v>
      </x:c>
      <x:c r="S87" s="7" t="str">
        <x:v>EEX-EXH-2026-af594372ce986f00</x:v>
      </x:c>
      <x:c r="T87" s="7" t="str">
        <x:v>EEX-EXH-2026-af594372ce986f00: https://www.jimtof.org/search/jp/ESdetails?e=E-sJ8QNrgW0</x:v>
      </x:c>
      <x:c r="U87" s="7" t="str">
        <x:v>出展説明の関連箇所に基づく一次分類</x:v>
      </x:c>
      <x:c r="V87" s="7"/>
      <x:c r="W87" s="7"/>
      <x:c r="X87" s="7"/>
      <x:c r="Y87" s="7"/>
      <x:c r="Z87" s="7"/>
      <x:c r="AA87" s="7"/>
      <x:c r="AB87" s="7"/>
    </x:row>
    <x:row r="88" ht="170" customHeight="1">
      <x:c r="A88" s="7" t="str">
        <x:v>AC014</x:v>
      </x:c>
      <x:c r="B88" s="20" t="str">
        <x:v>イグス株式会社</x:v>
      </x:c>
      <x:c r="C88" s="7" t="str">
        <x:v>直動及び旋回用ケーブル保護管 [エナジーチェーン]、3D動作用ケーブル保護管 [トライフレックスR]</x:v>
      </x:c>
      <x:c r="D88" s="7" t="str">
        <x:v>E3004</x:v>
      </x:c>
      <x:c r="E88" s="7" t="str">
        <x:v>工場運用DX
AI実装・連携基盤</x:v>
      </x:c>
      <x:c r="F88" s="7" t="str">
        <x:v>出展説明の関連用途（個別タスクの分解は未完了）</x:v>
      </x:c>
      <x:c r="G88" s="7" t="str">
        <x:v>出展説明に記載。実装位置の個別精査はカードの方式・未確認欄を参照</x:v>
      </x:c>
      <x:c r="H88" s="7" t="str">
        <x:v>原典抜粋：予知保全・状態監視システム [スマートプラスチック]</x:v>
      </x:c>
      <x:c r="I88" s="7" t="str">
        <x:v>個別入力の追加確認が必要</x:v>
      </x:c>
      <x:c r="J88" s="7" t="str">
        <x:v>原典抜粋：予知保全・状態監視システム [スマートプラスチック]</x:v>
      </x:c>
      <x:c r="K88" s="7" t="str">
        <x:v>予知保全・状態監視システム [スマートプラスチック]</x:v>
      </x:c>
      <x:c r="L88" s="7" t="str">
        <x:v>承認・例外対応・停止・復帰の境界は未確認</x:v>
      </x:c>
      <x:c r="M88" s="7" t="str">
        <x:v>2024原典抜粋：自動化への希求が高まる工作機械業界に向けてmotion plastics companyとして、直動のみならず旋回用途にも対応出来るケーブル保護管：エナジーチェーン / 可動ケーブル：チェーンフレックス / 無潤滑リニアガイド：ドライリンなど、メンテナンスフリー/長寿命化が実現可能な製品をご提案します。 さらに自動化に欠かせないロボットシステムの構築においては、3D動作に適したケーブル保護管：トライフレックスRに加え、ローコストオートメーションとして協働型ロボット ReBeL / ロボット搬送 7th axis な</x:v>
      </x:c>
      <x:c r="N88" s="7" t="str">
        <x:v>2026原典抜粋：予知保全・状態監視システム [スマートプラスチック]</x:v>
      </x:c>
      <x:c r="O88" s="7" t="str">
        <x:v>両年原典あり・機能差未判定</x:v>
      </x:c>
      <x:c r="P88" s="7" t="str">
        <x:v>2026公式カタログ掲載・現地未確認</x:v>
      </x:c>
      <x:c r="Q88" s="7" t="str">
        <x:v>2026展示予定。既存製品・参考出展・構想等は原典で個別確認</x:v>
      </x:c>
      <x:c r="R88" s="7" t="str">
        <x:v>どの作業を自動化・支援するか、入力と判断・操作の範囲、適用条件と人の残作業、2024からの機能差、採用・受注・効果の実測を確認する。</x:v>
      </x:c>
      <x:c r="S88" s="7" t="str">
        <x:v>EEX-EXH-2026-d7f06610e0cfe3de
EEX-EXH-2024-2cdc1a5fff3b538c</x:v>
      </x:c>
      <x:c r="T88" s="7" t="str">
        <x:v>EEX-EXH-2026-d7f06610e0cfe3de: https://www.jimtof.org/search/jp/ESdetails?e=BnXXMpSPRVw
EEX-EXH-2024-2cdc1a5fff3b538c: https://www.jimtof.org/2024/search/jp/ESdetails?e=ZIWyv06nR4M</x:v>
      </x:c>
      <x:c r="U88" s="7" t="str">
        <x:v>出展説明の関連箇所に基づく一次分類</x:v>
      </x:c>
      <x:c r="V88" s="7"/>
      <x:c r="W88" s="7"/>
      <x:c r="X88" s="7"/>
      <x:c r="Y88" s="7"/>
      <x:c r="Z88" s="7"/>
      <x:c r="AA88" s="7"/>
      <x:c r="AB88" s="7"/>
    </x:row>
    <x:row r="89" ht="170" customHeight="1">
      <x:c r="A89" s="7" t="str">
        <x:v>AC015</x:v>
      </x:c>
      <x:c r="B89" s="20" t="str">
        <x:v>株式会社池貝</x:v>
      </x:c>
      <x:c r="C89" s="7" t="str">
        <x:v>各業界における取り組み</x:v>
      </x:c>
      <x:c r="D89" s="7" t="str">
        <x:v>E3002</x:v>
      </x:c>
      <x:c r="E89" s="7" t="str">
        <x:v>自動化</x:v>
      </x:c>
      <x:c r="F89" s="7" t="str">
        <x:v>出展説明の関連用途（個別タスクの分解は未完了）</x:v>
      </x:c>
      <x:c r="G89" s="7" t="str">
        <x:v>出展説明に記載。実装位置の個別精査はカードの方式・未確認欄を参照</x:v>
      </x:c>
      <x:c r="H89" s="7" t="str">
        <x:v>原典抜粋：また、こうした技術をお客様仕様にあわせ、自動化・省人化のノウハウを組み込んだ各種実績や新機種シリーズ「NeoV-MⅡ」「HPS-BⅡ」など、進化・深化するSNK・池貝技術の数々を多彩なコンテンツでご覧いただけます。</x:v>
      </x:c>
      <x:c r="I89" s="7" t="str">
        <x:v>個別入力の追加確認が必要</x:v>
      </x:c>
      <x:c r="J89" s="7" t="str">
        <x:v>原典抜粋：また、こうした技術をお客様仕様にあわせ、自動化・省人化のノウハウを組み込んだ各種実績や新機種シリーズ「NeoV-MⅡ」「HPS-BⅡ」など、進化・深化するSNK・池貝技術の数々を多彩なコンテンツでご覧いただけます。</x:v>
      </x:c>
      <x:c r="K89" s="7" t="str">
        <x:v>また、こうした技術をお客様仕様にあわせ、自動化・省人化のノウハウを組み込んだ各種実績や新機種シリーズ「NeoV-MⅡ」「HPS-BⅡ」など、進化・深化するSNK・池貝技術の数々を多彩なコンテンツでご覧いただけます。</x:v>
      </x:c>
      <x:c r="L89" s="7" t="str">
        <x:v>承認・例外対応・停止・復帰の境界は未確認</x:v>
      </x:c>
      <x:c r="M89" s="7" t="str">
        <x:v>2024原典抜粋：池貝では旋盤の新シリーズ「AE」の紹介をはじめ、U軸マシニングセンタ、専用機各種をPRします。AEシリーズでは機械構造を見直すことで従来機種と比較し、油圧レス化・省スペース化・省エネ化を達成、さらに、操作盤の視認性や簡単にNC加工が出来るソフトの搭載が可能です。また、CNC旋盤でありながらわずかな作業を必要とする場合は、汎用旋盤のような操作が可能であり、使いやすさに磨きをかけました。ブース内では、門型機メーカーの「新日本工機」や自動車向け旋盤の「日新工機」など、新シリーズの紹介などお客様ニーズに応える様々なご提案が</x:v>
      </x:c>
      <x:c r="N89" s="7" t="str">
        <x:v>2026原典抜粋：また、こうした技術をお客様仕様にあわせ、自動化・省人化のノウハウを組み込んだ各種実績や新機種シリーズ「NeoV-MⅡ」「HPS-BⅡ」など、進化・深化するSNK・池貝技術の数々を多彩なコンテンツでご覧いただけます。</x:v>
      </x:c>
      <x:c r="O89" s="7" t="str">
        <x:v>両年原典あり・機能差未判定</x:v>
      </x:c>
      <x:c r="P89" s="7" t="str">
        <x:v>2026公式カタログ掲載・現地未確認</x:v>
      </x:c>
      <x:c r="Q89" s="7" t="str">
        <x:v>2026展示予定。既存製品・参考出展・構想等は原典で個別確認</x:v>
      </x:c>
      <x:c r="R89" s="7" t="str">
        <x:v>どの作業を自動化・支援するか、入力と判断・操作の範囲、適用条件と人の残作業、2024からの機能差、採用・受注・効果の実測を確認する。</x:v>
      </x:c>
      <x:c r="S89" s="7" t="str">
        <x:v>EEX-EXH-2026-b13a1cbd634179d5
EEX-EXH-2024-50ac4ce119b8d4db</x:v>
      </x:c>
      <x:c r="T89" s="7" t="str">
        <x:v>EEX-EXH-2026-b13a1cbd634179d5: https://www.jimtof.org/search/jp/ESdetails?e=WS9ql5D41fQ
EEX-EXH-2024-50ac4ce119b8d4db: https://www.jimtof.org/2024/search/jp/ESdetails?e=4zcj5QqmMBo</x:v>
      </x:c>
      <x:c r="U89" s="7" t="str">
        <x:v>出展説明の関連箇所に基づく一次分類</x:v>
      </x:c>
      <x:c r="V89" s="7"/>
      <x:c r="W89" s="7"/>
      <x:c r="X89" s="7"/>
      <x:c r="Y89" s="7"/>
      <x:c r="Z89" s="7"/>
      <x:c r="AA89" s="7"/>
      <x:c r="AB89" s="7"/>
    </x:row>
    <x:row r="90" ht="170" customHeight="1">
      <x:c r="A90" s="7" t="str">
        <x:v>AC016</x:v>
      </x:c>
      <x:c r="B90" s="20" t="str">
        <x:v>株式会社IZUSHI</x:v>
      </x:c>
      <x:c r="C90" s="7" t="str">
        <x:v>テクノマーク 産業用刻印機</x:v>
      </x:c>
      <x:c r="D90" s="7" t="str">
        <x:v>W1087</x:v>
      </x:c>
      <x:c r="E90" s="7" t="str">
        <x:v>自動化</x:v>
      </x:c>
      <x:c r="F90" s="7" t="str">
        <x:v>出展説明の関連用途（個別タスクの分解は未完了）</x:v>
      </x:c>
      <x:c r="G90" s="7" t="str">
        <x:v>出展説明に記載。実装位置の個別精査はカードの方式・未確認欄を参照</x:v>
      </x:c>
      <x:c r="H90" s="7" t="str">
        <x:v>原典抜粋：FORMHANDの汎用ロボットハンドは、パッド内の顆粒がワークの形状に追従するため、多品種を一つのハンドで扱えます。 / クーラントは、水圧だけで希釈する自動希釈装置IDE-CK1と、劣化を抑えるナノブースターをご用意しました。 / 小型自動旋盤向けのDECOFLEXもご用意。 / ■FORMHAND 汎用ロボットハンド / ・クーラント自動希釈装置 IDE-CK1：水圧だけで0〜35%の任意濃度に希釈。 / ・ALジェットクリーナー：</x:v>
      </x:c>
      <x:c r="I90" s="7" t="str">
        <x:v>個別入力の追加確認が必要</x:v>
      </x:c>
      <x:c r="J90" s="7" t="str">
        <x:v>原典抜粋：FORMHANDの汎用ロボットハンドは、パッド内の顆粒がワークの形状に追従するため、多品種を一つのハンドで扱えます。 / クーラントは、水圧だけで希釈する自動希釈装置IDE-CK1と、劣化を抑えるナノブースターをご用意しました。 / 小型自動旋盤向けのDECOFLEXもご用意。 / ■FORMHAND 汎用ロボットハンド / ・クーラント自動希釈装置 IDE-CK1：水圧だけで0〜35%の任意濃度に希釈。 / ・ALジェットクリーナー：</x:v>
      </x:c>
      <x:c r="K90" s="7" t="str">
        <x:v>FORMHANDの汎用ロボットハンドは、パッド内の顆粒がワークの形状に追従するため、多品種を一つのハンドで扱えます。 / クーラントは、水圧だけで希釈する自動希釈装置IDE-CK1と、劣化を抑えるナノブースターをご用意しました。 / 小型自動旋盤向けのDECOFLEXもご用意。 / ■FORMHAND 汎用ロボットハンド / ・クーラント自動希釈装置 IDE-CK1：水圧だけで0〜35%の任意濃度に希釈。 / ・ALジェットクリーナー：</x:v>
      </x:c>
      <x:c r="L90" s="7" t="str">
        <x:v>承認・例外対応・停止・復帰の境界は未確認</x:v>
      </x:c>
      <x:c r="M90" s="7" t="str">
        <x:v>2024原典抜粋：IZUSHIは機械工具の専門商社です。お客さまの生産に最適な製品と技術を提案し、時には社内設備を使ったテスト加工や加工条件の見直し等の改善活動を通して、最終的にお客様の生産性向上と環境負荷低減に貢献できるような取り組みを行っております。 弊社のブースでは、フランス製刻印機「テクノマーク」の ワイヤレス仕様の打刻式刻印機「コネクトシリーズ」、レーザー刻印機「Graphix e-series」や、ドイツ製フレキシブルロボットハンド「FORMAND」 同じくドイツ製の表面処理工具メーカー「ECOROLL」、冷却潤滑テクノ</x:v>
      </x:c>
      <x:c r="N90" s="7" t="str">
        <x:v>2026原典抜粋：FORMHANDの汎用ロボットハンドは、パッド内の顆粒がワークの形状に追従するため、多品種を一つのハンドで扱えます。 / クーラントは、水圧だけで希釈する自動希釈装置IDE-CK1と、劣化を抑えるナノブースターをご用意しました。 / 小型自動旋盤向けのDECOFLEXもご用意。 / ■FORMHAND 汎用ロボットハンド / ・クーラント自動希釈装置 IDE-CK1：水圧だけで0〜35%の任意濃度に希釈。 / ・ALジェットクリーナー：</x:v>
      </x:c>
      <x:c r="O90" s="7" t="str">
        <x:v>両年原典あり・機能差未判定</x:v>
      </x:c>
      <x:c r="P90" s="7" t="str">
        <x:v>2026公式カタログ掲載・現地未確認</x:v>
      </x:c>
      <x:c r="Q90" s="7" t="str">
        <x:v>2026展示予定。既存製品・参考出展・構想等は原典で個別確認</x:v>
      </x:c>
      <x:c r="R90" s="7" t="str">
        <x:v>どの作業を自動化・支援するか、入力と判断・操作の範囲、適用条件と人の残作業、2024からの機能差、採用・受注・効果の実測を確認する。</x:v>
      </x:c>
      <x:c r="S90" s="7" t="str">
        <x:v>EEX-EXH-2026-dcc361015ad89157
EEX-EXH-2024-c55255b95f92be64</x:v>
      </x:c>
      <x:c r="T90" s="7" t="str">
        <x:v>EEX-EXH-2026-dcc361015ad89157: https://www.jimtof.org/search/jp/ESdetails?e=XQSp36eC9AA
EEX-EXH-2024-c55255b95f92be64: https://www.jimtof.org/2024/search/jp/ESdetails?e=SdgtqHZPhzY</x:v>
      </x:c>
      <x:c r="U90" s="7" t="str">
        <x:v>出展説明の関連箇所に基づく一次分類</x:v>
      </x:c>
      <x:c r="V90" s="7"/>
      <x:c r="W90" s="7"/>
      <x:c r="X90" s="7"/>
      <x:c r="Y90" s="7"/>
      <x:c r="Z90" s="7"/>
      <x:c r="AA90" s="7"/>
      <x:c r="AB90" s="7"/>
    </x:row>
    <x:row r="91" ht="170" customHeight="1">
      <x:c r="A91" s="7" t="str">
        <x:v>AC017</x:v>
      </x:c>
      <x:c r="B91" s="20" t="str">
        <x:v>株式会社イズミコーポレーション</x:v>
      </x:c>
      <x:c r="C91" s="7" t="str">
        <x:v>ディペンドバイスシステム　「ＰＳＳ－５５００、ＰＳＳ－５４００,Ｃ４Ｖセット」、エアーメカロックバイス　「ＡＭＶ－１００５Ｗ、ＡＭＶ－１００７Ｗ、ＡＭ</x:v>
      </x:c>
      <x:c r="D91" s="7" t="str">
        <x:v>WA007</x:v>
      </x:c>
      <x:c r="E91" s="7" t="str">
        <x:v>自動化</x:v>
      </x:c>
      <x:c r="F91" s="7" t="str">
        <x:v>出展説明の関連用途（個別タスクの分解は未完了）</x:v>
      </x:c>
      <x:c r="G91" s="7" t="str">
        <x:v>出展説明に記載。実装位置の個別精査はカードの方式・未確認欄を参照</x:v>
      </x:c>
      <x:c r="H91" s="7" t="str">
        <x:v>原典抜粋：イズミコーポレーションは長年にわたるフライス盤及びマシニングセンターによる精密部品加工分野での経験を生かし、現在はマシニングセンター加工の高効率、高精度、治具レス、無人化をコンセプトとした汎用治具バイス ”ディペンドバイスシステム” をメインに工作機械用各種ワーククランプシステムを製造販売しております。 / 生産現場の視点に立って、お客様に信頼して頂けるユニークな製品開発を続ける事が使命と考えております。 / ディペンドバイスシステム　</x:v>
      </x:c>
      <x:c r="I91" s="7" t="str">
        <x:v>個別入力の追加確認が必要</x:v>
      </x:c>
      <x:c r="J91" s="7" t="str">
        <x:v>原典抜粋：イズミコーポレーションは長年にわたるフライス盤及びマシニングセンターによる精密部品加工分野での経験を生かし、現在はマシニングセンター加工の高効率、高精度、治具レス、無人化をコンセプトとした汎用治具バイス ”ディペンドバイスシステム” をメインに工作機械用各種ワーククランプシステムを製造販売しております。 / 生産現場の視点に立って、お客様に信頼して頂けるユニークな製品開発を続ける事が使命と考えております。 / ディペンドバイスシステム　</x:v>
      </x:c>
      <x:c r="K91" s="7" t="str">
        <x:v>イズミコーポレーションは長年にわたるフライス盤及びマシニングセンターによる精密部品加工分野での経験を生かし、現在はマシニングセンター加工の高効率、高精度、治具レス、無人化をコンセプトとした汎用治具バイス ”ディペンドバイスシステム” をメインに工作機械用各種ワーククランプシステムを製造販売しております。 / 生産現場の視点に立って、お客様に信頼して頂けるユニークな製品開発を続ける事が使命と考えております。 / ディペンドバイスシステム　</x:v>
      </x:c>
      <x:c r="L91" s="7" t="str">
        <x:v>承認・例外対応・停止・復帰の境界は未確認</x:v>
      </x:c>
      <x:c r="M91" s="7" t="str">
        <x:v>2024原典抜粋：イズミコーポレーションは長年にわたるフライス盤及びマシニングセンターによる精密部品加工分野での経験を生かし、現在はマシニングセンター加工の高効率、高精度、治具レス、無人化をコンセプトとした汎用治具バイス ”ディペンドバイスシステム” をメインに工作機械用各種ワーククランプシステムを製造販売しております。生産現場の視点に立って、お客様に信頼して頂けるユニークな製品開発を続ける事が使命と考えております。 ディペンドバイスシステム「ＰＳＳ－５５００Ｆ、ＰＳＳ－７６００Ｆ、ＰＳＳ－５４００Ｆ，Ｃ４Ｖ」、エアーメカロックバイ</x:v>
      </x:c>
      <x:c r="N91" s="7" t="str">
        <x:v>2026原典抜粋：イズミコーポレーションは長年にわたるフライス盤及びマシニングセンターによる精密部品加工分野での経験を生かし、現在はマシニングセンター加工の高効率、高精度、治具レス、無人化をコンセプトとした汎用治具バイス ”ディペンドバイスシステム” をメインに工作機械用各種ワーククランプシステムを製造販売しております。 / 生産現場の視点に立って、お客様に信頼して頂けるユニークな製品開発を続ける事が使命と考えております。 / ディペンドバイスシステム　</x:v>
      </x:c>
      <x:c r="O91" s="7" t="str">
        <x:v>両年原典あり・機能差未判定</x:v>
      </x:c>
      <x:c r="P91" s="7" t="str">
        <x:v>2026公式カタログ掲載・現地未確認</x:v>
      </x:c>
      <x:c r="Q91" s="7" t="str">
        <x:v>2026展示予定。既存製品・参考出展・構想等は原典で個別確認</x:v>
      </x:c>
      <x:c r="R91" s="7" t="str">
        <x:v>どの作業を自動化・支援するか、入力と判断・操作の範囲、適用条件と人の残作業、2024からの機能差、採用・受注・効果の実測を確認する。</x:v>
      </x:c>
      <x:c r="S91" s="7" t="str">
        <x:v>EEX-EXH-2026-681d5ad2651a63b2
EEX-EXH-2024-1f51c05700cf70b0</x:v>
      </x:c>
      <x:c r="T91" s="7" t="str">
        <x:v>EEX-EXH-2026-681d5ad2651a63b2: https://www.jimtof.org/search/jp/ESdetails?e=Eo7w7UDoYR0
EEX-EXH-2024-1f51c05700cf70b0: https://www.jimtof.org/2024/search/jp/ESdetails?e=HV_SdA2C6hY</x:v>
      </x:c>
      <x:c r="U91" s="7" t="str">
        <x:v>出展説明の関連箇所に基づく一次分類</x:v>
      </x:c>
      <x:c r="V91" s="7"/>
      <x:c r="W91" s="7"/>
      <x:c r="X91" s="7"/>
      <x:c r="Y91" s="7"/>
      <x:c r="Z91" s="7"/>
      <x:c r="AA91" s="7"/>
      <x:c r="AB91" s="7"/>
    </x:row>
    <x:row r="92" ht="170" customHeight="1">
      <x:c r="A92" s="7" t="str">
        <x:v>AC018</x:v>
      </x:c>
      <x:c r="B92" s="20" t="str">
        <x:v>株式会社伊東商会</x:v>
      </x:c>
      <x:c r="C92" s="7" t="str">
        <x:v>油圧・電気回路設計シミュレーションソフトAutomation Studio™をご紹介します。 / ブースでは、油圧・電気回路設計シミュレーションソフト</x:v>
      </x:c>
      <x:c r="D92" s="7" t="str">
        <x:v>S4013</x:v>
      </x:c>
      <x:c r="E92" s="7" t="str">
        <x:v>設計・製造DX</x:v>
      </x:c>
      <x:c r="F92" s="7" t="str">
        <x:v>出展説明の関連用途（個別タスクの分解は未完了）</x:v>
      </x:c>
      <x:c r="G92" s="7" t="str">
        <x:v>出展説明に記載。実装位置の個別精査はカードの方式・未確認欄を参照</x:v>
      </x:c>
      <x:c r="H92" s="7" t="str">
        <x:v>原典抜粋：油圧・電気回路設計シミュレーションソフトAutomation Studio™をご紹介します。 / ブースでは、油圧・電気回路設計シミュレーションソフトAutomation Studio™を使用した回路設計とシミュレーションのデモンストレーションを実施します。</x:v>
      </x:c>
      <x:c r="I92" s="7" t="str">
        <x:v>個別入力の追加確認が必要</x:v>
      </x:c>
      <x:c r="J92" s="7" t="str">
        <x:v>原典抜粋：油圧・電気回路設計シミュレーションソフトAutomation Studio™をご紹介します。 / ブースでは、油圧・電気回路設計シミュレーションソフトAutomation Studio™を使用した回路設計とシミュレーションのデモンストレーションを実施します。</x:v>
      </x:c>
      <x:c r="K92" s="7" t="str">
        <x:v>油圧・電気回路設計シミュレーションソフトAutomation Studio™をご紹介します。 / ブースでは、油圧・電気回路設計シミュレーションソフトAutomation Studio™を使用した回路設計とシミュレーションのデモンストレーションを実施します。</x:v>
      </x:c>
      <x:c r="L92" s="7" t="str">
        <x:v>承認・例外対応・停止・復帰の境界は未確認</x:v>
      </x:c>
      <x:c r="M92" s="7" t="str">
        <x:v>同一正規化名称の2024詳細なし。新規出展・技術不存在とは判断しない。</x:v>
      </x:c>
      <x:c r="N92" s="7" t="str">
        <x:v>2026原典抜粋：油圧・電気回路設計シミュレーションソフトAutomation Studio™をご紹介します。 / ブースでは、油圧・電気回路設計シミュレーションソフトAutomation Studio™を使用した回路設計とシミュレーションのデモンストレーションを実施します。</x:v>
      </x:c>
      <x:c r="O92" s="7" t="str">
        <x:v>2024個別比較不能</x:v>
      </x:c>
      <x:c r="P92" s="7" t="str">
        <x:v>2026公式カタログ掲載・現地未確認</x:v>
      </x:c>
      <x:c r="Q92" s="7" t="str">
        <x:v>2026展示予定。既存製品・参考出展・構想等は原典で個別確認</x:v>
      </x:c>
      <x:c r="R92" s="7" t="str">
        <x:v>どの作業を自動化・支援するか、入力と判断・操作の範囲、適用条件と人の残作業、2024からの機能差、採用・受注・効果の実測を確認する。</x:v>
      </x:c>
      <x:c r="S92" s="7" t="str">
        <x:v>EEX-EXH-2026-7f41e63bd0f47a62</x:v>
      </x:c>
      <x:c r="T92" s="7" t="str">
        <x:v>EEX-EXH-2026-7f41e63bd0f47a62: https://www.jimtof.org/search/jp/ESdetails?e=zWtwHxsaw3Q</x:v>
      </x:c>
      <x:c r="U92" s="7" t="str">
        <x:v>出展説明の関連箇所に基づく一次分類</x:v>
      </x:c>
      <x:c r="V92" s="7"/>
      <x:c r="W92" s="7"/>
      <x:c r="X92" s="7"/>
      <x:c r="Y92" s="7"/>
      <x:c r="Z92" s="7"/>
      <x:c r="AA92" s="7"/>
      <x:c r="AB92" s="7"/>
    </x:row>
    <x:row r="93" ht="170" customHeight="1">
      <x:c r="A93" s="7" t="str">
        <x:v>AC019</x:v>
      </x:c>
      <x:c r="B93" s="20" t="str">
        <x:v>伊藤忠マシンテクノス株式会社</x:v>
      </x:c>
      <x:c r="C93" s="7" t="str">
        <x:v>ELHA社(ドイツ)大型特注工作機械　https://www.elha.de/ja/</x:v>
      </x:c>
      <x:c r="D93" s="7" t="str">
        <x:v>E1002</x:v>
      </x:c>
      <x:c r="E93" s="7" t="str">
        <x:v>フィジカルAI
工場運用DX</x:v>
      </x:c>
      <x:c r="F93" s="7" t="str">
        <x:v>出展説明の関連用途（個別タスクの分解は未完了）</x:v>
      </x:c>
      <x:c r="G93" s="7" t="str">
        <x:v>出展説明に記載。実装位置の個別精査はカードの方式・未確認欄を参照</x:v>
      </x:c>
      <x:c r="H93" s="7" t="str">
        <x:v>原典抜粋：本展示では、加工機単体の提案に留まらず、超重量AGV等を用いた「自動搬送システム」や、最先端AIテクノロジーを活用した「Physical AI・Iot,DXへのAI活用」など次世代のスマートファクトリー実現に向けた最新商材を幅広くラインナップしています。 / 加工・自動化・AI・DXの最新トレンドを体感できるブースへ、ぜひお越しください。 / ・ロボットリアルタイムティーチングソフト / ・Physical AI　二次開発&amp;統合システム</x:v>
      </x:c>
      <x:c r="I93" s="7" t="str">
        <x:v>個別入力の追加確認が必要</x:v>
      </x:c>
      <x:c r="J93" s="7" t="str">
        <x:v>原典抜粋：本展示では、加工機単体の提案に留まらず、超重量AGV等を用いた「自動搬送システム」や、最先端AIテクノロジーを活用した「Physical AI・Iot,DXへのAI活用」など次世代のスマートファクトリー実現に向けた最新商材を幅広くラインナップしています。 / 加工・自動化・AI・DXの最新トレンドを体感できるブースへ、ぜひお越しください。 / ・ロボットリアルタイムティーチングソフト / ・Physical AI　二次開発&amp;統合システム</x:v>
      </x:c>
      <x:c r="K93" s="7" t="str">
        <x:v>本展示では、加工機単体の提案に留まらず、超重量AGV等を用いた「自動搬送システム」や、最先端AIテクノロジーを活用した「Physical AI・Iot,DXへのAI活用」など次世代のスマートファクトリー実現に向けた最新商材を幅広くラインナップしています。 / 加工・自動化・AI・DXの最新トレンドを体感できるブースへ、ぜひお越しください。 / ・ロボットリアルタイムティーチングソフト / ・Physical AI　二次開発&amp;統合システム</x:v>
      </x:c>
      <x:c r="L93" s="7" t="str">
        <x:v>承認・例外対応・停止・復帰の境界は未確認</x:v>
      </x:c>
      <x:c r="M93" s="7" t="str">
        <x:v>2024原典抜粋：今回出展するのは独自のアイデアを持った欧州メーカーを中心に出展します。 ELHA/ドイツ テーブルトラバーストランスファーマシン ・多数個取り同時加工 ・自由度の高いプロダクションモジュールを搭載、ATC可能 パラレルタイプマシニングセンタ ・大型ワークに最適（ギガキャスト、バッテリートレイ、シャーシ等） ・ATC可能 ターニング ・SSDリニアテーブル(割出精度1sec) ・C軸同期で5面加工機と同機能実現 FAMAR/イタリア 縦型逆さ複合旋盤 ・ワーク搬送時間短縮、省スペース ・旋削、穴あけ、ミーリング、ハー</x:v>
      </x:c>
      <x:c r="N93" s="7" t="str">
        <x:v>2026原典抜粋：本展示では、加工機単体の提案に留まらず、超重量AGV等を用いた「自動搬送システム」や、最先端AIテクノロジーを活用した「Physical AI・Iot,DXへのAI活用」など次世代のスマートファクトリー実現に向けた最新商材を幅広くラインナップしています。 / 加工・自動化・AI・DXの最新トレンドを体感できるブースへ、ぜひお越しください。 / ・ロボットリアルタイムティーチングソフト / ・Physical AI　二次開発&amp;統合システム</x:v>
      </x:c>
      <x:c r="O93" s="7" t="str">
        <x:v>両年原典あり・機能差未判定</x:v>
      </x:c>
      <x:c r="P93" s="7" t="str">
        <x:v>2026公式カタログ掲載・現地未確認</x:v>
      </x:c>
      <x:c r="Q93" s="7" t="str">
        <x:v>2026展示予定。既存製品・参考出展・構想等は原典で個別確認</x:v>
      </x:c>
      <x:c r="R93" s="7" t="str">
        <x:v>どの作業を自動化・支援するか、入力と判断・操作の範囲、適用条件と人の残作業、2024からの機能差、採用・受注・効果の実測を確認する。</x:v>
      </x:c>
      <x:c r="S93" s="7" t="str">
        <x:v>EEX-EXH-2026-41dc1e5513fe9737
EEX-EXH-2024-67725eabe6ec70b8</x:v>
      </x:c>
      <x:c r="T93" s="7" t="str">
        <x:v>EEX-EXH-2026-41dc1e5513fe9737: https://www.jimtof.org/search/jp/ESdetails?e=7ypX6WR51KU
EEX-EXH-2024-67725eabe6ec70b8: https://www.jimtof.org/2024/search/jp/ESdetails?e=oAJf-RFYInA</x:v>
      </x:c>
      <x:c r="U93" s="7" t="str">
        <x:v>出展説明の関連箇所に基づく一次分類</x:v>
      </x:c>
      <x:c r="V93" s="7"/>
      <x:c r="W93" s="7"/>
      <x:c r="X93" s="7"/>
      <x:c r="Y93" s="7"/>
      <x:c r="Z93" s="7"/>
      <x:c r="AA93" s="7"/>
      <x:c r="AB93" s="7"/>
    </x:row>
    <x:row r="94" ht="170" customHeight="1">
      <x:c r="A94" s="7" t="str">
        <x:v>AC021</x:v>
      </x:c>
      <x:c r="B94" s="20" t="str">
        <x:v>入野機工株式会社</x:v>
      </x:c>
      <x:c r="C94" s="7" t="str">
        <x:v>【新型ハイブリッド内面研削盤 IIG-15HE】</x:v>
      </x:c>
      <x:c r="D94" s="7" t="str">
        <x:v>E7048</x:v>
      </x:c>
      <x:c r="E94" s="7" t="str">
        <x:v>自動化</x:v>
      </x:c>
      <x:c r="F94" s="7" t="str">
        <x:v>出展説明の関連用途（個別タスクの分解は未完了）</x:v>
      </x:c>
      <x:c r="G94" s="7" t="str">
        <x:v>出展説明に記載。実装位置の個別精査はカードの方式・未確認欄を参照</x:v>
      </x:c>
      <x:c r="H94" s="7" t="str">
        <x:v>原典抜粋：加工状態を見ながら研削条件を作り込み、条件が決まれば全自動研削サイクルで安定した加工を繰り返す。 / 入野機工は、この機械の良さを残しながら、オペレーターが機械の位置をより正確に把握し、より簡単に設定できるよう、デジタル技術を取り入れて操作性を高めてきました。 / 寸法補正から再研削までを効率化します。 / 自動切込み速度はmm/min単位で数値設定でき、従来の油圧・機械機構による送り速度のばらつきを抑え、安定した切込み動作を可能にしま</x:v>
      </x:c>
      <x:c r="I94" s="7" t="str">
        <x:v>個別入力の追加確認が必要</x:v>
      </x:c>
      <x:c r="J94" s="7" t="str">
        <x:v>原典抜粋：加工状態を見ながら研削条件を作り込み、条件が決まれば全自動研削サイクルで安定した加工を繰り返す。 / 入野機工は、この機械の良さを残しながら、オペレーターが機械の位置をより正確に把握し、より簡単に設定できるよう、デジタル技術を取り入れて操作性を高めてきました。 / 寸法補正から再研削までを効率化します。 / 自動切込み速度はmm/min単位で数値設定でき、従来の油圧・機械機構による送り速度のばらつきを抑え、安定した切込み動作を可能にしま</x:v>
      </x:c>
      <x:c r="K94" s="7" t="str">
        <x:v>加工状態を見ながら研削条件を作り込み、条件が決まれば全自動研削サイクルで安定した加工を繰り返す。 / 入野機工は、この機械の良さを残しながら、オペレーターが機械の位置をより正確に把握し、より簡単に設定できるよう、デジタル技術を取り入れて操作性を高めてきました。 / 寸法補正から再研削までを効率化します。 / 自動切込み速度はmm/min単位で数値設定でき、従来の油圧・機械機構による送り速度のばらつきを抑え、安定した切込み動作を可能にしま</x:v>
      </x:c>
      <x:c r="L94" s="7" t="str">
        <x:v>承認・例外対応・停止・復帰の境界は未確認</x:v>
      </x:c>
      <x:c r="M94" s="7" t="str">
        <x:v>2024原典抜粋：汎用機の使い易さとNC機相当の機能を併せ持つハイブリッド・モデル IIG-20Hを展示します。 この機会に是非お越し下さい。 ・ハイブリッド精密内面研削盤（IIG−20H） ・スピンドル ・その他周辺機器</x:v>
      </x:c>
      <x:c r="N94" s="7" t="str">
        <x:v>2026原典抜粋：加工状態を見ながら研削条件を作り込み、条件が決まれば全自動研削サイクルで安定した加工を繰り返す。 / 入野機工は、この機械の良さを残しながら、オペレーターが機械の位置をより正確に把握し、より簡単に設定できるよう、デジタル技術を取り入れて操作性を高めてきました。 / 寸法補正から再研削までを効率化します。 / 自動切込み速度はmm/min単位で数値設定でき、従来の油圧・機械機構による送り速度のばらつきを抑え、安定した切込み動作を可能にしま</x:v>
      </x:c>
      <x:c r="O94" s="7" t="str">
        <x:v>両年原典あり・機能差未判定</x:v>
      </x:c>
      <x:c r="P94" s="7" t="str">
        <x:v>2026公式カタログ掲載・現地未確認</x:v>
      </x:c>
      <x:c r="Q94" s="7" t="str">
        <x:v>2026展示予定。既存製品・参考出展・構想等は原典で個別確認</x:v>
      </x:c>
      <x:c r="R94" s="7" t="str">
        <x:v>どの作業を自動化・支援するか、入力と判断・操作の範囲、適用条件と人の残作業、2024からの機能差、採用・受注・効果の実測を確認する。</x:v>
      </x:c>
      <x:c r="S94" s="7" t="str">
        <x:v>EEX-EXH-2026-e688a71f11c19f74
EEX-EXH-2024-39ac9ffbfd894fb7</x:v>
      </x:c>
      <x:c r="T94" s="7" t="str">
        <x:v>EEX-EXH-2026-e688a71f11c19f74: https://www.jimtof.org/search/jp/ESdetails?e=vWBww2kQlVU
EEX-EXH-2024-39ac9ffbfd894fb7: https://www.jimtof.org/2024/search/jp/ESdetails?e=qGcm7ofO3O4</x:v>
      </x:c>
      <x:c r="U94" s="7" t="str">
        <x:v>出展説明の関連箇所に基づく一次分類</x:v>
      </x:c>
      <x:c r="V94" s="7"/>
      <x:c r="W94" s="7"/>
      <x:c r="X94" s="7"/>
      <x:c r="Y94" s="7"/>
      <x:c r="Z94" s="7"/>
      <x:c r="AA94" s="7"/>
      <x:c r="AB94" s="7"/>
    </x:row>
    <x:row r="95" ht="170" customHeight="1">
      <x:c r="A95" s="7" t="str">
        <x:v>AC022</x:v>
      </x:c>
      <x:c r="B95" s="20" t="str">
        <x:v>株式会社イワタツール</x:v>
      </x:c>
      <x:c r="C95" s="7" t="str">
        <x:v>ヘリカル穴加工エンドミル【ドリミル】</x:v>
      </x:c>
      <x:c r="D95" s="7" t="str">
        <x:v>W1069</x:v>
      </x:c>
      <x:c r="E95" s="7" t="str">
        <x:v>自動化</x:v>
      </x:c>
      <x:c r="F95" s="7" t="str">
        <x:v>出展説明の関連用途（個別タスクの分解は未完了）</x:v>
      </x:c>
      <x:c r="G95" s="7" t="str">
        <x:v>出展説明に記載。実装位置の個別精査はカードの方式・未確認欄を参照</x:v>
      </x:c>
      <x:c r="H95" s="7" t="str">
        <x:v>原典抜粋：ロボットシステムと組み合わせることにより、高速かつ高能率な加工ラインを実現。 / ◆ワーク搬送だけで終わらせないロボットマルチプロセッシング / オイルホールで切粉を効率よく排出し、アルミ・自動車外装パネルにも適用。</x:v>
      </x:c>
      <x:c r="I95" s="7" t="str">
        <x:v>個別入力の追加確認が必要</x:v>
      </x:c>
      <x:c r="J95" s="7" t="str">
        <x:v>原典抜粋：ロボットシステムと組み合わせることにより、高速かつ高能率な加工ラインを実現。 / ◆ワーク搬送だけで終わらせないロボットマルチプロセッシング / オイルホールで切粉を効率よく排出し、アルミ・自動車外装パネルにも適用。</x:v>
      </x:c>
      <x:c r="K95" s="7" t="str">
        <x:v>ロボットシステムと組み合わせることにより、高速かつ高能率な加工ラインを実現。 / ◆ワーク搬送だけで終わらせないロボットマルチプロセッシング / オイルホールで切粉を効率よく排出し、アルミ・自動車外装パネルにも適用。</x:v>
      </x:c>
      <x:c r="L95" s="7" t="str">
        <x:v>承認・例外対応・停止・復帰の境界は未確認</x:v>
      </x:c>
      <x:c r="M95" s="7" t="str">
        <x:v>2024原典抜粋：3つのテーマで加工実演を行います‼ ◆高速でキレイに加工 ヘリカル穴加工エンドミル・ドリミルを使用し、5軸にてアルミの高速加工を行います。 ドリミルの他、他社製品も使用し加工速度の限界をお見せします。 また、5軸ならではのクロス穴や斜め穴を加工でも、バリを少なくきれいに加工します。 〈brother SPEEDIO〉 ◆微細精密加工 微細精密加工ゾーンを設置。 極小径工具や、高精度な微細加工ワークなどを複数展示致します。 〈碌々スマートテクノロジー MEGA〉 ◆ロボットマシニング 薄板用にチューニングしたドリミル</x:v>
      </x:c>
      <x:c r="N95" s="7" t="str">
        <x:v>2026原典抜粋：ロボットシステムと組み合わせることにより、高速かつ高能率な加工ラインを実現。 / ◆ワーク搬送だけで終わらせないロボットマルチプロセッシング / オイルホールで切粉を効率よく排出し、アルミ・自動車外装パネルにも適用。</x:v>
      </x:c>
      <x:c r="O95" s="7" t="str">
        <x:v>両年原典あり・機能差未判定</x:v>
      </x:c>
      <x:c r="P95" s="7" t="str">
        <x:v>2026公式カタログ掲載・現地未確認</x:v>
      </x:c>
      <x:c r="Q95" s="7" t="str">
        <x:v>2026展示予定。既存製品・参考出展・構想等は原典で個別確認</x:v>
      </x:c>
      <x:c r="R95" s="7" t="str">
        <x:v>どの作業を自動化・支援するか、入力と判断・操作の範囲、適用条件と人の残作業、2024からの機能差、採用・受注・効果の実測を確認する。</x:v>
      </x:c>
      <x:c r="S95" s="7" t="str">
        <x:v>EEX-EXH-2026-30fa7d4bf3eb94b2
EEX-EXH-2024-81d65df2c1196b84</x:v>
      </x:c>
      <x:c r="T95" s="7" t="str">
        <x:v>EEX-EXH-2026-30fa7d4bf3eb94b2: https://www.jimtof.org/search/jp/ESdetails?e=1GQBhZ1T3X0
EEX-EXH-2024-81d65df2c1196b84: https://www.jimtof.org/2024/search/jp/ESdetails?e=178-ssCWRRk</x:v>
      </x:c>
      <x:c r="U95" s="7" t="str">
        <x:v>出展説明の関連箇所に基づく一次分類</x:v>
      </x:c>
      <x:c r="V95" s="7"/>
      <x:c r="W95" s="7"/>
      <x:c r="X95" s="7"/>
      <x:c r="Y95" s="7"/>
      <x:c r="Z95" s="7"/>
      <x:c r="AA95" s="7"/>
      <x:c r="AB95" s="7"/>
    </x:row>
    <x:row r="96" ht="170" customHeight="1">
      <x:c r="A96" s="7" t="str">
        <x:v>AC023</x:v>
      </x:c>
      <x:c r="B96" s="20" t="str">
        <x:v>岩本工業株式会社</x:v>
      </x:c>
      <x:c r="C96" s="7" t="str">
        <x:v>切削液自動希釈、供給装置　クーラントサーバー　楽～ラントICS-3200</x:v>
      </x:c>
      <x:c r="D96" s="7" t="str">
        <x:v>S4043</x:v>
      </x:c>
      <x:c r="E96" s="7" t="str">
        <x:v>自動化</x:v>
      </x:c>
      <x:c r="F96" s="7" t="str">
        <x:v>出展説明の関連用途（個別タスクの分解は未完了）</x:v>
      </x:c>
      <x:c r="G96" s="7" t="str">
        <x:v>出展説明に記載。実装位置の個別精査はカードの方式・未確認欄を参照</x:v>
      </x:c>
      <x:c r="H96" s="7" t="str">
        <x:v>原典抜粋：金属加工で使用する水溶性切削液の自動希釈、自動供給のご提案。 / 切削液自動希釈、供給装置　クーラントサーバー　楽～ラントICS-3200 / 楽～ラントは金属加工で使用する水溶性切削液の手作業による補充作業（計量→希釈→機械への運搬→供給）を自動化する装置です。 / 配管をすれば自動化が可能なので、自動化のハードルが一段下がった装置といえます。</x:v>
      </x:c>
      <x:c r="I96" s="7" t="str">
        <x:v>個別入力の追加確認が必要</x:v>
      </x:c>
      <x:c r="J96" s="7" t="str">
        <x:v>原典抜粋：金属加工で使用する水溶性切削液の自動希釈、自動供給のご提案。 / 切削液自動希釈、供給装置　クーラントサーバー　楽～ラントICS-3200 / 楽～ラントは金属加工で使用する水溶性切削液の手作業による補充作業（計量→希釈→機械への運搬→供給）を自動化する装置です。 / 配管をすれば自動化が可能なので、自動化のハードルが一段下がった装置といえます。</x:v>
      </x:c>
      <x:c r="K96" s="7" t="str">
        <x:v>金属加工で使用する水溶性切削液の自動希釈、自動供給のご提案。 / 切削液自動希釈、供給装置　クーラントサーバー　楽～ラントICS-3200 / 楽～ラントは金属加工で使用する水溶性切削液の手作業による補充作業（計量→希釈→機械への運搬→供給）を自動化する装置です。 / 配管をすれば自動化が可能なので、自動化のハードルが一段下がった装置といえます。</x:v>
      </x:c>
      <x:c r="L96" s="7" t="str">
        <x:v>承認・例外対応・停止・復帰の境界は未確認</x:v>
      </x:c>
      <x:c r="M96" s="7" t="str">
        <x:v>2024原典抜粋：楽～ラントICS-3200は、金属加工で使用する水溶性切削液の手作業による補充作業 （計量→希釈→機械への運搬→供給）を完全自動化する装置です。 AC100Vで稼働出来て、水道法にも適合しているので大企業のみならず、中小企業にも適した装置となっています。 昨今、工場内の自動化が求められている中で、配管のみ施工すれば、切削液希釈、補充に関しては自動化が出来て、改善効果が簡単に出せる事から、リピートの採用率も高い製品です。 弊社の本業は金属加工業で、社内改善活動から生まれた製品です。 クーラントサーバー 楽～ラントIC</x:v>
      </x:c>
      <x:c r="N96" s="7" t="str">
        <x:v>2026原典抜粋：金属加工で使用する水溶性切削液の自動希釈、自動供給のご提案。 / 切削液自動希釈、供給装置　クーラントサーバー　楽～ラントICS-3200 / 楽～ラントは金属加工で使用する水溶性切削液の手作業による補充作業（計量→希釈→機械への運搬→供給）を自動化する装置です。 / 配管をすれば自動化が可能なので、自動化のハードルが一段下がった装置といえます。</x:v>
      </x:c>
      <x:c r="O96" s="7" t="str">
        <x:v>両年原典あり・機能差未判定</x:v>
      </x:c>
      <x:c r="P96" s="7" t="str">
        <x:v>2026公式カタログ掲載・現地未確認</x:v>
      </x:c>
      <x:c r="Q96" s="7" t="str">
        <x:v>2026展示予定。既存製品・参考出展・構想等は原典で個別確認</x:v>
      </x:c>
      <x:c r="R96" s="7" t="str">
        <x:v>どの作業を自動化・支援するか、入力と判断・操作の範囲、適用条件と人の残作業、2024からの機能差、採用・受注・効果の実測を確認する。</x:v>
      </x:c>
      <x:c r="S96" s="7" t="str">
        <x:v>EEX-EXH-2026-f1109e3463dd2ac3
EEX-EXH-2024-ef2b91c5930ef5ca</x:v>
      </x:c>
      <x:c r="T96" s="7" t="str">
        <x:v>EEX-EXH-2026-f1109e3463dd2ac3: https://www.jimtof.org/search/jp/ESdetails?e=pOe5ZdiBMpc
EEX-EXH-2024-ef2b91c5930ef5ca: https://www.jimtof.org/2024/search/jp/ESdetails?e=v00WGZTd5xw</x:v>
      </x:c>
      <x:c r="U96" s="7" t="str">
        <x:v>出展説明の関連箇所に基づく一次分類</x:v>
      </x:c>
      <x:c r="V96" s="7"/>
      <x:c r="W96" s="7"/>
      <x:c r="X96" s="7"/>
      <x:c r="Y96" s="7"/>
      <x:c r="Z96" s="7"/>
      <x:c r="AA96" s="7"/>
      <x:c r="AB96" s="7"/>
    </x:row>
    <x:row r="97" ht="170" customHeight="1">
      <x:c r="A97" s="7" t="str">
        <x:v>AC024</x:v>
      </x:c>
      <x:c r="B97" s="20" t="str">
        <x:v>株式会社インテグラ技術研究所</x:v>
      </x:c>
      <x:c r="C97" s="7" t="str">
        <x:v>[CAMWorks]</x:v>
      </x:c>
      <x:c r="D97" s="7" t="str">
        <x:v>S3069</x:v>
      </x:c>
      <x:c r="E97" s="7" t="str">
        <x:v>設計・製造DX
自動化</x:v>
      </x:c>
      <x:c r="F97" s="7" t="str">
        <x:v>出展説明の関連用途（個別タスクの分解は未完了）</x:v>
      </x:c>
      <x:c r="G97" s="7" t="str">
        <x:v>出展説明に記載。実装位置の個別精査はカードの方式・未確認欄を参照</x:v>
      </x:c>
      <x:c r="H97" s="7" t="str">
        <x:v>原典抜粋：「CAD/CAM×3Dプリンター」で実現する３Dモノづくり / 自動プログラミング技術で熟練の加工ノウハウを標準化・デジタル化する「CAMWorks」「SOLIDWORKS CAM」、高精度なGコード検証とシミュレーションで段取り時間を削減する「Eureka」、金型設計の劇的な効率化を実現する「QuickPress」「IMOLD」を一挙にご紹介。 / CAD/CAMによる切削加工技術と3Dプリンターによる積層造形技術を組み合わせ、モノづ</x:v>
      </x:c>
      <x:c r="I97" s="7" t="str">
        <x:v>個別入力の追加確認が必要</x:v>
      </x:c>
      <x:c r="J97" s="7" t="str">
        <x:v>原典抜粋：「CAD/CAM×3Dプリンター」で実現する３Dモノづくり / 自動プログラミング技術で熟練の加工ノウハウを標準化・デジタル化する「CAMWorks」「SOLIDWORKS CAM」、高精度なGコード検証とシミュレーションで段取り時間を削減する「Eureka」、金型設計の劇的な効率化を実現する「QuickPress」「IMOLD」を一挙にご紹介。 / CAD/CAMによる切削加工技術と3Dプリンターによる積層造形技術を組み合わせ、モノづ</x:v>
      </x:c>
      <x:c r="K97" s="7" t="str">
        <x:v>「CAD/CAM×3Dプリンター」で実現する３Dモノづくり / 自動プログラミング技術で熟練の加工ノウハウを標準化・デジタル化する「CAMWorks」「SOLIDWORKS CAM」、高精度なGコード検証とシミュレーションで段取り時間を削減する「Eureka」、金型設計の劇的な効率化を実現する「QuickPress」「IMOLD」を一挙にご紹介。 / CAD/CAMによる切削加工技術と3Dプリンターによる積層造形技術を組み合わせ、モノづ</x:v>
      </x:c>
      <x:c r="L97" s="7" t="str">
        <x:v>承認・例外対応・停止・復帰の境界は未確認</x:v>
      </x:c>
      <x:c r="M97" s="7" t="str">
        <x:v>2024原典抜粋：株式会社インテグラ技術研究所では、SOLIDSWORKSに完全統合したCADCAMシステム「CAMWorks」の最新技術をご紹介します。 CAMWorksのメリット ・作業者のスキルに依存しない属人性の低い仕組みを構築し、作業品質を底上げします ・自動化機能によりプログラム作成を能率化し、生産性を向上します ・バーチャルシミュレーション、作業指示書のデジタル化で業務全体を効率化します CAMWorksは、SOLIDWORKSに完全統合したCAMシステムです。 機能特徴の１つである自動フィーチャ認識（AFR）では、3</x:v>
      </x:c>
      <x:c r="N97" s="7" t="str">
        <x:v>2026原典抜粋：「CAD/CAM×3Dプリンター」で実現する３Dモノづくり / 自動プログラミング技術で熟練の加工ノウハウを標準化・デジタル化する「CAMWorks」「SOLIDWORKS CAM」、高精度なGコード検証とシミュレーションで段取り時間を削減する「Eureka」、金型設計の劇的な効率化を実現する「QuickPress」「IMOLD」を一挙にご紹介。 / CAD/CAMによる切削加工技術と3Dプリンターによる積層造形技術を組み合わせ、モノづ</x:v>
      </x:c>
      <x:c r="O97" s="7" t="str">
        <x:v>両年原典あり・機能差未判定</x:v>
      </x:c>
      <x:c r="P97" s="7" t="str">
        <x:v>2026公式カタログ掲載・現地未確認</x:v>
      </x:c>
      <x:c r="Q97" s="7" t="str">
        <x:v>2026展示予定。既存製品・参考出展・構想等は原典で個別確認</x:v>
      </x:c>
      <x:c r="R97" s="7" t="str">
        <x:v>どの作業を自動化・支援するか、入力と判断・操作の範囲、適用条件と人の残作業、2024からの機能差、採用・受注・効果の実測を確認する。</x:v>
      </x:c>
      <x:c r="S97" s="7" t="str">
        <x:v>EEX-EXH-2026-10a39d4f417e3976
EEX-EXH-2024-80af270591ef2606</x:v>
      </x:c>
      <x:c r="T97" s="7" t="str">
        <x:v>EEX-EXH-2026-10a39d4f417e3976: https://www.jimtof.org/search/jp/ESdetails?e=xEdNPWdhbs8
EEX-EXH-2024-80af270591ef2606: https://www.jimtof.org/2024/search/jp/ESdetails?e=pzWRJwR9ZcU</x:v>
      </x:c>
      <x:c r="U97" s="7" t="str">
        <x:v>出展説明の関連箇所に基づく一次分類</x:v>
      </x:c>
      <x:c r="V97" s="7"/>
      <x:c r="W97" s="7"/>
      <x:c r="X97" s="7"/>
      <x:c r="Y97" s="7"/>
      <x:c r="Z97" s="7"/>
      <x:c r="AA97" s="7"/>
      <x:c r="AB97" s="7"/>
    </x:row>
    <x:row r="98" ht="170" customHeight="1">
      <x:c r="A98" s="7" t="str">
        <x:v>AC025</x:v>
      </x:c>
      <x:c r="B98" s="20" t="str">
        <x:v>株式会社インプローブ</x:v>
      </x:c>
      <x:c r="C98" s="7" t="str">
        <x:v>スマホ・ブラウザ工程管理システム『サクスマ』</x:v>
      </x:c>
      <x:c r="D98" s="7" t="str">
        <x:v>W3042</x:v>
      </x:c>
      <x:c r="E98" s="7" t="str">
        <x:v>工場運用DX</x:v>
      </x:c>
      <x:c r="F98" s="7" t="str">
        <x:v>出展説明の関連用途（個別タスクの分解は未完了）</x:v>
      </x:c>
      <x:c r="G98" s="7" t="str">
        <x:v>出展説明に記載。実装位置の個別精査はカードの方式・未確認欄を参照</x:v>
      </x:c>
      <x:c r="H98" s="7" t="str">
        <x:v>原典抜粋：『サクスマ』　スマホ・タブレット・PCのブラウザで利用できる工程管理システム / スマホ・ブラウザ工程管理システム『サクスマ』 / 工程別・製番別・担当者別の3視点を切り替えられるスマホ、ブラウザ対応の工程管理システムです。</x:v>
      </x:c>
      <x:c r="I98" s="7" t="str">
        <x:v>個別入力の追加確認が必要</x:v>
      </x:c>
      <x:c r="J98" s="7" t="str">
        <x:v>原典抜粋：『サクスマ』　スマホ・タブレット・PCのブラウザで利用できる工程管理システム / スマホ・ブラウザ工程管理システム『サクスマ』 / 工程別・製番別・担当者別の3視点を切り替えられるスマホ、ブラウザ対応の工程管理システムです。</x:v>
      </x:c>
      <x:c r="K98" s="7" t="str">
        <x:v>『サクスマ』　スマホ・タブレット・PCのブラウザで利用できる工程管理システム / スマホ・ブラウザ工程管理システム『サクスマ』 / 工程別・製番別・担当者別の3視点を切り替えられるスマホ、ブラウザ対応の工程管理システムです。</x:v>
      </x:c>
      <x:c r="L98" s="7" t="str">
        <x:v>承認・例外対応・停止・復帰の境界は未確認</x:v>
      </x:c>
      <x:c r="M98" s="7" t="str">
        <x:v>2024原典抜粋：中小規模、受注生産型製造業向けの ・負荷管理 ・工程管理、進捗管理 ・実績収集 などのソフトウエアを実機にて展示しております。 業務の効率化、作業の見える化、情報の一元化でお困りの方はお気軽にお立ち寄りください。 課題解決に最適なご提案をさせていただきます。 工程管理システム 【サクっと工程シリーズ】 ・サクっと工程 進捗が分かり易く納期管理をしっかり行いたい工場に最適です ・サクっと工程Pro 分単位のスケジュールが可能な工程管理システムです マシン別のスケジュールにより、各マシンの負荷調整が行えて稼働率向上を目</x:v>
      </x:c>
      <x:c r="N98" s="7" t="str">
        <x:v>2026原典抜粋：『サクスマ』　スマホ・タブレット・PCのブラウザで利用できる工程管理システム / スマホ・ブラウザ工程管理システム『サクスマ』 / 工程別・製番別・担当者別の3視点を切り替えられるスマホ、ブラウザ対応の工程管理システムです。</x:v>
      </x:c>
      <x:c r="O98" s="7" t="str">
        <x:v>両年原典あり・機能差未判定</x:v>
      </x:c>
      <x:c r="P98" s="7" t="str">
        <x:v>2026公式カタログ掲載・現地未確認</x:v>
      </x:c>
      <x:c r="Q98" s="7" t="str">
        <x:v>2026展示予定。既存製品・参考出展・構想等は原典で個別確認</x:v>
      </x:c>
      <x:c r="R98" s="7" t="str">
        <x:v>どの作業を自動化・支援するか、入力と判断・操作の範囲、適用条件と人の残作業、2024からの機能差、採用・受注・効果の実測を確認する。</x:v>
      </x:c>
      <x:c r="S98" s="7" t="str">
        <x:v>EEX-EXH-2026-2703960c6bc2e1d3
EEX-EXH-2024-0542688e8340ea41</x:v>
      </x:c>
      <x:c r="T98" s="7" t="str">
        <x:v>EEX-EXH-2026-2703960c6bc2e1d3: https://www.jimtof.org/search/jp/ESdetails?e=WacbHqw4PMw
EEX-EXH-2024-0542688e8340ea41: https://www.jimtof.org/2024/search/jp/ESdetails?e=_nI6m1Y6VMA</x:v>
      </x:c>
      <x:c r="U98" s="7" t="str">
        <x:v>出展説明の関連箇所に基づく一次分類</x:v>
      </x:c>
      <x:c r="V98" s="7"/>
      <x:c r="W98" s="7"/>
      <x:c r="X98" s="7"/>
      <x:c r="Y98" s="7"/>
      <x:c r="Z98" s="7"/>
      <x:c r="AA98" s="7"/>
      <x:c r="AB98" s="7"/>
    </x:row>
    <x:row r="99" ht="170" customHeight="1">
      <x:c r="A99" s="7" t="str">
        <x:v>AC026</x:v>
      </x:c>
      <x:c r="B99" s="20" t="str">
        <x:v>株式会社インプローブ</x:v>
      </x:c>
      <x:c r="C99" s="7" t="str">
        <x:v>スマホ・ブラウザ工程管理システム</x:v>
      </x:c>
      <x:c r="D99" s="7" t="str">
        <x:v>S3008</x:v>
      </x:c>
      <x:c r="E99" s="7" t="str">
        <x:v>工場運用DX</x:v>
      </x:c>
      <x:c r="F99" s="7" t="str">
        <x:v>出展説明の関連用途（個別タスクの分解は未完了）</x:v>
      </x:c>
      <x:c r="G99" s="7" t="str">
        <x:v>出展説明に記載。実装位置の個別精査はカードの方式・未確認欄を参照</x:v>
      </x:c>
      <x:c r="H99" s="7" t="str">
        <x:v>原典抜粋：・工程管理、進捗管理 / スマホ・ブラウザ工程管理システム / 工程別・製番別・担当者別の3視点を切り替えられる工程管理システム / 生産管理システム / 情報の見える化により、コストダウン対策が行える生産管理システム / 工程管理システム　【サクっと工程シリーズ】 / 工程管理システムと自動スケジューラの連携が実現したシステムをローコストでお使いいただけます</x:v>
      </x:c>
      <x:c r="I99" s="7" t="str">
        <x:v>個別入力の追加確認が必要</x:v>
      </x:c>
      <x:c r="J99" s="7" t="str">
        <x:v>原典抜粋：・工程管理、進捗管理 / スマホ・ブラウザ工程管理システム / 工程別・製番別・担当者別の3視点を切り替えられる工程管理システム / 生産管理システム / 情報の見える化により、コストダウン対策が行える生産管理システム / 工程管理システム　【サクっと工程シリーズ】 / 工程管理システムと自動スケジューラの連携が実現したシステムをローコストでお使いいただけます</x:v>
      </x:c>
      <x:c r="K99" s="7" t="str">
        <x:v>・工程管理、進捗管理 / スマホ・ブラウザ工程管理システム / 工程別・製番別・担当者別の3視点を切り替えられる工程管理システム / 生産管理システム / 情報の見える化により、コストダウン対策が行える生産管理システム / 工程管理システム　【サクっと工程シリーズ】 / 工程管理システムと自動スケジューラの連携が実現したシステムをローコストでお使いいただけます</x:v>
      </x:c>
      <x:c r="L99" s="7" t="str">
        <x:v>承認・例外対応・停止・復帰の境界は未確認</x:v>
      </x:c>
      <x:c r="M99" s="7" t="str">
        <x:v>2024原典抜粋：中小規模、受注生産型製造業向けの ・負荷管理 ・工程管理、進捗管理 ・実績収集 などのソフトウエアを実機にて展示しております。 業務の効率化、作業の見える化、情報の一元化でお困りの方はお気軽にお立ち寄りください。 課題解決に最適なご提案をさせていただきます。 工程管理システム 【サクっと工程シリーズ】 ・サクっと工程 進捗が分かり易く納期管理をしっかり行いたい工場に最適です ・サクっと工程Pro 分単位のスケジュールが可能な工程管理システムです マシン別のスケジュールにより、各マシンの負荷調整が行えて稼働率向上を目</x:v>
      </x:c>
      <x:c r="N99" s="7" t="str">
        <x:v>2026原典抜粋：・工程管理、進捗管理 / スマホ・ブラウザ工程管理システム / 工程別・製番別・担当者別の3視点を切り替えられる工程管理システム / 生産管理システム / 情報の見える化により、コストダウン対策が行える生産管理システム / 工程管理システム　【サクっと工程シリーズ】 / 工程管理システムと自動スケジューラの連携が実現したシステムをローコストでお使いいただけます</x:v>
      </x:c>
      <x:c r="O99" s="7" t="str">
        <x:v>両年原典あり・機能差未判定</x:v>
      </x:c>
      <x:c r="P99" s="7" t="str">
        <x:v>2026公式カタログ掲載・現地未確認</x:v>
      </x:c>
      <x:c r="Q99" s="7" t="str">
        <x:v>2026展示予定。既存製品・参考出展・構想等は原典で個別確認</x:v>
      </x:c>
      <x:c r="R99" s="7" t="str">
        <x:v>どの作業を自動化・支援するか、入力と判断・操作の範囲、適用条件と人の残作業、2024からの機能差、採用・受注・効果の実測を確認する。</x:v>
      </x:c>
      <x:c r="S99" s="7" t="str">
        <x:v>EEX-EXH-2026-dc0db149daeb6803
EEX-EXH-2024-0542688e8340ea41</x:v>
      </x:c>
      <x:c r="T99" s="7" t="str">
        <x:v>EEX-EXH-2026-dc0db149daeb6803: https://www.jimtof.org/search/jp/ESdetails?e=U6gS--b_Z9A
EEX-EXH-2024-0542688e8340ea41: https://www.jimtof.org/2024/search/jp/ESdetails?e=_nI6m1Y6VMA</x:v>
      </x:c>
      <x:c r="U99" s="7" t="str">
        <x:v>出展説明の関連箇所に基づく一次分類</x:v>
      </x:c>
      <x:c r="V99" s="7"/>
      <x:c r="W99" s="7"/>
      <x:c r="X99" s="7"/>
      <x:c r="Y99" s="7"/>
      <x:c r="Z99" s="7"/>
      <x:c r="AA99" s="7"/>
      <x:c r="AB99" s="7"/>
    </x:row>
    <x:row r="100" ht="170" customHeight="1">
      <x:c r="A100" s="7" t="str">
        <x:v>AC027</x:v>
      </x:c>
      <x:c r="B100" s="20" t="str">
        <x:v>株式会社ヴィクストリン</x:v>
      </x:c>
      <x:c r="C100" s="7" t="str">
        <x:v>自動ツールチェンジャー／手動ツールチェンジャー／衝突センサー「QuickSTOP™」／</x:v>
      </x:c>
      <x:c r="D100" s="7" t="str">
        <x:v>W4098</x:v>
      </x:c>
      <x:c r="E100" s="7" t="str">
        <x:v>自動化</x:v>
      </x:c>
      <x:c r="F100" s="7" t="str">
        <x:v>出展説明の関連用途（個別タスクの分解は未完了）</x:v>
      </x:c>
      <x:c r="G100" s="7" t="str">
        <x:v>出展説明に記載。実装位置の個別精査はカードの方式・未確認欄を参照</x:v>
      </x:c>
      <x:c r="H100" s="7" t="str">
        <x:v>原典抜粋：以来、高度な産業用ロボットやオートメーションのエンジニアリング分野で、50年以上の実績を重ねてまいりました。 / 自動ツールチェンジャー／手動ツールチェンジャー／衝突センサー「QuickSTOP™」／</x:v>
      </x:c>
      <x:c r="I100" s="7" t="str">
        <x:v>個別入力の追加確認が必要</x:v>
      </x:c>
      <x:c r="J100" s="7" t="str">
        <x:v>原典抜粋：以来、高度な産業用ロボットやオートメーションのエンジニアリング分野で、50年以上の実績を重ねてまいりました。 / 自動ツールチェンジャー／手動ツールチェンジャー／衝突センサー「QuickSTOP™」／</x:v>
      </x:c>
      <x:c r="K100" s="7" t="str">
        <x:v>以来、高度な産業用ロボットやオートメーションのエンジニアリング分野で、50年以上の実績を重ねてまいりました。 / 自動ツールチェンジャー／手動ツールチェンジャー／衝突センサー「QuickSTOP™」／</x:v>
      </x:c>
      <x:c r="L100" s="7" t="str">
        <x:v>承認・例外対応・停止・復帰の境界は未確認</x:v>
      </x:c>
      <x:c r="M100" s="7" t="str">
        <x:v>同一正規化名称の2024詳細なし。新規出展・技術不存在とは判断しない。</x:v>
      </x:c>
      <x:c r="N100" s="7" t="str">
        <x:v>2026原典抜粋：以来、高度な産業用ロボットやオートメーションのエンジニアリング分野で、50年以上の実績を重ねてまいりました。 / 自動ツールチェンジャー／手動ツールチェンジャー／衝突センサー「QuickSTOP™」／</x:v>
      </x:c>
      <x:c r="O100" s="7" t="str">
        <x:v>2024個別比較不能</x:v>
      </x:c>
      <x:c r="P100" s="7" t="str">
        <x:v>2026公式カタログ掲載・現地未確認</x:v>
      </x:c>
      <x:c r="Q100" s="7" t="str">
        <x:v>2026展示予定。既存製品・参考出展・構想等は原典で個別確認</x:v>
      </x:c>
      <x:c r="R100" s="7" t="str">
        <x:v>どの作業を自動化・支援するか、入力と判断・操作の範囲、適用条件と人の残作業、2024からの機能差、採用・受注・効果の実測を確認する。</x:v>
      </x:c>
      <x:c r="S100" s="7" t="str">
        <x:v>EEX-EXH-2026-3884a355dc068f08</x:v>
      </x:c>
      <x:c r="T100" s="7" t="str">
        <x:v>EEX-EXH-2026-3884a355dc068f08: https://www.jimtof.org/search/jp/ESdetails?e=aO10VG4tnUs</x:v>
      </x:c>
      <x:c r="U100" s="7" t="str">
        <x:v>出展説明の関連箇所に基づく一次分類</x:v>
      </x:c>
      <x:c r="V100" s="7"/>
      <x:c r="W100" s="7"/>
      <x:c r="X100" s="7"/>
      <x:c r="Y100" s="7"/>
      <x:c r="Z100" s="7"/>
      <x:c r="AA100" s="7"/>
      <x:c r="AB100" s="7"/>
    </x:row>
    <x:row r="101" ht="170" customHeight="1">
      <x:c r="A101" s="7" t="str">
        <x:v>AC028</x:v>
      </x:c>
      <x:c r="B101" s="20" t="str">
        <x:v>宇治電化学工業株式会社</x:v>
      </x:c>
      <x:c r="C101" s="7" t="str">
        <x:v>乾式高速遠心バレル研磨機／DC400型</x:v>
      </x:c>
      <x:c r="D101" s="7" t="str">
        <x:v>W4025</x:v>
      </x:c>
      <x:c r="E101" s="7" t="str">
        <x:v>自動化</x:v>
      </x:c>
      <x:c r="F101" s="7" t="str">
        <x:v>出展説明の関連用途（個別タスクの分解は未完了）</x:v>
      </x:c>
      <x:c r="G101" s="7" t="str">
        <x:v>出展説明に記載。実装位置の個別精査はカードの方式・未確認欄を参照</x:v>
      </x:c>
      <x:c r="H101" s="7" t="str">
        <x:v>原典抜粋：宇治電化学工業ブースでは、研磨材メーカーとして長年培ってきた技術と、自動化ソリューションを一堂にご紹介します。 / 加えて、協働ロボットを活用した研磨・検査システムの実演展示を行い、人手不足への対応や品質安定化に向けた自動化技術をご覧いただけます。 / また、現在開発を進めている高速遠心バレルとロボットを連携させたシステムについてもご紹介し、研磨工程のさらなる省人化・効率化への取り組みを発信します。 / 研磨材、バレルメディア、研磨設備</x:v>
      </x:c>
      <x:c r="I101" s="7" t="str">
        <x:v>個別入力の追加確認が必要</x:v>
      </x:c>
      <x:c r="J101" s="7" t="str">
        <x:v>原典抜粋：宇治電化学工業ブースでは、研磨材メーカーとして長年培ってきた技術と、自動化ソリューションを一堂にご紹介します。 / 加えて、協働ロボットを活用した研磨・検査システムの実演展示を行い、人手不足への対応や品質安定化に向けた自動化技術をご覧いただけます。 / また、現在開発を進めている高速遠心バレルとロボットを連携させたシステムについてもご紹介し、研磨工程のさらなる省人化・効率化への取り組みを発信します。 / 研磨材、バレルメディア、研磨設備</x:v>
      </x:c>
      <x:c r="K101" s="7" t="str">
        <x:v>宇治電化学工業ブースでは、研磨材メーカーとして長年培ってきた技術と、自動化ソリューションを一堂にご紹介します。 / 加えて、協働ロボットを活用した研磨・検査システムの実演展示を行い、人手不足への対応や品質安定化に向けた自動化技術をご覧いただけます。 / また、現在開発を進めている高速遠心バレルとロボットを連携させたシステムについてもご紹介し、研磨工程のさらなる省人化・効率化への取り組みを発信します。 / 研磨材、バレルメディア、研磨設備</x:v>
      </x:c>
      <x:c r="L101" s="7" t="str">
        <x:v>承認・例外対応・停止・復帰の境界は未確認</x:v>
      </x:c>
      <x:c r="M101" s="7" t="str">
        <x:v>2024原典抜粋：乾式高速遠心バレル研磨機DC400型 多品種、小サイズ、少ロット部品や難削材のバリ取り、平滑研磨、鏡面研磨に対応。高速可変遠心力により、研磨時間が短縮、超平滑研磨、超鏡面研磨加工を実現します。 乾式用バレルメディア トサリットDRメディア：水を全く使用しない高研削タイプの乾式メディア。ドレッシング不要、廃水処理不要で設備コストを削減します。 トサリットWL、CORN：植物から作られる高品質の乾式メディア。コンパウンドをコーティングしたくるみ殻はコンパウンドの添加、調整が不要で作業効率が上がります。 乾式用バレルコン</x:v>
      </x:c>
      <x:c r="N101" s="7" t="str">
        <x:v>2026原典抜粋：宇治電化学工業ブースでは、研磨材メーカーとして長年培ってきた技術と、自動化ソリューションを一堂にご紹介します。 / 加えて、協働ロボットを活用した研磨・検査システムの実演展示を行い、人手不足への対応や品質安定化に向けた自動化技術をご覧いただけます。 / また、現在開発を進めている高速遠心バレルとロボットを連携させたシステムについてもご紹介し、研磨工程のさらなる省人化・効率化への取り組みを発信します。 / 研磨材、バレルメディア、研磨設備</x:v>
      </x:c>
      <x:c r="O101" s="7" t="str">
        <x:v>両年原典あり・機能差未判定</x:v>
      </x:c>
      <x:c r="P101" s="7" t="str">
        <x:v>2026公式カタログ掲載・現地未確認</x:v>
      </x:c>
      <x:c r="Q101" s="7" t="str">
        <x:v>2026展示予定。既存製品・参考出展・構想等は原典で個別確認</x:v>
      </x:c>
      <x:c r="R101" s="7" t="str">
        <x:v>どの作業を自動化・支援するか、入力と判断・操作の範囲、適用条件と人の残作業、2024からの機能差、採用・受注・効果の実測を確認する。</x:v>
      </x:c>
      <x:c r="S101" s="7" t="str">
        <x:v>EEX-EXH-2026-f82101935c4b9830
EEX-EXH-2024-cfd7cca5aa28beb3</x:v>
      </x:c>
      <x:c r="T101" s="7" t="str">
        <x:v>EEX-EXH-2026-f82101935c4b9830: https://www.jimtof.org/search/jp/ESdetails?e=nxFvaTiEEvg
EEX-EXH-2024-cfd7cca5aa28beb3: https://www.jimtof.org/2024/search/jp/ESdetails?e=ZvT3Lci-hnM</x:v>
      </x:c>
      <x:c r="U101" s="7" t="str">
        <x:v>出展説明の関連箇所に基づく一次分類</x:v>
      </x:c>
      <x:c r="V101" s="7"/>
      <x:c r="W101" s="7"/>
      <x:c r="X101" s="7"/>
      <x:c r="Y101" s="7"/>
      <x:c r="Z101" s="7"/>
      <x:c r="AA101" s="7"/>
      <x:c r="AB101" s="7"/>
    </x:row>
    <x:row r="102" ht="170" customHeight="1">
      <x:c r="A102" s="7" t="str">
        <x:v>AC029</x:v>
      </x:c>
      <x:c r="B102" s="20" t="str">
        <x:v>株式会社宇都宮製作所</x:v>
      </x:c>
      <x:c r="C102" s="7" t="str">
        <x:v>CNC工具研削盤　TGR-016α（インプロドレス機能搭載仕様）　TGR-032（自動搬送仕様）</x:v>
      </x:c>
      <x:c r="D102" s="7" t="str">
        <x:v>W1001</x:v>
      </x:c>
      <x:c r="E102" s="7" t="str">
        <x:v>自動化</x:v>
      </x:c>
      <x:c r="F102" s="7" t="str">
        <x:v>出展説明の関連用途（個別タスクの分解は未完了）</x:v>
      </x:c>
      <x:c r="G102" s="7" t="str">
        <x:v>出展説明に記載。実装位置の個別精査はカードの方式・未確認欄を参照</x:v>
      </x:c>
      <x:c r="H102" s="7" t="str">
        <x:v>原典抜粋：TGR-032は、自動ワーク交換装置・自動砥石交換装置を搭載し、機内計測により高精度な長時間運転を実現。 / パソコン対話型プログラムのバージョンアップ、自動搬送装置の小型化により省スペース化のみならずサイクルタイムも短縮。 / CNC工具研削盤　TGR-016α（インプロドレス機能搭載仕様）　TGR-032（自動搬送仕様）</x:v>
      </x:c>
      <x:c r="I102" s="7" t="str">
        <x:v>個別入力の追加確認が必要</x:v>
      </x:c>
      <x:c r="J102" s="7" t="str">
        <x:v>原典抜粋：TGR-032は、自動ワーク交換装置・自動砥石交換装置を搭載し、機内計測により高精度な長時間運転を実現。 / パソコン対話型プログラムのバージョンアップ、自動搬送装置の小型化により省スペース化のみならずサイクルタイムも短縮。 / CNC工具研削盤　TGR-016α（インプロドレス機能搭載仕様）　TGR-032（自動搬送仕様）</x:v>
      </x:c>
      <x:c r="K102" s="7" t="str">
        <x:v>TGR-032は、自動ワーク交換装置・自動砥石交換装置を搭載し、機内計測により高精度な長時間運転を実現。 / パソコン対話型プログラムのバージョンアップ、自動搬送装置の小型化により省スペース化のみならずサイクルタイムも短縮。 / CNC工具研削盤　TGR-016α（インプロドレス機能搭載仕様）　TGR-032（自動搬送仕様）</x:v>
      </x:c>
      <x:c r="L102" s="7" t="str">
        <x:v>承認・例外対応・停止・復帰の境界は未確認</x:v>
      </x:c>
      <x:c r="M102" s="7" t="str">
        <x:v>2024原典抜粋：新型機のTGR-032を初披露。コンパクトで高精度な最新マシンをご覧ください。 ベストセラー機であるTGR-250αをベースマシンとした全自動インサート研削盤もご紹介致します。ドリル、エンドミル加工にとどまらない宇都宮製作所の技術力を体感ください。 1.CNC工具研削盤 TGR-032：コンパクトで高精度な最新マシン 2.全自動CNC工具研削盤 TGR-250α（インサート研仕様）：異なるクランプ方式を両立させたインサート溝入れ研削盤。</x:v>
      </x:c>
      <x:c r="N102" s="7" t="str">
        <x:v>2026原典抜粋：TGR-032は、自動ワーク交換装置・自動砥石交換装置を搭載し、機内計測により高精度な長時間運転を実現。 / パソコン対話型プログラムのバージョンアップ、自動搬送装置の小型化により省スペース化のみならずサイクルタイムも短縮。 / CNC工具研削盤　TGR-016α（インプロドレス機能搭載仕様）　TGR-032（自動搬送仕様）</x:v>
      </x:c>
      <x:c r="O102" s="7" t="str">
        <x:v>両年原典あり・機能差未判定</x:v>
      </x:c>
      <x:c r="P102" s="7" t="str">
        <x:v>2026公式カタログ掲載・現地未確認</x:v>
      </x:c>
      <x:c r="Q102" s="7" t="str">
        <x:v>2026展示予定。既存製品・参考出展・構想等は原典で個別確認</x:v>
      </x:c>
      <x:c r="R102" s="7" t="str">
        <x:v>どの作業を自動化・支援するか、入力と判断・操作の範囲、適用条件と人の残作業、2024からの機能差、採用・受注・効果の実測を確認する。</x:v>
      </x:c>
      <x:c r="S102" s="7" t="str">
        <x:v>EEX-EXH-2026-cf22d85686acc029
EEX-EXH-2024-5994813198b26a11</x:v>
      </x:c>
      <x:c r="T102" s="7" t="str">
        <x:v>EEX-EXH-2026-cf22d85686acc029: https://www.jimtof.org/search/jp/ESdetails?e=hU8LqSDiscs
EEX-EXH-2024-5994813198b26a11: https://www.jimtof.org/2024/search/jp/ESdetails?e=Js2U8bNPt30</x:v>
      </x:c>
      <x:c r="U102" s="7" t="str">
        <x:v>出展説明の関連箇所に基づく一次分類</x:v>
      </x:c>
      <x:c r="V102" s="7"/>
      <x:c r="W102" s="7"/>
      <x:c r="X102" s="7"/>
      <x:c r="Y102" s="7"/>
      <x:c r="Z102" s="7"/>
      <x:c r="AA102" s="7"/>
      <x:c r="AB102" s="7"/>
    </x:row>
    <x:row r="103" ht="170" customHeight="1">
      <x:c r="A103" s="7" t="str">
        <x:v>AC030</x:v>
      </x:c>
      <x:c r="B103" s="20" t="str">
        <x:v>永興電機工業株式会社</x:v>
      </x:c>
      <x:c r="C103" s="7" t="str">
        <x:v>精密電動マイクログラインダE-FOFCE、多種多様な先端工具と専用工具</x:v>
      </x:c>
      <x:c r="D103" s="7" t="str">
        <x:v>W3057</x:v>
      </x:c>
      <x:c r="E103" s="7" t="str">
        <x:v>自動化</x:v>
      </x:c>
      <x:c r="F103" s="7" t="str">
        <x:v>出展説明の関連用途（個別タスクの分解は未完了）</x:v>
      </x:c>
      <x:c r="G103" s="7" t="str">
        <x:v>出展説明に記載。実装位置の個別精査はカードの方式・未確認欄を参照</x:v>
      </x:c>
      <x:c r="H103" s="7" t="str">
        <x:v>原典抜粋：アタッチメントは9種類、モータはブラシレスモータを採用でスピードタイプとトルクタイプの2種類、高トルク作業用の減速機を用意し、ロボットや設備への搭載も可能。</x:v>
      </x:c>
      <x:c r="I103" s="7" t="str">
        <x:v>個別入力の追加確認が必要</x:v>
      </x:c>
      <x:c r="J103" s="7" t="str">
        <x:v>原典抜粋：アタッチメントは9種類、モータはブラシレスモータを採用でスピードタイプとトルクタイプの2種類、高トルク作業用の減速機を用意し、ロボットや設備への搭載も可能。</x:v>
      </x:c>
      <x:c r="K103" s="7" t="str">
        <x:v>アタッチメントは9種類、モータはブラシレスモータを採用でスピードタイプとトルクタイプの2種類、高トルク作業用の減速機を用意し、ロボットや設備への搭載も可能。</x:v>
      </x:c>
      <x:c r="L103" s="7" t="str">
        <x:v>承認・例外対応・停止・復帰の境界は未確認</x:v>
      </x:c>
      <x:c r="M103" s="7" t="str">
        <x:v>2024原典抜粋：約3,000種類の先端工具・専用工具、多彩なアタッチメントとハイパワーモータの組合せで、あらゆるバリ取り、切削、研磨作業に対応します。アタッチメントは9種類、モータはブラシレスモータを採用でスピードタイプとトルクタイプの2種類、高トルク作業用の減速機を用意し、ロボットや設備への搭載も可能。問題解決に向けた工具が必ず見つかります。 静粛性・低振動のブラシレスモータを採用しています。手元操作でスピードコントロールが可能。作業に合わせて複数のアタッチメントを用意、クイックチェンジ機能でワンタッチ着脱ができます。インターロ</x:v>
      </x:c>
      <x:c r="N103" s="7" t="str">
        <x:v>2026原典抜粋：アタッチメントは9種類、モータはブラシレスモータを採用でスピードタイプとトルクタイプの2種類、高トルク作業用の減速機を用意し、ロボットや設備への搭載も可能。</x:v>
      </x:c>
      <x:c r="O103" s="7" t="str">
        <x:v>両年原典あり・機能差未判定</x:v>
      </x:c>
      <x:c r="P103" s="7" t="str">
        <x:v>2026公式カタログ掲載・現地未確認</x:v>
      </x:c>
      <x:c r="Q103" s="7" t="str">
        <x:v>2026展示予定。既存製品・参考出展・構想等は原典で個別確認</x:v>
      </x:c>
      <x:c r="R103" s="7" t="str">
        <x:v>どの作業を自動化・支援するか、入力と判断・操作の範囲、適用条件と人の残作業、2024からの機能差、採用・受注・効果の実測を確認する。</x:v>
      </x:c>
      <x:c r="S103" s="7" t="str">
        <x:v>EEX-EXH-2026-6ef0e5bdfc35158c
EEX-EXH-2024-2f2d6c1de650755e</x:v>
      </x:c>
      <x:c r="T103" s="7" t="str">
        <x:v>EEX-EXH-2026-6ef0e5bdfc35158c: https://www.jimtof.org/search/jp/ESdetails?e=rF_cWwycdK4
EEX-EXH-2024-2f2d6c1de650755e: https://www.jimtof.org/2024/search/jp/ESdetails?e=_EZZDjiQlR0</x:v>
      </x:c>
      <x:c r="U103" s="7" t="str">
        <x:v>出展説明の関連箇所に基づく一次分類</x:v>
      </x:c>
      <x:c r="V103" s="7"/>
      <x:c r="W103" s="7"/>
      <x:c r="X103" s="7"/>
      <x:c r="Y103" s="7"/>
      <x:c r="Z103" s="7"/>
      <x:c r="AA103" s="7"/>
      <x:c r="AB103" s="7"/>
    </x:row>
    <x:row r="104" ht="170" customHeight="1">
      <x:c r="A104" s="7" t="str">
        <x:v>AC031</x:v>
      </x:c>
      <x:c r="B104" s="20" t="str">
        <x:v>株式会社Aiソリューションズ</x:v>
      </x:c>
      <x:c r="C104" s="7" t="str">
        <x:v>CAD/CAMシステム</x:v>
      </x:c>
      <x:c r="D104" s="7" t="str">
        <x:v>S4011</x:v>
      </x:c>
      <x:c r="E104" s="7" t="str">
        <x:v>設計・製造DX
自動化</x:v>
      </x:c>
      <x:c r="F104" s="7" t="str">
        <x:v>出展説明の関連用途（個別タスクの分解は未完了）</x:v>
      </x:c>
      <x:c r="G104" s="7" t="str">
        <x:v>出展説明に記載。実装位置の個別精査はカードの方式・未確認欄を参照</x:v>
      </x:c>
      <x:c r="H104" s="7" t="str">
        <x:v>原典抜粋：最新のCAD/CAM・NCシミュレーションソリューション「hyperMILL」「Mastercam」「OneCNC」「Vericut」を実演展示いたします。 / 5軸加工の高度化、自動プログラミングによる工数削減、複合加工機への対応、加工前検証による品質向上など、製造現場のさまざまな課題に対応する最新ソリューションをご紹介します。 / 特に高機能5軸CAD/CAMシステム「hyperMILL」では、NCコードベースシミュレーション「VI</x:v>
      </x:c>
      <x:c r="I104" s="7" t="str">
        <x:v>個別入力の追加確認が必要</x:v>
      </x:c>
      <x:c r="J104" s="7" t="str">
        <x:v>原典抜粋：最新のCAD/CAM・NCシミュレーションソリューション「hyperMILL」「Mastercam」「OneCNC」「Vericut」を実演展示いたします。 / 5軸加工の高度化、自動プログラミングによる工数削減、複合加工機への対応、加工前検証による品質向上など、製造現場のさまざまな課題に対応する最新ソリューションをご紹介します。 / 特に高機能5軸CAD/CAMシステム「hyperMILL」では、NCコードベースシミュレーション「VI</x:v>
      </x:c>
      <x:c r="K104" s="7" t="str">
        <x:v>最新のCAD/CAM・NCシミュレーションソリューション「hyperMILL」「Mastercam」「OneCNC」「Vericut」を実演展示いたします。 / 5軸加工の高度化、自動プログラミングによる工数削減、複合加工機への対応、加工前検証による品質向上など、製造現場のさまざまな課題に対応する最新ソリューションをご紹介します。 / 特に高機能5軸CAD/CAMシステム「hyperMILL」では、NCコードベースシミュレーション「VI</x:v>
      </x:c>
      <x:c r="L104" s="7" t="str">
        <x:v>承認・例外対応・停止・復帰の境界は未確認</x:v>
      </x:c>
      <x:c r="M104" s="7" t="str">
        <x:v>同一正規化名称の2024詳細なし。新規出展・技術不存在とは判断しない。</x:v>
      </x:c>
      <x:c r="N104" s="7" t="str">
        <x:v>2026原典抜粋：最新のCAD/CAM・NCシミュレーションソリューション「hyperMILL」「Mastercam」「OneCNC」「Vericut」を実演展示いたします。 / 5軸加工の高度化、自動プログラミングによる工数削減、複合加工機への対応、加工前検証による品質向上など、製造現場のさまざまな課題に対応する最新ソリューションをご紹介します。 / 特に高機能5軸CAD/CAMシステム「hyperMILL」では、NCコードベースシミュレーション「VI</x:v>
      </x:c>
      <x:c r="O104" s="7" t="str">
        <x:v>2024個別比較不能</x:v>
      </x:c>
      <x:c r="P104" s="7" t="str">
        <x:v>2026公式カタログ掲載・現地未確認</x:v>
      </x:c>
      <x:c r="Q104" s="7" t="str">
        <x:v>2026展示予定。既存製品・参考出展・構想等は原典で個別確認</x:v>
      </x:c>
      <x:c r="R104" s="7" t="str">
        <x:v>どの作業を自動化・支援するか、入力と判断・操作の範囲、適用条件と人の残作業、2024からの機能差、採用・受注・効果の実測を確認する。</x:v>
      </x:c>
      <x:c r="S104" s="7" t="str">
        <x:v>EEX-EXH-2026-9109f51b0514db5c</x:v>
      </x:c>
      <x:c r="T104" s="7" t="str">
        <x:v>EEX-EXH-2026-9109f51b0514db5c: https://www.jimtof.org/search/jp/ESdetails?e=DiSAGV9x7AM</x:v>
      </x:c>
      <x:c r="U104" s="7" t="str">
        <x:v>出展説明の関連箇所に基づく一次分類</x:v>
      </x:c>
      <x:c r="V104" s="7"/>
      <x:c r="W104" s="7"/>
      <x:c r="X104" s="7"/>
      <x:c r="Y104" s="7"/>
      <x:c r="Z104" s="7"/>
      <x:c r="AA104" s="7"/>
      <x:c r="AB104" s="7"/>
    </x:row>
    <x:row r="105" ht="170" customHeight="1">
      <x:c r="A105" s="7" t="str">
        <x:v>AC032</x:v>
      </x:c>
      <x:c r="B105" s="20" t="str">
        <x:v>株式会社エグロ</x:v>
      </x:c>
      <x:c r="C105" s="7" t="str">
        <x:v>マシニングセンタ [E-15SK]：15番の小径工具による高速加工、96本ATCによる高速工具交換、省スペース設計により生産性向上に大きく貢献する、高</x:v>
      </x:c>
      <x:c r="D105" s="7" t="str">
        <x:v>E1045</x:v>
      </x:c>
      <x:c r="E105" s="7" t="str">
        <x:v>自動化</x:v>
      </x:c>
      <x:c r="F105" s="7" t="str">
        <x:v>出展説明の関連用途（個別タスクの分解は未完了）</x:v>
      </x:c>
      <x:c r="G105" s="7" t="str">
        <x:v>出展説明に記載。実装位置の個別精査はカードの方式・未確認欄を参照</x:v>
      </x:c>
      <x:c r="H105" s="7" t="str">
        <x:v>原典抜粋：主軸回転Max40,000min-1の高速・高精度加工から、自動化まで対応する精密マシニングセンタ「E-32ｖ」。 / 機ロボ一体の加工機と別置きロボットで最適な自動化を実現。 / 独自のノウハウを活かした設備および自動化ソリューションをご提案し、お客様の生産現場における更なる効率化と競争力向上の一助となれば幸いです。 / マシニングセンタ [E-32v]：完全熱対称設計による高精度加工、高速主軸による微細・精密加工と共に、自動化・無人</x:v>
      </x:c>
      <x:c r="I105" s="7" t="str">
        <x:v>個別入力の追加確認が必要</x:v>
      </x:c>
      <x:c r="J105" s="7" t="str">
        <x:v>原典抜粋：主軸回転Max40,000min-1の高速・高精度加工から、自動化まで対応する精密マシニングセンタ「E-32ｖ」。 / 機ロボ一体の加工機と別置きロボットで最適な自動化を実現。 / 独自のノウハウを活かした設備および自動化ソリューションをご提案し、お客様の生産現場における更なる効率化と競争力向上の一助となれば幸いです。 / マシニングセンタ [E-32v]：完全熱対称設計による高精度加工、高速主軸による微細・精密加工と共に、自動化・無人</x:v>
      </x:c>
      <x:c r="K105" s="7" t="str">
        <x:v>主軸回転Max40,000min-1の高速・高精度加工から、自動化まで対応する精密マシニングセンタ「E-32ｖ」。 / 機ロボ一体の加工機と別置きロボットで最適な自動化を実現。 / 独自のノウハウを活かした設備および自動化ソリューションをご提案し、お客様の生産現場における更なる効率化と競争力向上の一助となれば幸いです。 / マシニングセンタ [E-32v]：完全熱対称設計による高精度加工、高速主軸による微細・精密加工と共に、自動化・無人</x:v>
      </x:c>
      <x:c r="L105" s="7" t="str">
        <x:v>承認・例外対応・停止・復帰の境界は未確認</x:v>
      </x:c>
      <x:c r="M105" s="7" t="str">
        <x:v>2024原典抜粋：当社は1988年に精密小形CNC旋盤に多関節ロボットを搭載した「NUCROBOシリーズ」を発表し、以来多数ユーザー様の生産性向上に繋がる「省人化・無人化・省スペース化・工程集約」等のご要望にお応えしてきました。豊富な自動化実績の中から選定した数種の自動化システムを展示します。何か一つでも最適自動化のヒントになれば幸いです。 機ロボ一体型の最新機種「CT-101」は、バーフィーダーとロボットを搭載し、棒材からの一次加工も背面仕上げ等の二次加工も対応できる仕様です。 最新モデル2軸くし刃型CNC旋盤「NL-10CT」に</x:v>
      </x:c>
      <x:c r="N105" s="7" t="str">
        <x:v>2026原典抜粋：主軸回転Max40,000min-1の高速・高精度加工から、自動化まで対応する精密マシニングセンタ「E-32ｖ」。 / 機ロボ一体の加工機と別置きロボットで最適な自動化を実現。 / 独自のノウハウを活かした設備および自動化ソリューションをご提案し、お客様の生産現場における更なる効率化と競争力向上の一助となれば幸いです。 / マシニングセンタ [E-32v]：完全熱対称設計による高精度加工、高速主軸による微細・精密加工と共に、自動化・無人</x:v>
      </x:c>
      <x:c r="O105" s="7" t="str">
        <x:v>両年原典あり・機能差未判定</x:v>
      </x:c>
      <x:c r="P105" s="7" t="str">
        <x:v>2026公式カタログ掲載・現地未確認</x:v>
      </x:c>
      <x:c r="Q105" s="7" t="str">
        <x:v>2026展示予定。既存製品・参考出展・構想等は原典で個別確認</x:v>
      </x:c>
      <x:c r="R105" s="7" t="str">
        <x:v>どの作業を自動化・支援するか、入力と判断・操作の範囲、適用条件と人の残作業、2024からの機能差、採用・受注・効果の実測を確認する。</x:v>
      </x:c>
      <x:c r="S105" s="7" t="str">
        <x:v>EEX-EXH-2026-8b33ed02caa981c7
EEX-EXH-2024-6bbff61ed3acc244</x:v>
      </x:c>
      <x:c r="T105" s="7" t="str">
        <x:v>EEX-EXH-2026-8b33ed02caa981c7: https://www.jimtof.org/search/jp/ESdetails?e=jYjN83ZMZpQ
EEX-EXH-2024-6bbff61ed3acc244: https://www.jimtof.org/2024/search/jp/ESdetails?e=ooNmKjSJlIc</x:v>
      </x:c>
      <x:c r="U105" s="7" t="str">
        <x:v>出展説明の関連箇所に基づく一次分類</x:v>
      </x:c>
      <x:c r="V105" s="7"/>
      <x:c r="W105" s="7"/>
      <x:c r="X105" s="7"/>
      <x:c r="Y105" s="7"/>
      <x:c r="Z105" s="7"/>
      <x:c r="AA105" s="7"/>
      <x:c r="AB105" s="7"/>
    </x:row>
    <x:row r="106" ht="170" customHeight="1">
      <x:c r="A106" s="7" t="str">
        <x:v>AC033</x:v>
      </x:c>
      <x:c r="B106" s="20" t="str">
        <x:v>エスエムダブリューオートブロック株式会社</x:v>
      </x:c>
      <x:c r="C106" s="7" t="str">
        <x:v>クイックジョーチェンジチャック「KNCS-N」</x:v>
      </x:c>
      <x:c r="D106" s="7" t="str">
        <x:v>W2074</x:v>
      </x:c>
      <x:c r="E106" s="7" t="str">
        <x:v>自動化</x:v>
      </x:c>
      <x:c r="F106" s="7" t="str">
        <x:v>出展説明の関連用途（個別タスクの分解は未完了）</x:v>
      </x:c>
      <x:c r="G106" s="7" t="str">
        <x:v>出展説明に記載。実装位置の個別精査はカードの方式・未確認欄を参照</x:v>
      </x:c>
      <x:c r="H106" s="7" t="str">
        <x:v>原典抜粋：当社製品は「段取り替え時間の短縮」・「ワークを歪ませにくい遠心力補正機構」・「完全密閉型でメンテナンスが容易で高精度で長寿命」・「ボディ総焼き入れ（12インチ相当まで）」などの多くの特長があります。 / また、旋盤用製品・マシニングセンタ用製品どちらも需要が増えている自動化（ロボットでの段取り替え等）に対応した製品も取り揃えており、製品を展示します。 / 密閉タイプの「KNCS-2G」、ロボットでの爪交換に対応した「KNCSN-mati</x:v>
      </x:c>
      <x:c r="I106" s="7" t="str">
        <x:v>個別入力の追加確認が必要</x:v>
      </x:c>
      <x:c r="J106" s="7" t="str">
        <x:v>原典抜粋：当社製品は「段取り替え時間の短縮」・「ワークを歪ませにくい遠心力補正機構」・「完全密閉型でメンテナンスが容易で高精度で長寿命」・「ボディ総焼き入れ（12インチ相当まで）」などの多くの特長があります。 / また、旋盤用製品・マシニングセンタ用製品どちらも需要が増えている自動化（ロボットでの段取り替え等）に対応した製品も取り揃えており、製品を展示します。 / 密閉タイプの「KNCS-2G」、ロボットでの爪交換に対応した「KNCSN-mati</x:v>
      </x:c>
      <x:c r="K106" s="7" t="str">
        <x:v>当社製品は「段取り替え時間の短縮」・「ワークを歪ませにくい遠心力補正機構」・「完全密閉型でメンテナンスが容易で高精度で長寿命」・「ボディ総焼き入れ（12インチ相当まで）」などの多くの特長があります。 / また、旋盤用製品・マシニングセンタ用製品どちらも需要が増えている自動化（ロボットでの段取り替え等）に対応した製品も取り揃えており、製品を展示します。 / 密閉タイプの「KNCS-2G」、ロボットでの爪交換に対応した「KNCSN-mati</x:v>
      </x:c>
      <x:c r="L106" s="7" t="str">
        <x:v>承認・例外対応・停止・復帰の境界は未確認</x:v>
      </x:c>
      <x:c r="M106" s="7" t="str">
        <x:v>2024原典抜粋：当社製品は「段取り替え時間の短縮」・「ワークを歪ませにくい遠心力補正機構」・「完全密閉型でメンテナンスが容易で高精度で長寿命」・「ボディ総焼き入れ（12インチ相当まで）」などの多くの特長があります。 旋盤用チャックや振れ止め装置だけでなく、マシニングセンタ用のパレットチェンジシステムや5軸加工機対応マシンバイス、油圧やエアーで動作するバイスも取り扱っており、これら製品も段取り替えの容易さや密閉等の他社にない多くの特長があります。 また、旋盤用製品・マシニングセンタ用製品どちらも需要が増えている自動化（ロボットでの段</x:v>
      </x:c>
      <x:c r="N106" s="7" t="str">
        <x:v>2026原典抜粋：当社製品は「段取り替え時間の短縮」・「ワークを歪ませにくい遠心力補正機構」・「完全密閉型でメンテナンスが容易で高精度で長寿命」・「ボディ総焼き入れ（12インチ相当まで）」などの多くの特長があります。 / また、旋盤用製品・マシニングセンタ用製品どちらも需要が増えている自動化（ロボットでの段取り替え等）に対応した製品も取り揃えており、製品を展示します。 / 密閉タイプの「KNCS-2G」、ロボットでの爪交換に対応した「KNCSN-mati</x:v>
      </x:c>
      <x:c r="O106" s="7" t="str">
        <x:v>両年原典あり・機能差未判定</x:v>
      </x:c>
      <x:c r="P106" s="7" t="str">
        <x:v>2026公式カタログ掲載・現地未確認</x:v>
      </x:c>
      <x:c r="Q106" s="7" t="str">
        <x:v>2026展示予定。既存製品・参考出展・構想等は原典で個別確認</x:v>
      </x:c>
      <x:c r="R106" s="7" t="str">
        <x:v>どの作業を自動化・支援するか、入力と判断・操作の範囲、適用条件と人の残作業、2024からの機能差、採用・受注・効果の実測を確認する。</x:v>
      </x:c>
      <x:c r="S106" s="7" t="str">
        <x:v>EEX-EXH-2026-d32f9a2c2a12af7a
EEX-EXH-2024-2229b68b4691deab</x:v>
      </x:c>
      <x:c r="T106" s="7" t="str">
        <x:v>EEX-EXH-2026-d32f9a2c2a12af7a: https://www.jimtof.org/search/jp/ESdetails?e=AKC0LsfHQI4
EEX-EXH-2024-2229b68b4691deab: https://www.jimtof.org/2024/search/jp/ESdetails?e=35tDpmqLSDQ</x:v>
      </x:c>
      <x:c r="U106" s="7" t="str">
        <x:v>出展説明の関連箇所に基づく一次分類</x:v>
      </x:c>
      <x:c r="V106" s="7"/>
      <x:c r="W106" s="7"/>
      <x:c r="X106" s="7"/>
      <x:c r="Y106" s="7"/>
      <x:c r="Z106" s="7"/>
      <x:c r="AA106" s="7"/>
      <x:c r="AB106" s="7"/>
    </x:row>
    <x:row r="107" ht="170" customHeight="1">
      <x:c r="A107" s="7" t="str">
        <x:v>AC034</x:v>
      </x:c>
      <x:c r="B107" s="20" t="str">
        <x:v>株式会社エス・ティ・シー</x:v>
      </x:c>
      <x:c r="C107" s="7" t="str">
        <x:v>ターン・ミルマシン</x:v>
      </x:c>
      <x:c r="D107" s="7" t="str">
        <x:v>E1069</x:v>
      </x:c>
      <x:c r="E107" s="7" t="str">
        <x:v>自動化</x:v>
      </x:c>
      <x:c r="F107" s="7" t="str">
        <x:v>出展説明の関連用途（個別タスクの分解は未完了）</x:v>
      </x:c>
      <x:c r="G107" s="7" t="str">
        <x:v>出展説明に記載。実装位置の個別精査はカードの方式・未確認欄を参照</x:v>
      </x:c>
      <x:c r="H107" s="7" t="str">
        <x:v>原典抜粋：さらに、工程集約による省スペース化や自動化・省人化にも対応し、試作品や少量生産から量産まで、幅広い生産形態に柔軟に対応します。</x:v>
      </x:c>
      <x:c r="I107" s="7" t="str">
        <x:v>個別入力の追加確認が必要</x:v>
      </x:c>
      <x:c r="J107" s="7" t="str">
        <x:v>原典抜粋：さらに、工程集約による省スペース化や自動化・省人化にも対応し、試作品や少量生産から量産まで、幅広い生産形態に柔軟に対応します。</x:v>
      </x:c>
      <x:c r="K107" s="7" t="str">
        <x:v>さらに、工程集約による省スペース化や自動化・省人化にも対応し、試作品や少量生産から量産まで、幅広い生産形態に柔軟に対応します。</x:v>
      </x:c>
      <x:c r="L107" s="7" t="str">
        <x:v>承認・例外対応・停止・復帰の境界は未確認</x:v>
      </x:c>
      <x:c r="M107" s="7" t="str">
        <x:v>2024原典抜粋：Starrag社のマシンニング S191 neoを展示します。 スイス精密時計部品加工機と宝石(付き)リング及びバンド製造の中心的存在として始まり、宇宙産業、電子装置、精密機器、医療産業分野において、顧客は世界各国に広がり信頼関係を築いております。 高精度で高品質な加工機械を開発、製造しています。 創業時から承継しており機械部品加工、電装盤配線、塗装を経て品質向上を遂行しております。 最先端を行く制御技術と機械の融合により、機械加工における持続可能なソリューションをご提供しています。 バー材やブランク材から、最高品</x:v>
      </x:c>
      <x:c r="N107" s="7" t="str">
        <x:v>2026原典抜粋：さらに、工程集約による省スペース化や自動化・省人化にも対応し、試作品や少量生産から量産まで、幅広い生産形態に柔軟に対応します。</x:v>
      </x:c>
      <x:c r="O107" s="7" t="str">
        <x:v>両年原典あり・機能差未判定</x:v>
      </x:c>
      <x:c r="P107" s="7" t="str">
        <x:v>2026公式カタログ掲載・現地未確認</x:v>
      </x:c>
      <x:c r="Q107" s="7" t="str">
        <x:v>2026展示予定。既存製品・参考出展・構想等は原典で個別確認</x:v>
      </x:c>
      <x:c r="R107" s="7" t="str">
        <x:v>どの作業を自動化・支援するか、入力と判断・操作の範囲、適用条件と人の残作業、2024からの機能差、採用・受注・効果の実測を確認する。</x:v>
      </x:c>
      <x:c r="S107" s="7" t="str">
        <x:v>EEX-EXH-2026-521637b4c962ce6d
EEX-EXH-2024-437c3ef2b32e75e7</x:v>
      </x:c>
      <x:c r="T107" s="7" t="str">
        <x:v>EEX-EXH-2026-521637b4c962ce6d: https://www.jimtof.org/search/jp/ESdetails?e=KczqG602kSE
EEX-EXH-2024-437c3ef2b32e75e7: https://www.jimtof.org/2024/search/jp/ESdetails?e=K_X61J2xV_w</x:v>
      </x:c>
      <x:c r="U107" s="7" t="str">
        <x:v>出展説明の関連箇所に基づく一次分類</x:v>
      </x:c>
      <x:c r="V107" s="7"/>
      <x:c r="W107" s="7"/>
      <x:c r="X107" s="7"/>
      <x:c r="Y107" s="7"/>
      <x:c r="Z107" s="7"/>
      <x:c r="AA107" s="7"/>
      <x:c r="AB107" s="7"/>
    </x:row>
    <x:row r="108" ht="170" customHeight="1">
      <x:c r="A108" s="7" t="str">
        <x:v>AC036</x:v>
      </x:c>
      <x:c r="B108" s="20" t="str">
        <x:v>株式会社Any Design</x:v>
      </x:c>
      <x:c r="C108" s="7" t="str">
        <x:v>無線デジタル精密水準器 LevelMan ADL-T5</x:v>
      </x:c>
      <x:c r="D108" s="7" t="str">
        <x:v>S4033</x:v>
      </x:c>
      <x:c r="E108" s="7" t="str">
        <x:v>自動化</x:v>
      </x:c>
      <x:c r="F108" s="7" t="str">
        <x:v>出展説明の関連用途（個別タスクの分解は未完了）</x:v>
      </x:c>
      <x:c r="G108" s="7" t="str">
        <x:v>出展説明に記載。実装位置の個別精査はカードの方式・未確認欄を参照</x:v>
      </x:c>
      <x:c r="H108" s="7" t="str">
        <x:v>原典抜粋：「AdjustMan」は、LevelManの多点測定データを基に重量物のレベル調整を全自動化。 / 「CalibMan」は、水準器の校正を全自動化し、自社での校正を実現します。 / ・無線デジタル精密水準器 LevelMan ADL-T5 / ・無線デジタル水準器 LevelMan ADL-G / ・全自動・水準器構成装置 CalibMan / ・全自動レベル調整システム AdjsutMan（1トン、3トン耐荷重モデルが登場）</x:v>
      </x:c>
      <x:c r="I108" s="7" t="str">
        <x:v>個別入力の追加確認が必要</x:v>
      </x:c>
      <x:c r="J108" s="7" t="str">
        <x:v>原典抜粋：「AdjustMan」は、LevelManの多点測定データを基に重量物のレベル調整を全自動化。 / 「CalibMan」は、水準器の校正を全自動化し、自社での校正を実現します。 / ・無線デジタル精密水準器 LevelMan ADL-T5 / ・無線デジタル水準器 LevelMan ADL-G / ・全自動・水準器構成装置 CalibMan / ・全自動レベル調整システム AdjsutMan（1トン、3トン耐荷重モデルが登場）</x:v>
      </x:c>
      <x:c r="K108" s="7" t="str">
        <x:v>「AdjustMan」は、LevelManの多点測定データを基に重量物のレベル調整を全自動化。 / 「CalibMan」は、水準器の校正を全自動化し、自社での校正を実現します。 / ・無線デジタル精密水準器 LevelMan ADL-T5 / ・無線デジタル水準器 LevelMan ADL-G / ・全自動・水準器構成装置 CalibMan / ・全自動レベル調整システム AdjsutMan（1トン、3トン耐荷重モデルが登場）</x:v>
      </x:c>
      <x:c r="L108" s="7" t="str">
        <x:v>承認・例外対応・停止・復帰の境界は未確認</x:v>
      </x:c>
      <x:c r="M108" s="7" t="str">
        <x:v>2024原典抜粋：レベル出し熟練作業者の慢性的な不足が課題となる中、測定作業の省力化が求められています。 ＊＊＊レベル出しを完全自動化＊＊＊ こうしたニーズに応える製品として、JIMTOF2024では、自動化でレベル出しの現場を変えるべく、「全自動レベル出し調整装置：AdjustMan」を展示いたします。複数台のデジタル精密水準器のデータを基準に大型装置のレベル出しを完全自動化で行う画期的な製品です。 実稼働デモを実施いたしますのでご期待ください。 ＊＊＊デジタルと無線でレベル出しの現場を楽にする＊＊＊ 上記AdjustManで基準</x:v>
      </x:c>
      <x:c r="N108" s="7" t="str">
        <x:v>2026原典抜粋：「AdjustMan」は、LevelManの多点測定データを基に重量物のレベル調整を全自動化。 / 「CalibMan」は、水準器の校正を全自動化し、自社での校正を実現します。 / ・無線デジタル精密水準器 LevelMan ADL-T5 / ・無線デジタル水準器 LevelMan ADL-G / ・全自動・水準器構成装置 CalibMan / ・全自動レベル調整システム AdjsutMan（1トン、3トン耐荷重モデルが登場）</x:v>
      </x:c>
      <x:c r="O108" s="7" t="str">
        <x:v>両年原典あり・機能差未判定</x:v>
      </x:c>
      <x:c r="P108" s="7" t="str">
        <x:v>2026公式カタログ掲載・現地未確認</x:v>
      </x:c>
      <x:c r="Q108" s="7" t="str">
        <x:v>2026展示予定。既存製品・参考出展・構想等は原典で個別確認</x:v>
      </x:c>
      <x:c r="R108" s="7" t="str">
        <x:v>どの作業を自動化・支援するか、入力と判断・操作の範囲、適用条件と人の残作業、2024からの機能差、採用・受注・効果の実測を確認する。</x:v>
      </x:c>
      <x:c r="S108" s="7" t="str">
        <x:v>EEX-EXH-2026-6059dd307931eaee
EEX-EXH-2024-a6d41728f624de76</x:v>
      </x:c>
      <x:c r="T108" s="7" t="str">
        <x:v>EEX-EXH-2026-6059dd307931eaee: https://www.jimtof.org/search/jp/ESdetails?e=IR4kvy0h_O4
EEX-EXH-2024-a6d41728f624de76: https://www.jimtof.org/2024/search/jp/ESdetails?e=bsgsYcvbud4</x:v>
      </x:c>
      <x:c r="U108" s="7" t="str">
        <x:v>出展説明の関連箇所に基づく一次分類</x:v>
      </x:c>
      <x:c r="V108" s="7"/>
      <x:c r="W108" s="7"/>
      <x:c r="X108" s="7"/>
      <x:c r="Y108" s="7"/>
      <x:c r="Z108" s="7"/>
      <x:c r="AA108" s="7"/>
      <x:c r="AB108" s="7"/>
    </x:row>
    <x:row r="109" ht="170" customHeight="1">
      <x:c r="A109" s="7" t="str">
        <x:v>AC037</x:v>
      </x:c>
      <x:c r="B109" s="20" t="str">
        <x:v>NKワークス株式会社</x:v>
      </x:c>
      <x:c r="C109" s="7" t="str">
        <x:v>「加工提案ゾーン」：空圧式ゼロポイントプレートプレート、ロボット用グリッパー、マニュアルバイス自動開閉装置、MQL装置、製造管理・工程管理システム、ク</x:v>
      </x:c>
      <x:c r="D109" s="7" t="str">
        <x:v>E3015</x:v>
      </x:c>
      <x:c r="E109" s="7" t="str">
        <x:v>工場運用DX
自動化</x:v>
      </x:c>
      <x:c r="F109" s="7" t="str">
        <x:v>出展説明の関連用途（個別タスクの分解は未完了）</x:v>
      </x:c>
      <x:c r="G109" s="7" t="str">
        <x:v>出展説明に記載。実装位置の個別精査はカードの方式・未確認欄を参照</x:v>
      </x:c>
      <x:c r="H109" s="7" t="str">
        <x:v>原典抜粋：「加工提案ゾーン」：空圧式ゼロポイントプレートプレート、ロボット用グリッパー、マニュアルバイス自動開閉装置、MQL装置、製造管理・工程管理システム、クーラントなど</x:v>
      </x:c>
      <x:c r="I109" s="7" t="str">
        <x:v>個別入力の追加確認が必要</x:v>
      </x:c>
      <x:c r="J109" s="7" t="str">
        <x:v>原典抜粋：「加工提案ゾーン」：空圧式ゼロポイントプレートプレート、ロボット用グリッパー、マニュアルバイス自動開閉装置、MQL装置、製造管理・工程管理システム、クーラントなど</x:v>
      </x:c>
      <x:c r="K109" s="7" t="str">
        <x:v>「加工提案ゾーン」：空圧式ゼロポイントプレートプレート、ロボット用グリッパー、マニュアルバイス自動開閉装置、MQL装置、製造管理・工程管理システム、クーラントなど</x:v>
      </x:c>
      <x:c r="L109" s="7" t="str">
        <x:v>承認・例外対応・停止・復帰の境界は未確認</x:v>
      </x:c>
      <x:c r="M109" s="7" t="str">
        <x:v>2024原典抜粋：ブース内は目的の製品が見つかりやすい6つのゾーンで構成されます 「ワークホールディングゾーン」：旋盤チャックやMC用バイスなどのワーク保持具など 「ツーリングゾーン」：旋盤、MC用のツールホルダーやボーリングバー、ガンドリルなど 「保全・検査ゾーン」：スピンドル引き込み力測定器や内視鏡、エアフィルターなど 「加工提案ゾーン」：ガンドリルマシンにMQL装置を組み合わせたデモ実施 「仕上げ加工ゾーン」：電解研磨機およびホーニングマシンでのデモ実施 「多軸加工実演ゾーン」：3軸MCとロータリーテーブルを組み合わせた加工実</x:v>
      </x:c>
      <x:c r="N109" s="7" t="str">
        <x:v>2026原典抜粋：「加工提案ゾーン」：空圧式ゼロポイントプレートプレート、ロボット用グリッパー、マニュアルバイス自動開閉装置、MQL装置、製造管理・工程管理システム、クーラントなど</x:v>
      </x:c>
      <x:c r="O109" s="7" t="str">
        <x:v>両年原典あり・機能差未判定</x:v>
      </x:c>
      <x:c r="P109" s="7" t="str">
        <x:v>2026公式カタログ掲載・現地未確認</x:v>
      </x:c>
      <x:c r="Q109" s="7" t="str">
        <x:v>2026展示予定。既存製品・参考出展・構想等は原典で個別確認</x:v>
      </x:c>
      <x:c r="R109" s="7" t="str">
        <x:v>どの作業を自動化・支援するか、入力と判断・操作の範囲、適用条件と人の残作業、2024からの機能差、採用・受注・効果の実測を確認する。</x:v>
      </x:c>
      <x:c r="S109" s="7" t="str">
        <x:v>EEX-EXH-2026-9ac2eb87d29b1692
EEX-EXH-2024-dc25f7b7a07b7371</x:v>
      </x:c>
      <x:c r="T109" s="7" t="str">
        <x:v>EEX-EXH-2026-9ac2eb87d29b1692: https://www.jimtof.org/search/jp/ESdetails?e=UQBQ5yg2WIk
EEX-EXH-2024-dc25f7b7a07b7371: https://www.jimtof.org/2024/search/jp/ESdetails?e=xAOmvy26lWM</x:v>
      </x:c>
      <x:c r="U109" s="7" t="str">
        <x:v>出展説明の関連箇所に基づく一次分類</x:v>
      </x:c>
      <x:c r="V109" s="7"/>
      <x:c r="W109" s="7"/>
      <x:c r="X109" s="7"/>
      <x:c r="Y109" s="7"/>
      <x:c r="Z109" s="7"/>
      <x:c r="AA109" s="7"/>
      <x:c r="AB109" s="7"/>
    </x:row>
    <x:row r="110" ht="170" customHeight="1">
      <x:c r="A110" s="7" t="str">
        <x:v>AC038</x:v>
      </x:c>
      <x:c r="B110" s="20" t="str">
        <x:v>エバ工業株式会社</x:v>
      </x:c>
      <x:c r="C110" s="7" t="str">
        <x:v>タワー型ツールストッカー</x:v>
      </x:c>
      <x:c r="D110" s="7" t="str">
        <x:v>E7065</x:v>
      </x:c>
      <x:c r="E110" s="7" t="str">
        <x:v>工場運用DX
自動化</x:v>
      </x:c>
      <x:c r="F110" s="7" t="str">
        <x:v>出展説明の関連用途（個別タスクの分解は未完了）</x:v>
      </x:c>
      <x:c r="G110" s="7" t="str">
        <x:v>出展説明に記載。実装位置の個別精査はカードの方式・未確認欄を参照</x:v>
      </x:c>
      <x:c r="H110" s="7" t="str">
        <x:v>原典抜粋：ツール管理の課題を解決する、タワー型ツールストッカー「VTS（Vertical Tool Stocker System）」をご紹介します。 / わずか約2.3m×2.3mの設置面積に、最大約600本の工具を高密度に収納。 / 工具を探す・取りに行く工数や、分散保管によるムダ、重複発注の削減に貢献します。 / 複列型の収納構造に加え、取出予約などの運用にも対応。 / 走行軸を廃し、NC可動範囲を効率よく活用した機構により、省スペース・大容</x:v>
      </x:c>
      <x:c r="I110" s="7" t="str">
        <x:v>個別入力の追加確認が必要</x:v>
      </x:c>
      <x:c r="J110" s="7" t="str">
        <x:v>原典抜粋：ツール管理の課題を解決する、タワー型ツールストッカー「VTS（Vertical Tool Stocker System）」をご紹介します。 / わずか約2.3m×2.3mの設置面積に、最大約600本の工具を高密度に収納。 / 工具を探す・取りに行く工数や、分散保管によるムダ、重複発注の削減に貢献します。 / 複列型の収納構造に加え、取出予約などの運用にも対応。 / 走行軸を廃し、NC可動範囲を効率よく活用した機構により、省スペース・大容</x:v>
      </x:c>
      <x:c r="K110" s="7" t="str">
        <x:v>ツール管理の課題を解決する、タワー型ツールストッカー「VTS（Vertical Tool Stocker System）」をご紹介します。 / わずか約2.3m×2.3mの設置面積に、最大約600本の工具を高密度に収納。 / 工具を探す・取りに行く工数や、分散保管によるムダ、重複発注の削減に貢献します。 / 複列型の収納構造に加え、取出予約などの運用にも対応。 / 走行軸を廃し、NC可動範囲を効率よく活用した機構により、省スペース・大容</x:v>
      </x:c>
      <x:c r="L110" s="7" t="str">
        <x:v>承認・例外対応・停止・復帰の境界は未確認</x:v>
      </x:c>
      <x:c r="M110" s="7" t="str">
        <x:v>2024原典抜粋：今回は自動化装置の中から、昨今数多くご用命頂いているツールストッカを展示いたします。 工具の管理・交換作業の自動化を実現します。 生産性向上に大変有効な装置ですので是非、弊社ブースにて実機をご覧ください。 VPPやFMSなど他の装置は3D模型で展示しています。 ツールストッカー&amp;ツールチェンジャー</x:v>
      </x:c>
      <x:c r="N110" s="7" t="str">
        <x:v>2026原典抜粋：ツール管理の課題を解決する、タワー型ツールストッカー「VTS（Vertical Tool Stocker System）」をご紹介します。 / わずか約2.3m×2.3mの設置面積に、最大約600本の工具を高密度に収納。 / 工具を探す・取りに行く工数や、分散保管によるムダ、重複発注の削減に貢献します。 / 複列型の収納構造に加え、取出予約などの運用にも対応。 / 走行軸を廃し、NC可動範囲を効率よく活用した機構により、省スペース・大容</x:v>
      </x:c>
      <x:c r="O110" s="7" t="str">
        <x:v>両年原典あり・機能差未判定</x:v>
      </x:c>
      <x:c r="P110" s="7" t="str">
        <x:v>2026公式カタログ掲載・現地未確認</x:v>
      </x:c>
      <x:c r="Q110" s="7" t="str">
        <x:v>2026展示予定。既存製品・参考出展・構想等は原典で個別確認</x:v>
      </x:c>
      <x:c r="R110" s="7" t="str">
        <x:v>どの作業を自動化・支援するか、入力と判断・操作の範囲、適用条件と人の残作業、2024からの機能差、採用・受注・効果の実測を確認する。</x:v>
      </x:c>
      <x:c r="S110" s="7" t="str">
        <x:v>EEX-EXH-2026-82c1d23abea2ae6d
EEX-EXH-2024-bc3ee84b31999653</x:v>
      </x:c>
      <x:c r="T110" s="7" t="str">
        <x:v>EEX-EXH-2026-82c1d23abea2ae6d: https://www.jimtof.org/search/jp/ESdetails?e=BQDEsiMInIU
EEX-EXH-2024-bc3ee84b31999653: https://www.jimtof.org/2024/search/jp/ESdetails?e=x5qyFu-kuHM</x:v>
      </x:c>
      <x:c r="U110" s="7" t="str">
        <x:v>出展説明の関連箇所に基づく一次分類</x:v>
      </x:c>
      <x:c r="V110" s="7"/>
      <x:c r="W110" s="7"/>
      <x:c r="X110" s="7"/>
      <x:c r="Y110" s="7"/>
      <x:c r="Z110" s="7"/>
      <x:c r="AA110" s="7"/>
      <x:c r="AB110" s="7"/>
    </x:row>
    <x:row r="111" ht="170" customHeight="1">
      <x:c r="A111" s="7" t="str">
        <x:v>AC039</x:v>
      </x:c>
      <x:c r="B111" s="20" t="str">
        <x:v>FNS株式会社</x:v>
      </x:c>
      <x:c r="C111" s="7" t="str">
        <x:v>TM-2800：AMR・ロボット・加工機の統合</x:v>
      </x:c>
      <x:c r="D111" s="7" t="str">
        <x:v>E2034</x:v>
      </x:c>
      <x:c r="E111" s="7" t="str">
        <x:v>工場運用DX
自動化
自律化</x:v>
      </x:c>
      <x:c r="F111" s="7" t="str">
        <x:v>設備間の供給・生産指示</x:v>
      </x:c>
      <x:c r="G111" s="7" t="str">
        <x:v>TM-2800を起点とするAMR・ロボット・加工機の統合</x:v>
      </x:c>
      <x:c r="H111" s="7" t="str">
        <x:v>投入・スケジューリング後の機器指示</x:v>
      </x:c>
      <x:c r="I111" s="7" t="str">
        <x:v>人による投入・スケジューリング、ストッカー・AMR・機器状態（項目は未公開）</x:v>
      </x:c>
      <x:c r="J111" s="7" t="str">
        <x:v>TM-2800の工程指示・統合制御の説明。AIによる再計画・最適化の有無は未特定</x:v>
      </x:c>
      <x:c r="K111" s="7" t="str">
        <x:v>ストッカー・AMR・ロボット・加工機へ指示。旧RK510はCRX-10iA、カメラ・ハンド交換等の構成</x:v>
      </x:c>
      <x:c r="L111" s="7" t="str">
        <x:v>事前準備：公式出展説明：人が投入・スケジューリング。企業製品ページは旧RK510等の構成まで／承認：未記載：統合指示・計画変更の承認、機器間の権限／例外対応：未記載：AMR遅延・加工機停止・仕掛品欠品での再計画と復帰</x:v>
      </x:c>
      <x:c r="M111" s="7" t="str">
        <x:v>2024はRK510のストッカー・2D位置補正・ハンド交換と加工機接続。</x:v>
      </x:c>
      <x:c r="N111" s="7" t="str">
        <x:v>2026は高層ストッカーTM-2800を起点にAMR・ロボット・加工機を統合制御する提案。</x:v>
      </x:c>
      <x:c r="O111" s="7" t="str">
        <x:v>搬送対象・構成の追加記載</x:v>
      </x:c>
      <x:c r="P111" s="7" t="str">
        <x:v>2026公式カタログ掲載・現地未確認</x:v>
      </x:c>
      <x:c r="Q111" s="7" t="str">
        <x:v>2026展示予定。既存製品・参考出展・構想等は原典で個別確認</x:v>
      </x:c>
      <x:c r="R111" s="7" t="str">
        <x:v>企業ページで確認したRK510の構成を、新TM-2800の機器構成として流用しない。TM-2800の補足技術資料は未確認 現地質問：既存設備の接続工数、品種切替、AMR遅延・加工機停止時の再計画と人への引継ぎは。</x:v>
      </x:c>
      <x:c r="S111" s="7" t="str">
        <x:v>EEX-EXH-2026-9022dcaec2b02dde
EEX-EXH-2024-caa95a5ce916176b
EDP-25</x:v>
      </x:c>
      <x:c r="T111" s="7" t="str">
        <x:v>EEX-EXH-2026-9022dcaec2b02dde: https://www.jimtof.org/search/jp/ESdetails?e=_q_YetP8_og
EEX-EXH-2024-caa95a5ce916176b: https://www.jimtof.org/2024/search/jp/ESdetails?e=LRKay8iRNz4
EDP-25: https://www.fns-inc.jp/%E3%83%AD%E3%83%9C%E3%83%83%E3%83%88%E3%82%B7%E3%82%B9%E3%83%86%E3%83%A0</x:v>
      </x:c>
      <x:c r="U111" s="7" t="str">
        <x:v>2024・2026の原典全文を重点比較</x:v>
      </x:c>
      <x:c r="V111" s="7" t="str">
        <x:v>統合制御・AI判断は未確認</x:v>
      </x:c>
      <x:c r="W111" s="7" t="str">
        <x:v>TM-2800の工程指示・統合制御の説明。AIによる再計画・最適化の有無は未特定</x:v>
      </x:c>
      <x:c r="X111" s="7" t="str">
        <x:v>ストッカー・AMR・ロボット・加工機へ指示。旧RK510はCRX-10iA、カメラ・ハンド交換等の構成</x:v>
      </x:c>
      <x:c r="Y111" s="7" t="str">
        <x:v>公式出展説明：人が投入・スケジューリング。企業製品ページは旧RK510等の構成まで</x:v>
      </x:c>
      <x:c r="Z111" s="7" t="str">
        <x:v>未記載：統合指示・計画変更の承認、機器間の権限</x:v>
      </x:c>
      <x:c r="AA111" s="7" t="str">
        <x:v>未記載：AMR遅延・加工機停止・仕掛品欠品での再計画と復帰</x:v>
      </x:c>
      <x:c r="AB111" s="7" t="str">
        <x:v>企業ページで確認したRK510の構成を、新TM-2800の機器構成として流用しない。TM-2800の補足技術資料は未確認</x:v>
      </x:c>
    </x:row>
    <x:row r="112" ht="170" customHeight="1">
      <x:c r="A112" s="7" t="str">
        <x:v>AC040</x:v>
      </x:c>
      <x:c r="B112" s="20" t="str">
        <x:v>株式会社MSTコーポレーション</x:v>
      </x:c>
      <x:c r="C112" s="7" t="str">
        <x:v>「ミーリング加工 用 焼ばめホルダ　ミルボアでの高精度穴加工」「アングルヘッドハーフでの工程集約」「スリムラインによる加工の高能率化」「スマートグリッ</x:v>
      </x:c>
      <x:c r="D112" s="7" t="str">
        <x:v>W2011</x:v>
      </x:c>
      <x:c r="E112" s="7" t="str">
        <x:v>自動化</x:v>
      </x:c>
      <x:c r="F112" s="7" t="str">
        <x:v>出展説明の関連用途（個別タスクの分解は未完了）</x:v>
      </x:c>
      <x:c r="G112" s="7" t="str">
        <x:v>出展説明に記載。実装位置の個別精査はカードの方式・未確認欄を参照</x:v>
      </x:c>
      <x:c r="H112" s="7" t="str">
        <x:v>原典抜粋：ツールホルダの効果的な活用方法と使用した際の加工改善、アングルヘッドの一軸付加による工程集約、高精度な穴加工がスキルレスで実践できる加工、新発想の天吊りロボット式で脱着が自由自在なワークストッカー、それらと自動化にも多品種ワークにも対応できるHSKワーククランプ治具システムを組合わせた実演を立形マシニングセンタで行ないます。 / 「ミーリング加工 用 焼ばめホルダ　ミルボアでの高精度穴加工」「アングルヘッドハーフでの工程集約」「スリムラ</x:v>
      </x:c>
      <x:c r="I112" s="7" t="str">
        <x:v>個別入力の追加確認が必要</x:v>
      </x:c>
      <x:c r="J112" s="7" t="str">
        <x:v>原典抜粋：ツールホルダの効果的な活用方法と使用した際の加工改善、アングルヘッドの一軸付加による工程集約、高精度な穴加工がスキルレスで実践できる加工、新発想の天吊りロボット式で脱着が自由自在なワークストッカー、それらと自動化にも多品種ワークにも対応できるHSKワーククランプ治具システムを組合わせた実演を立形マシニングセンタで行ないます。 / 「ミーリング加工 用 焼ばめホルダ　ミルボアでの高精度穴加工」「アングルヘッドハーフでの工程集約」「スリムラ</x:v>
      </x:c>
      <x:c r="K112" s="7" t="str">
        <x:v>ツールホルダの効果的な活用方法と使用した際の加工改善、アングルヘッドの一軸付加による工程集約、高精度な穴加工がスキルレスで実践できる加工、新発想の天吊りロボット式で脱着が自由自在なワークストッカー、それらと自動化にも多品種ワークにも対応できるHSKワーククランプ治具システムを組合わせた実演を立形マシニングセンタで行ないます。 / 「ミーリング加工 用 焼ばめホルダ　ミルボアでの高精度穴加工」「アングルヘッドハーフでの工程集約」「スリムラ</x:v>
      </x:c>
      <x:c r="L112" s="7" t="str">
        <x:v>承認・例外対応・停止・復帰の境界は未確認</x:v>
      </x:c>
      <x:c r="M112" s="7" t="str">
        <x:v>2024原典抜粋：ツールホルダを活用することによる加工改善、アングルヘッドによる工程集約、高精度な穴加工がスキルレスで実践できる加工方法、HSKワーククランプ治具システムを活用した多品種ワークに対応できる自動化など、マシニングセンタを使用して実演を行ないます。 合わせて、高精度加工を実現する上で重要となる工場環境の最適化につながるツールホルダのメンテナンスについて提案します。 「来場される方にとって、明日から使えるヒントが得られる」をテーマに展示や実演を通して情報発信を行ないます。 最新マシニングセンタを使用した「ミルボアでの高精度</x:v>
      </x:c>
      <x:c r="N112" s="7" t="str">
        <x:v>2026原典抜粋：ツールホルダの効果的な活用方法と使用した際の加工改善、アングルヘッドの一軸付加による工程集約、高精度な穴加工がスキルレスで実践できる加工、新発想の天吊りロボット式で脱着が自由自在なワークストッカー、それらと自動化にも多品種ワークにも対応できるHSKワーククランプ治具システムを組合わせた実演を立形マシニングセンタで行ないます。 / 「ミーリング加工 用 焼ばめホルダ　ミルボアでの高精度穴加工」「アングルヘッドハーフでの工程集約」「スリムラ</x:v>
      </x:c>
      <x:c r="O112" s="7" t="str">
        <x:v>両年原典あり・機能差未判定</x:v>
      </x:c>
      <x:c r="P112" s="7" t="str">
        <x:v>2026公式カタログ掲載・現地未確認</x:v>
      </x:c>
      <x:c r="Q112" s="7" t="str">
        <x:v>2026展示予定。既存製品・参考出展・構想等は原典で個別確認</x:v>
      </x:c>
      <x:c r="R112" s="7" t="str">
        <x:v>どの作業を自動化・支援するか、入力と判断・操作の範囲、適用条件と人の残作業、2024からの機能差、採用・受注・効果の実測を確認する。</x:v>
      </x:c>
      <x:c r="S112" s="7" t="str">
        <x:v>EEX-EXH-2026-f74dba1a90bb7c60
EEX-EXH-2024-99945bed1e58b8ce</x:v>
      </x:c>
      <x:c r="T112" s="7" t="str">
        <x:v>EEX-EXH-2026-f74dba1a90bb7c60: https://www.jimtof.org/search/jp/ESdetails?e=SJ1uP-anpRI
EEX-EXH-2024-99945bed1e58b8ce: https://www.jimtof.org/2024/search/jp/ESdetails?e=tThKOA-gm8s</x:v>
      </x:c>
      <x:c r="U112" s="7" t="str">
        <x:v>出展説明の関連箇所に基づく一次分類</x:v>
      </x:c>
      <x:c r="V112" s="7"/>
      <x:c r="W112" s="7"/>
      <x:c r="X112" s="7"/>
      <x:c r="Y112" s="7"/>
      <x:c r="Z112" s="7"/>
      <x:c r="AA112" s="7"/>
      <x:c r="AB112" s="7"/>
    </x:row>
    <x:row r="113" ht="170" customHeight="1">
      <x:c r="A113" s="7" t="str">
        <x:v>AC041</x:v>
      </x:c>
      <x:c r="B113" s="20" t="str">
        <x:v>エンシュウ株式会社</x:v>
      </x:c>
      <x:c r="C113" s="7" t="str">
        <x:v>「3つの技術の融合」をテーマに、エンシュウは「工作機械メーカー × SIer × 量産部品加工メーカー」の3つの技術と機能を融合し、製造現場が直面する</x:v>
      </x:c>
      <x:c r="D113" s="7" t="str">
        <x:v>E3027</x:v>
      </x:c>
      <x:c r="E113" s="7" t="str">
        <x:v>工場運用DX
自動化</x:v>
      </x:c>
      <x:c r="F113" s="7" t="str">
        <x:v>出展説明の関連用途（個別タスクの分解は未完了）</x:v>
      </x:c>
      <x:c r="G113" s="7" t="str">
        <x:v>出展説明に記載。実装位置の個別精査はカードの方式・未確認欄を参照</x:v>
      </x:c>
      <x:c r="H113" s="7" t="str">
        <x:v>原典抜粋：「3つの技術の融合」をテーマに、エンシュウは「工作機械メーカー × SIer × 量産部品加工メーカー」の3つの技術と機能を融合し、製造現場が直面する「自動化」「デジタル化」「省エネ」の課題に新たな価値を提案します。 / 今回の展示では、①横形マシニングセンタJE50Sコンセプトモデルによる「工作機械×デジタル」、②Mobile Robotによるモノと情報をつなぐ物流自動化、③量産部品加工で培った生産性と品質を両立する“実践技術”をご紹</x:v>
      </x:c>
      <x:c r="I113" s="7" t="str">
        <x:v>個別入力の追加確認が必要</x:v>
      </x:c>
      <x:c r="J113" s="7" t="str">
        <x:v>原典抜粋：「3つの技術の融合」をテーマに、エンシュウは「工作機械メーカー × SIer × 量産部品加工メーカー」の3つの技術と機能を融合し、製造現場が直面する「自動化」「デジタル化」「省エネ」の課題に新たな価値を提案します。 / 今回の展示では、①横形マシニングセンタJE50Sコンセプトモデルによる「工作機械×デジタル」、②Mobile Robotによるモノと情報をつなぐ物流自動化、③量産部品加工で培った生産性と品質を両立する“実践技術”をご紹</x:v>
      </x:c>
      <x:c r="K113" s="7" t="str">
        <x:v>「3つの技術の融合」をテーマに、エンシュウは「工作機械メーカー × SIer × 量産部品加工メーカー」の3つの技術と機能を融合し、製造現場が直面する「自動化」「デジタル化」「省エネ」の課題に新たな価値を提案します。 / 今回の展示では、①横形マシニングセンタJE50Sコンセプトモデルによる「工作機械×デジタル」、②Mobile Robotによるモノと情報をつなぐ物流自動化、③量産部品加工で培った生産性と品質を両立する“実践技術”をご紹</x:v>
      </x:c>
      <x:c r="L113" s="7" t="str">
        <x:v>承認・例外対応・停止・復帰の境界は未確認</x:v>
      </x:c>
      <x:c r="M113" s="7" t="str">
        <x:v>2024原典抜粋：「Diverse technology Enshu」をテーマに掲げ、お客様の工場において多様化するモノづくりに対し、お客様の課題に合うソリューションを提案いたします。今回の展示あたっては、マシニングセンタを4台、溶接機を1台出展いたします。マシニングセンタでは、①ご好評を頂いている横形マシニングセンタGE480Hのバージョンアップモデル、②多品種混流生産向けに省力化、省人化技術提案として自動搬送付きマシニングセンタWE30Vとストッカーの組合せ例、③精密部品・半導体・医療関係向けに小型マシニングセンタSV130の5</x:v>
      </x:c>
      <x:c r="N113" s="7" t="str">
        <x:v>2026原典抜粋：「3つの技術の融合」をテーマに、エンシュウは「工作機械メーカー × SIer × 量産部品加工メーカー」の3つの技術と機能を融合し、製造現場が直面する「自動化」「デジタル化」「省エネ」の課題に新たな価値を提案します。 / 今回の展示では、①横形マシニングセンタJE50Sコンセプトモデルによる「工作機械×デジタル」、②Mobile Robotによるモノと情報をつなぐ物流自動化、③量産部品加工で培った生産性と品質を両立する“実践技術”をご紹</x:v>
      </x:c>
      <x:c r="O113" s="7" t="str">
        <x:v>両年原典あり・機能差未判定</x:v>
      </x:c>
      <x:c r="P113" s="7" t="str">
        <x:v>2026公式カタログ掲載・現地未確認</x:v>
      </x:c>
      <x:c r="Q113" s="7" t="str">
        <x:v>2026展示予定。既存製品・参考出展・構想等は原典で個別確認</x:v>
      </x:c>
      <x:c r="R113" s="7" t="str">
        <x:v>どの作業を自動化・支援するか、入力と判断・操作の範囲、適用条件と人の残作業、2024からの機能差、採用・受注・効果の実測を確認する。</x:v>
      </x:c>
      <x:c r="S113" s="7" t="str">
        <x:v>EEX-EXH-2026-0e942b9436bf5d6c
EEX-EXH-2024-1a36e44614911fa1</x:v>
      </x:c>
      <x:c r="T113" s="7" t="str">
        <x:v>EEX-EXH-2026-0e942b9436bf5d6c: https://www.jimtof.org/search/jp/ESdetails?e=fPfTIEegDHY
EEX-EXH-2024-1a36e44614911fa1: https://www.jimtof.org/2024/search/jp/ESdetails?e=3oUCCObcIv4</x:v>
      </x:c>
      <x:c r="U113" s="7" t="str">
        <x:v>出展説明の関連箇所に基づく一次分類</x:v>
      </x:c>
      <x:c r="V113" s="7"/>
      <x:c r="W113" s="7"/>
      <x:c r="X113" s="7"/>
      <x:c r="Y113" s="7"/>
      <x:c r="Z113" s="7"/>
      <x:c r="AA113" s="7"/>
      <x:c r="AB113" s="7"/>
    </x:row>
    <x:row r="114" ht="170" customHeight="1">
      <x:c r="A114" s="7" t="str">
        <x:v>AC042</x:v>
      </x:c>
      <x:c r="B114" s="20" t="str">
        <x:v>オーエスジー株式会社</x:v>
      </x:c>
      <x:c r="C114" s="7" t="str">
        <x:v>オーエスジーの最新技術を結集し、さまざまな被削材や加工環境に対応する</x:v>
      </x:c>
      <x:c r="D114" s="7" t="str">
        <x:v>W1070</x:v>
      </x:c>
      <x:c r="E114" s="7" t="str">
        <x:v>工場運用DX
自動化</x:v>
      </x:c>
      <x:c r="F114" s="7" t="str">
        <x:v>出展説明の関連用途（個別タスクの分解は未完了）</x:v>
      </x:c>
      <x:c r="G114" s="7" t="str">
        <x:v>出展説明に記載。実装位置の個別精査はカードの方式・未確認欄を参照</x:v>
      </x:c>
      <x:c r="H114" s="7" t="str">
        <x:v>原典抜粋：オーエスジーは、自動化、省人化を通じ、環境配慮につながる製品を提案します。 / 硬脆材加工用工具「６ＣｘＯＳＧ」、工具管理DX「ＭＯＮＯｌｉｔｈｂｏｘ（モノリスボックス）」、環境配慮型工具、精密・微細工具、ダイヤモンド工具、転造工具</x:v>
      </x:c>
      <x:c r="I114" s="7" t="str">
        <x:v>個別入力の追加確認が必要</x:v>
      </x:c>
      <x:c r="J114" s="7" t="str">
        <x:v>原典抜粋：オーエスジーは、自動化、省人化を通じ、環境配慮につながる製品を提案します。 / 硬脆材加工用工具「６ＣｘＯＳＧ」、工具管理DX「ＭＯＮＯｌｉｔｈｂｏｘ（モノリスボックス）」、環境配慮型工具、精密・微細工具、ダイヤモンド工具、転造工具</x:v>
      </x:c>
      <x:c r="K114" s="7" t="str">
        <x:v>オーエスジーは、自動化、省人化を通じ、環境配慮につながる製品を提案します。 / 硬脆材加工用工具「６ＣｘＯＳＧ」、工具管理DX「ＭＯＮＯｌｉｔｈｂｏｘ（モノリスボックス）」、環境配慮型工具、精密・微細工具、ダイヤモンド工具、転造工具</x:v>
      </x:c>
      <x:c r="L114" s="7" t="str">
        <x:v>承認・例外対応・停止・復帰の境界は未確認</x:v>
      </x:c>
      <x:c r="M114" s="7" t="str">
        <x:v>2024原典抜粋：オーエスジーは、自動化、省人化を通じ、環境配慮につながる製品を提案します。精密・微細加工、自動車、航空機、金型に関連する切削工具を展示します。難削材から非鉄金属まで幅広い被削材に対応し、多様化するモノづくりのニーズにお応えする新製品と最新の加工技術の提案をぜひご覧ください。 Ａブランド工具「Ａタップ」 ・ 「Ａドリル」 ・ 「Ａエンドミル」 ・ 「Ａスレッドミル」、硬脆材加工用工具「6C ｘ OSG」、工具自動販売機「MONOlithbox（モノリスボックス）」、環境配慮型工具、精密・微細工具、ダイヤモンド工具、ツ</x:v>
      </x:c>
      <x:c r="N114" s="7" t="str">
        <x:v>2026原典抜粋：オーエスジーは、自動化、省人化を通じ、環境配慮につながる製品を提案します。 / 硬脆材加工用工具「６ＣｘＯＳＧ」、工具管理DX「ＭＯＮＯｌｉｔｈｂｏｘ（モノリスボックス）」、環境配慮型工具、精密・微細工具、ダイヤモンド工具、転造工具</x:v>
      </x:c>
      <x:c r="O114" s="7" t="str">
        <x:v>両年原典あり・機能差未判定</x:v>
      </x:c>
      <x:c r="P114" s="7" t="str">
        <x:v>2026公式カタログ掲載・現地未確認</x:v>
      </x:c>
      <x:c r="Q114" s="7" t="str">
        <x:v>2026展示予定。既存製品・参考出展・構想等は原典で個別確認</x:v>
      </x:c>
      <x:c r="R114" s="7" t="str">
        <x:v>どの作業を自動化・支援するか、入力と判断・操作の範囲、適用条件と人の残作業、2024からの機能差、採用・受注・効果の実測を確認する。</x:v>
      </x:c>
      <x:c r="S114" s="7" t="str">
        <x:v>EEX-EXH-2026-89ee86275a54f434
EEX-EXH-2024-9a837f72519b8764</x:v>
      </x:c>
      <x:c r="T114" s="7" t="str">
        <x:v>EEX-EXH-2026-89ee86275a54f434: https://www.jimtof.org/search/jp/ESdetails?e=AooPnMJlHW4
EEX-EXH-2024-9a837f72519b8764: https://www.jimtof.org/2024/search/jp/ESdetails?e=soucpoaRRyI</x:v>
      </x:c>
      <x:c r="U114" s="7" t="str">
        <x:v>出展説明の関連箇所に基づく一次分類</x:v>
      </x:c>
      <x:c r="V114" s="7"/>
      <x:c r="W114" s="7"/>
      <x:c r="X114" s="7"/>
      <x:c r="Y114" s="7"/>
      <x:c r="Z114" s="7"/>
      <x:c r="AA114" s="7"/>
      <x:c r="AB114" s="7"/>
    </x:row>
    <x:row r="115" ht="170" customHeight="1">
      <x:c r="A115" s="7" t="str">
        <x:v>AC043</x:v>
      </x:c>
      <x:c r="B115" s="20" t="str">
        <x:v>株式会社オーエム製作所</x:v>
      </x:c>
      <x:c r="C115" s="7" t="str">
        <x:v>CNC立型ターニングセンタ　VTLex1100M</x:v>
      </x:c>
      <x:c r="D115" s="7" t="str">
        <x:v>E2019</x:v>
      </x:c>
      <x:c r="E115" s="7" t="str">
        <x:v>自動化</x:v>
      </x:c>
      <x:c r="F115" s="7" t="str">
        <x:v>出展説明の関連用途（個別タスクの分解は未完了）</x:v>
      </x:c>
      <x:c r="G115" s="7" t="str">
        <x:v>出展説明に記載。実装位置の個別精査はカードの方式・未確認欄を参照</x:v>
      </x:c>
      <x:c r="H115" s="7" t="str">
        <x:v>原典抜粋：テーブル径Φ1100㎜のCNC立型ターニングセンタVTLex1100Mを実機展示致します。 / 深穴内径加工に最適なラム型刃物台の特長を生かした円筒型ワーク加工の工程集約をテーマに省人化、無人化を実現する付加機能付属しております。 / 付加オプションとなる円筒研削機能をさらに充実化し、ワーク上端面の研削にも対応を致しました。 / 又、開発ブースでは使い勝手を追求し独自開発したシン対話機能の他、トラブルの早期復旧に役立つマシン映像レコーデ</x:v>
      </x:c>
      <x:c r="I115" s="7" t="str">
        <x:v>個別入力の追加確認が必要</x:v>
      </x:c>
      <x:c r="J115" s="7" t="str">
        <x:v>原典抜粋：テーブル径Φ1100㎜のCNC立型ターニングセンタVTLex1100Mを実機展示致します。 / 深穴内径加工に最適なラム型刃物台の特長を生かした円筒型ワーク加工の工程集約をテーマに省人化、無人化を実現する付加機能付属しております。 / 付加オプションとなる円筒研削機能をさらに充実化し、ワーク上端面の研削にも対応を致しました。 / 又、開発ブースでは使い勝手を追求し独自開発したシン対話機能の他、トラブルの早期復旧に役立つマシン映像レコーデ</x:v>
      </x:c>
      <x:c r="K115" s="7" t="str">
        <x:v>テーブル径Φ1100㎜のCNC立型ターニングセンタVTLex1100Mを実機展示致します。 / 深穴内径加工に最適なラム型刃物台の特長を生かした円筒型ワーク加工の工程集約をテーマに省人化、無人化を実現する付加機能付属しております。 / 付加オプションとなる円筒研削機能をさらに充実化し、ワーク上端面の研削にも対応を致しました。 / 又、開発ブースでは使い勝手を追求し独自開発したシン対話機能の他、トラブルの早期復旧に役立つマシン映像レコーデ</x:v>
      </x:c>
      <x:c r="L115" s="7" t="str">
        <x:v>承認・例外対応・停止・復帰の境界は未確認</x:v>
      </x:c>
      <x:c r="M115" s="7" t="str">
        <x:v>2024原典抜粋：テーブル径Φ1100㎜のターニングセンタに研削仕様を付属したVTLex1100M CNC立形ターニングセンタを出展。展示機では研削機能の他、パレットの交換精度を向上させた高精度APCを搭載しており、工程集約による高い生産性と省人化を提案します。又、開発ブースでは切粉処理作業の省人化につながるシステムや遠隔監視機能を紹介します。 VTLex1100M型CNC立形ターニングセンタ（APC/研削仕様）</x:v>
      </x:c>
      <x:c r="N115" s="7" t="str">
        <x:v>2026原典抜粋：テーブル径Φ1100㎜のCNC立型ターニングセンタVTLex1100Mを実機展示致します。 / 深穴内径加工に最適なラム型刃物台の特長を生かした円筒型ワーク加工の工程集約をテーマに省人化、無人化を実現する付加機能付属しております。 / 付加オプションとなる円筒研削機能をさらに充実化し、ワーク上端面の研削にも対応を致しました。 / 又、開発ブースでは使い勝手を追求し独自開発したシン対話機能の他、トラブルの早期復旧に役立つマシン映像レコーデ</x:v>
      </x:c>
      <x:c r="O115" s="7" t="str">
        <x:v>両年原典あり・機能差未判定</x:v>
      </x:c>
      <x:c r="P115" s="7" t="str">
        <x:v>2026公式カタログ掲載・現地未確認</x:v>
      </x:c>
      <x:c r="Q115" s="7" t="str">
        <x:v>2026展示予定。既存製品・参考出展・構想等は原典で個別確認</x:v>
      </x:c>
      <x:c r="R115" s="7" t="str">
        <x:v>どの作業を自動化・支援するか、入力と判断・操作の範囲、適用条件と人の残作業、2024からの機能差、採用・受注・効果の実測を確認する。</x:v>
      </x:c>
      <x:c r="S115" s="7" t="str">
        <x:v>EEX-EXH-2026-75e6c92f1fdf0cb3
EEX-EXH-2024-28a9d29b79b39b08</x:v>
      </x:c>
      <x:c r="T115" s="7" t="str">
        <x:v>EEX-EXH-2026-75e6c92f1fdf0cb3: https://www.jimtof.org/search/jp/ESdetails?e=TbC314Ifhvc
EEX-EXH-2024-28a9d29b79b39b08: https://www.jimtof.org/2024/search/jp/ESdetails?e=TBbKSqJMWQI</x:v>
      </x:c>
      <x:c r="U115" s="7" t="str">
        <x:v>出展説明の関連箇所に基づく一次分類</x:v>
      </x:c>
      <x:c r="V115" s="7"/>
      <x:c r="W115" s="7"/>
      <x:c r="X115" s="7"/>
      <x:c r="Y115" s="7"/>
      <x:c r="Z115" s="7"/>
      <x:c r="AA115" s="7"/>
      <x:c r="AB115" s="7"/>
    </x:row>
    <x:row r="116" ht="170" customHeight="1">
      <x:c r="A116" s="7" t="str">
        <x:v>AC045</x:v>
      </x:c>
      <x:c r="B116" s="20" t="str">
        <x:v>大野精工株式会社</x:v>
      </x:c>
      <x:c r="C116" s="7" t="str">
        <x:v>モリブデンワイヤ放電加工機【HG400】</x:v>
      </x:c>
      <x:c r="D116" s="7" t="str">
        <x:v>E7075</x:v>
      </x:c>
      <x:c r="E116" s="7" t="str">
        <x:v>自動化</x:v>
      </x:c>
      <x:c r="F116" s="7" t="str">
        <x:v>出展説明の関連用途（個別タスクの分解は未完了）</x:v>
      </x:c>
      <x:c r="G116" s="7" t="str">
        <x:v>出展説明に記載。実装位置の個別精査はカードの方式・未確認欄を参照</x:v>
      </x:c>
      <x:c r="H116" s="7" t="str">
        <x:v>原典抜粋：【自動結線・高速加工・低コスト】 / 今回展示する新機種「HG400」では、これまでモリブデンワイヤでは実現が難しかった「自動結線機能」を新たに搭載。 / ワイヤ結線を自動化することで、穴通し等の段取り時間を短縮し、無人・連続運転による生産性の向上を実現します。 / この自動結線機能を備えたモリブデンワイヤ放電加工機は、日本初上陸となります。</x:v>
      </x:c>
      <x:c r="I116" s="7" t="str">
        <x:v>個別入力の追加確認が必要</x:v>
      </x:c>
      <x:c r="J116" s="7" t="str">
        <x:v>原典抜粋：【自動結線・高速加工・低コスト】 / 今回展示する新機種「HG400」では、これまでモリブデンワイヤでは実現が難しかった「自動結線機能」を新たに搭載。 / ワイヤ結線を自動化することで、穴通し等の段取り時間を短縮し、無人・連続運転による生産性の向上を実現します。 / この自動結線機能を備えたモリブデンワイヤ放電加工機は、日本初上陸となります。</x:v>
      </x:c>
      <x:c r="K116" s="7" t="str">
        <x:v>【自動結線・高速加工・低コスト】 / 今回展示する新機種「HG400」では、これまでモリブデンワイヤでは実現が難しかった「自動結線機能」を新たに搭載。 / ワイヤ結線を自動化することで、穴通し等の段取り時間を短縮し、無人・連続運転による生産性の向上を実現します。 / この自動結線機能を備えたモリブデンワイヤ放電加工機は、日本初上陸となります。</x:v>
      </x:c>
      <x:c r="L116" s="7" t="str">
        <x:v>承認・例外対応・停止・復帰の境界は未確認</x:v>
      </x:c>
      <x:c r="M116" s="7" t="str">
        <x:v>2024原典抜粋：モリブデンワイヤ放電加工機HB400・TX150を展示 多孔質金属や超鋼/チタン/ニッケル合金/導電性セラミック/SiCなどの難削材の加工が容易であり専用CAD／CAMを搭載により、プログラム作成から加工までをシームレスに実行可能。 モリブデンワイヤは最大100時間（機種、加工条件により変動）の連続加工を可能にし、ランニングコストも抑えられます。また、段取り作業効率化に特化した空圧脱着治具、レベリングベース、ワーククランプ治具も展示いたします。 この機会に、是非弊社ブースにお立ち寄りください。 モリブデンワイヤ放電</x:v>
      </x:c>
      <x:c r="N116" s="7" t="str">
        <x:v>2026原典抜粋：【自動結線・高速加工・低コスト】 / 今回展示する新機種「HG400」では、これまでモリブデンワイヤでは実現が難しかった「自動結線機能」を新たに搭載。 / ワイヤ結線を自動化することで、穴通し等の段取り時間を短縮し、無人・連続運転による生産性の向上を実現します。 / この自動結線機能を備えたモリブデンワイヤ放電加工機は、日本初上陸となります。</x:v>
      </x:c>
      <x:c r="O116" s="7" t="str">
        <x:v>両年原典あり・機能差未判定</x:v>
      </x:c>
      <x:c r="P116" s="7" t="str">
        <x:v>2026公式カタログ掲載・現地未確認</x:v>
      </x:c>
      <x:c r="Q116" s="7" t="str">
        <x:v>2026展示予定。既存製品・参考出展・構想等は原典で個別確認</x:v>
      </x:c>
      <x:c r="R116" s="7" t="str">
        <x:v>どの作業を自動化・支援するか、入力と判断・操作の範囲、適用条件と人の残作業、2024からの機能差、採用・受注・効果の実測を確認する。</x:v>
      </x:c>
      <x:c r="S116" s="7" t="str">
        <x:v>EEX-EXH-2026-426a2f9fe17c70e9
EEX-EXH-2024-c6d534ca236fdb91</x:v>
      </x:c>
      <x:c r="T116" s="7" t="str">
        <x:v>EEX-EXH-2026-426a2f9fe17c70e9: https://www.jimtof.org/search/jp/ESdetails?e=BUXIodTELh0
EEX-EXH-2024-c6d534ca236fdb91: https://www.jimtof.org/2024/search/jp/ESdetails?e=tcU_Iu5eoko</x:v>
      </x:c>
      <x:c r="U116" s="7" t="str">
        <x:v>出展説明の関連箇所に基づく一次分類</x:v>
      </x:c>
      <x:c r="V116" s="7"/>
      <x:c r="W116" s="7"/>
      <x:c r="X116" s="7"/>
      <x:c r="Y116" s="7"/>
      <x:c r="Z116" s="7"/>
      <x:c r="AA116" s="7"/>
      <x:c r="AB116" s="7"/>
    </x:row>
    <x:row r="117" ht="170" customHeight="1">
      <x:c r="A117" s="7" t="str">
        <x:v>AC046</x:v>
      </x:c>
      <x:c r="B117" s="20" t="str">
        <x:v>Orbray株式会社</x:v>
      </x:c>
      <x:c r="C117" s="7" t="str">
        <x:v>光干渉式内周面測定機OrbrayORBID</x:v>
      </x:c>
      <x:c r="D117" s="7" t="str">
        <x:v>E7023</x:v>
      </x:c>
      <x:c r="E117" s="7" t="str">
        <x:v>自動化</x:v>
      </x:c>
      <x:c r="F117" s="7" t="str">
        <x:v>出展説明の関連用途（個別タスクの分解は未完了）</x:v>
      </x:c>
      <x:c r="G117" s="7" t="str">
        <x:v>出展説明に記載。実装位置の個別精査はカードの方式・未確認欄を参照</x:v>
      </x:c>
      <x:c r="H117" s="7" t="str">
        <x:v>原典抜粋：自動調心機能によりイージーセッティング。 / 内径、真円度、円筒度、3D形状、表面性状など内周面の各種測定を集約でき、OK/NG自動判定や測定値自動保存、点群データ出力により、全数測定やフィードバック加工等へも適用可能です。 / ●協働ロボットを活用した多姿勢自動測定デモを関東初出展! / 光プローブセパレートタイプ(協働ロボットによる自動測定デモ)</x:v>
      </x:c>
      <x:c r="I117" s="7" t="str">
        <x:v>個別入力の追加確認が必要</x:v>
      </x:c>
      <x:c r="J117" s="7" t="str">
        <x:v>原典抜粋：自動調心機能によりイージーセッティング。 / 内径、真円度、円筒度、3D形状、表面性状など内周面の各種測定を集約でき、OK/NG自動判定や測定値自動保存、点群データ出力により、全数測定やフィードバック加工等へも適用可能です。 / ●協働ロボットを活用した多姿勢自動測定デモを関東初出展! / 光プローブセパレートタイプ(協働ロボットによる自動測定デモ)</x:v>
      </x:c>
      <x:c r="K117" s="7" t="str">
        <x:v>自動調心機能によりイージーセッティング。 / 内径、真円度、円筒度、3D形状、表面性状など内周面の各種測定を集約でき、OK/NG自動判定や測定値自動保存、点群データ出力により、全数測定やフィードバック加工等へも適用可能です。 / ●協働ロボットを活用した多姿勢自動測定デモを関東初出展! / 光プローブセパレートタイプ(協働ロボットによる自動測定デモ)</x:v>
      </x:c>
      <x:c r="L117" s="7" t="str">
        <x:v>承認・例外対応・停止・復帰の境界は未確認</x:v>
      </x:c>
      <x:c r="M117" s="7" t="str">
        <x:v>2024原典抜粋：～内周面の精密測定で自動車部品・精密加工の次世代品質に貢献します～ ・内径φ1.1mm以上の細穴を非破壊・非接触測定が可能 ・高速且つ高精度測定 繰返し測定精度σ=0.02μm～0.2μmの高精度 ・非接触測定の為、セッティングフリー測定 プローブ芯ズレを自動調心 ・多項目同時測定（内径、真円度、円筒度、真直度、3D形状・・・） ～小型モーター及びユニット製品～ ・コアレス/ブラシレスモーター ・サーボドライバー ・小型ダイアフラムポンプ ～開発品、参考出展～ ・60k～80k rpm高速モーター ・波動 / 3K</x:v>
      </x:c>
      <x:c r="N117" s="7" t="str">
        <x:v>2026原典抜粋：自動調心機能によりイージーセッティング。 / 内径、真円度、円筒度、3D形状、表面性状など内周面の各種測定を集約でき、OK/NG自動判定や測定値自動保存、点群データ出力により、全数測定やフィードバック加工等へも適用可能です。 / ●協働ロボットを活用した多姿勢自動測定デモを関東初出展! / 光プローブセパレートタイプ(協働ロボットによる自動測定デモ)</x:v>
      </x:c>
      <x:c r="O117" s="7" t="str">
        <x:v>両年原典あり・機能差未判定</x:v>
      </x:c>
      <x:c r="P117" s="7" t="str">
        <x:v>2026公式カタログ掲載・現地未確認</x:v>
      </x:c>
      <x:c r="Q117" s="7" t="str">
        <x:v>2026展示予定。既存製品・参考出展・構想等は原典で個別確認</x:v>
      </x:c>
      <x:c r="R117" s="7" t="str">
        <x:v>どの作業を自動化・支援するか、入力と判断・操作の範囲、適用条件と人の残作業、2024からの機能差、採用・受注・効果の実測を確認する。</x:v>
      </x:c>
      <x:c r="S117" s="7" t="str">
        <x:v>EEX-EXH-2026-ba1fb022d9f4e67c
EEX-EXH-2024-1f57495bed495782</x:v>
      </x:c>
      <x:c r="T117" s="7" t="str">
        <x:v>EEX-EXH-2026-ba1fb022d9f4e67c: https://www.jimtof.org/search/jp/ESdetails?e=sqqEKtPeqfw
EEX-EXH-2024-1f57495bed495782: https://www.jimtof.org/2024/search/jp/ESdetails?e=QLWco7ONKgI</x:v>
      </x:c>
      <x:c r="U117" s="7" t="str">
        <x:v>出展説明の関連箇所に基づく一次分類</x:v>
      </x:c>
      <x:c r="V117" s="7"/>
      <x:c r="W117" s="7"/>
      <x:c r="X117" s="7"/>
      <x:c r="Y117" s="7"/>
      <x:c r="Z117" s="7"/>
      <x:c r="AA117" s="7"/>
      <x:c r="AB117" s="7"/>
    </x:row>
    <x:row r="118" ht="170" customHeight="1">
      <x:c r="A118" s="7" t="str">
        <x:v>AC047</x:v>
      </x:c>
      <x:c r="B118" s="20" t="str">
        <x:v>オープン・マインド・テクノロジーズ・ジャパン株式会社</x:v>
      </x:c>
      <x:c r="C118" s="7" t="str">
        <x:v>hyperMILL CAD/CAM</x:v>
      </x:c>
      <x:c r="D118" s="7" t="str">
        <x:v>S4007</x:v>
      </x:c>
      <x:c r="E118" s="7" t="str">
        <x:v>設計・製造DX
自動化</x:v>
      </x:c>
      <x:c r="F118" s="7" t="str">
        <x:v>出展説明の関連用途（個別タスクの分解は未完了）</x:v>
      </x:c>
      <x:c r="G118" s="7" t="str">
        <x:v>出展説明に記載。実装位置の個別精査はカードの方式・未確認欄を参照</x:v>
      </x:c>
      <x:c r="H118" s="7" t="str">
        <x:v>原典抜粋：プログラミングの自動化にも力を入れており、他社とは一線を画すOPEN MINDが考える自動化のコンセプトも紹介します。 / hyperMILL CAD/CAM</x:v>
      </x:c>
      <x:c r="I118" s="7" t="str">
        <x:v>個別入力の追加確認が必要</x:v>
      </x:c>
      <x:c r="J118" s="7" t="str">
        <x:v>原典抜粋：プログラミングの自動化にも力を入れており、他社とは一線を画すOPEN MINDが考える自動化のコンセプトも紹介します。 / hyperMILL CAD/CAM</x:v>
      </x:c>
      <x:c r="K118" s="7" t="str">
        <x:v>プログラミングの自動化にも力を入れており、他社とは一線を画すOPEN MINDが考える自動化のコンセプトも紹介します。 / hyperMILL CAD/CAM</x:v>
      </x:c>
      <x:c r="L118" s="7" t="str">
        <x:v>承認・例外対応・停止・復帰の境界は未確認</x:v>
      </x:c>
      <x:c r="M118" s="7" t="str">
        <x:v>2024原典抜粋：世界中で高い評価を得ている5軸加工機能だけでなく、2～3D加工・旋削加工・積層加工といった包括的な機能を備えるCAD/CAMソフトウエア「hyperMILL」。特にここ数年で大きな進化を遂げた各種高精度加工機能は高い仕上がり面品位を約束。加えて様々なプロセスの自動化を図るためのツールも複数搭載。また、ポストプロセッサーとNCシミュレーション機能を併せ持ったアプリケーション「VIRTUAL Machining」は各工作機械の構造やストロークリミットを加味したNCデータの最適化や、工作機械側制御装置との間における双方向</x:v>
      </x:c>
      <x:c r="N118" s="7" t="str">
        <x:v>2026原典抜粋：プログラミングの自動化にも力を入れており、他社とは一線を画すOPEN MINDが考える自動化のコンセプトも紹介します。 / hyperMILL CAD/CAM</x:v>
      </x:c>
      <x:c r="O118" s="7" t="str">
        <x:v>両年原典あり・機能差未判定</x:v>
      </x:c>
      <x:c r="P118" s="7" t="str">
        <x:v>2026公式カタログ掲載・現地未確認</x:v>
      </x:c>
      <x:c r="Q118" s="7" t="str">
        <x:v>2026展示予定。既存製品・参考出展・構想等は原典で個別確認</x:v>
      </x:c>
      <x:c r="R118" s="7" t="str">
        <x:v>どの作業を自動化・支援するか、入力と判断・操作の範囲、適用条件と人の残作業、2024からの機能差、採用・受注・効果の実測を確認する。</x:v>
      </x:c>
      <x:c r="S118" s="7" t="str">
        <x:v>EEX-EXH-2026-f3eec5560e813e09
EEX-EXH-2024-5545fdc3dc1c23e3
EEX-EXH-2024-919800b94af93a57</x:v>
      </x:c>
      <x:c r="T118" s="7" t="str">
        <x:v>EEX-EXH-2026-f3eec5560e813e09: https://www.jimtof.org/search/jp/ESdetails?e=A5CG9Q83cis
EEX-EXH-2024-5545fdc3dc1c23e3: https://www.jimtof.org/2024/search/jp/ESdetails?e=U6gS--b_Z9A
EEX-EXH-2024-919800b94af93a57: https://www.jimtof.org/2024/search/jp/ESdetails?e=rMnHbjaWmnQ</x:v>
      </x:c>
      <x:c r="U118" s="7" t="str">
        <x:v>出展説明の関連箇所に基づく一次分類</x:v>
      </x:c>
      <x:c r="V118" s="7"/>
      <x:c r="W118" s="7"/>
      <x:c r="X118" s="7"/>
      <x:c r="Y118" s="7"/>
      <x:c r="Z118" s="7"/>
      <x:c r="AA118" s="7"/>
      <x:c r="AB118" s="7"/>
    </x:row>
    <x:row r="119" ht="170" customHeight="1">
      <x:c r="A119" s="7" t="str">
        <x:v>AC048</x:v>
      </x:c>
      <x:c r="B119" s="20" t="str">
        <x:v>株式会社大宮マシナリー</x:v>
      </x:c>
      <x:c r="C119" s="7" t="str">
        <x:v>芯なし研削盤（センタレス研削盤）</x:v>
      </x:c>
      <x:c r="D119" s="7" t="str">
        <x:v>E7049</x:v>
      </x:c>
      <x:c r="E119" s="7" t="str">
        <x:v>自動化</x:v>
      </x:c>
      <x:c r="F119" s="7" t="str">
        <x:v>出展説明の関連用途（個別タスクの分解は未完了）</x:v>
      </x:c>
      <x:c r="G119" s="7" t="str">
        <x:v>出展説明に記載。実装位置の個別精査はカードの方式・未確認欄を参照</x:v>
      </x:c>
      <x:c r="H119" s="7" t="str">
        <x:v>原典抜粋：さらに弊社の強みである汎用標準機をベースとした多彩な自動化システムや、独自のオリジナルオプションなど、これからの時代を勝ち抜くための最適な生産設備をご提案いたします。</x:v>
      </x:c>
      <x:c r="I119" s="7" t="str">
        <x:v>個別入力の追加確認が必要</x:v>
      </x:c>
      <x:c r="J119" s="7" t="str">
        <x:v>原典抜粋：さらに弊社の強みである汎用標準機をベースとした多彩な自動化システムや、独自のオリジナルオプションなど、これからの時代を勝ち抜くための最適な生産設備をご提案いたします。</x:v>
      </x:c>
      <x:c r="K119" s="7" t="str">
        <x:v>さらに弊社の強みである汎用標準機をベースとした多彩な自動化システムや、独自のオリジナルオプションなど、これからの時代を勝ち抜くための最適な生産設備をご提案いたします。</x:v>
      </x:c>
      <x:c r="L119" s="7" t="str">
        <x:v>承認・例外対応・停止・復帰の境界は未確認</x:v>
      </x:c>
      <x:c r="M119" s="7" t="str">
        <x:v>2024原典抜粋：芯なし研削盤（センタレス研削盤）の専業メーカーとして長年の実績と経験から得た高度な技術力を結集したベストセラーモデルを出展いたします。 センタレス研削加工に求められる安定した加工精度と機械運用管理の容易性を両立したモデルとなっております。 弊社の強みである汎用の標準機をベースとした様々な自動化システムのご提案と、弊社オリジナルの各種オプションなど、これからの時代に寄与できる生産設備のご提供をさせていただきます。 センタレス研削盤の加工に関する各種ご相談ご要望や機械設備導入のご検討など、皆様のご来場を心よりお待ちして</x:v>
      </x:c>
      <x:c r="N119" s="7" t="str">
        <x:v>2026原典抜粋：さらに弊社の強みである汎用標準機をベースとした多彩な自動化システムや、独自のオリジナルオプションなど、これからの時代を勝ち抜くための最適な生産設備をご提案いたします。</x:v>
      </x:c>
      <x:c r="O119" s="7" t="str">
        <x:v>両年原典あり・機能差未判定</x:v>
      </x:c>
      <x:c r="P119" s="7" t="str">
        <x:v>2026公式カタログ掲載・現地未確認</x:v>
      </x:c>
      <x:c r="Q119" s="7" t="str">
        <x:v>2026展示予定。既存製品・参考出展・構想等は原典で個別確認</x:v>
      </x:c>
      <x:c r="R119" s="7" t="str">
        <x:v>どの作業を自動化・支援するか、入力と判断・操作の範囲、適用条件と人の残作業、2024からの機能差、採用・受注・効果の実測を確認する。</x:v>
      </x:c>
      <x:c r="S119" s="7" t="str">
        <x:v>EEX-EXH-2026-6703fc63c6ab91c5
EEX-EXH-2024-278bc5026f868b3d</x:v>
      </x:c>
      <x:c r="T119" s="7" t="str">
        <x:v>EEX-EXH-2026-6703fc63c6ab91c5: https://www.jimtof.org/search/jp/ESdetails?e=q6gAUajA3gE
EEX-EXH-2024-278bc5026f868b3d: https://www.jimtof.org/2024/search/jp/ESdetails?e=hLcVRJcT9oM</x:v>
      </x:c>
      <x:c r="U119" s="7" t="str">
        <x:v>出展説明の関連箇所に基づく一次分類</x:v>
      </x:c>
      <x:c r="V119" s="7"/>
      <x:c r="W119" s="7"/>
      <x:c r="X119" s="7"/>
      <x:c r="Y119" s="7"/>
      <x:c r="Z119" s="7"/>
      <x:c r="AA119" s="7"/>
      <x:c r="AB119" s="7"/>
    </x:row>
    <x:row r="120" ht="170" customHeight="1">
      <x:c r="A120" s="7" t="str">
        <x:v>AC049</x:v>
      </x:c>
      <x:c r="B120" s="20" t="str">
        <x:v>株式会社岡本工作機械製作所</x:v>
      </x:c>
      <x:c r="C120" s="7" t="str">
        <x:v>今回の出展では、ものづくり現場における「省エネ」「省人化」「省スペース化」の技術を駆使した、【最適化（Optimization）】をメインコンセプトに</x:v>
      </x:c>
      <x:c r="D120" s="7" t="str">
        <x:v>E7095</x:v>
      </x:c>
      <x:c r="E120" s="7" t="str">
        <x:v>自動化</x:v>
      </x:c>
      <x:c r="F120" s="7" t="str">
        <x:v>出展説明の関連用途（個別タスクの分解は未完了）</x:v>
      </x:c>
      <x:c r="G120" s="7" t="str">
        <x:v>出展説明に記載。実装位置の個別精査はカードの方式・未確認欄を参照</x:v>
      </x:c>
      <x:c r="H120" s="7" t="str">
        <x:v>原典抜粋：今回の出展では、ものづくり現場における「省エネ」「省人化」「省スペース化」の技術を駆使した、【最適化（Optimization）】をメインコンセプトに掲げ、全4機種の最新ソリューションをご提案いたします。 / 創業90年を超える研削盤メーカーとしての卓越した技術力を結集し、 / 次世代のスマートファクトリーへつながる最適な製品と加工技術をご紹介いたします。</x:v>
      </x:c>
      <x:c r="I120" s="7" t="str">
        <x:v>個別入力の追加確認が必要</x:v>
      </x:c>
      <x:c r="J120" s="7" t="str">
        <x:v>原典抜粋：今回の出展では、ものづくり現場における「省エネ」「省人化」「省スペース化」の技術を駆使した、【最適化（Optimization）】をメインコンセプトに掲げ、全4機種の最新ソリューションをご提案いたします。 / 創業90年を超える研削盤メーカーとしての卓越した技術力を結集し、 / 次世代のスマートファクトリーへつながる最適な製品と加工技術をご紹介いたします。</x:v>
      </x:c>
      <x:c r="K120" s="7" t="str">
        <x:v>今回の出展では、ものづくり現場における「省エネ」「省人化」「省スペース化」の技術を駆使した、【最適化（Optimization）】をメインコンセプトに掲げ、全4機種の最新ソリューションをご提案いたします。 / 創業90年を超える研削盤メーカーとしての卓越した技術力を結集し、 / 次世代のスマートファクトリーへつながる最適な製品と加工技術をご紹介いたします。</x:v>
      </x:c>
      <x:c r="L120" s="7" t="str">
        <x:v>承認・例外対応・停止・復帰の境界は未確認</x:v>
      </x:c>
      <x:c r="M120" s="7" t="str">
        <x:v>2024原典抜粋：JIMTOF2024のテーマは「EVと脆性材」。EVのコア部品を製造するために必要な超精密部品の研削盤シリーズ、半導体産業に欠かすことの出来ない脆性材加工に特化した研削盤を展示します。また機械本体だけではなく、ワークや付属品、搬送用ロボットなども展示いたします。研削加工の今後を切り開く「研削革命」をぜひ現地でご覧ください。 ・超精密門形平面研削盤UPG208CHLi2 ・CNC超精密成形研削盤UPZ210LiⅡ ・CNC超精密平面研削盤UPG64CALi ・グラインディングセンタUGM64GC／自動搬送ロボット ・</x:v>
      </x:c>
      <x:c r="N120" s="7" t="str">
        <x:v>2026原典抜粋：今回の出展では、ものづくり現場における「省エネ」「省人化」「省スペース化」の技術を駆使した、【最適化（Optimization）】をメインコンセプトに掲げ、全4機種の最新ソリューションをご提案いたします。 / 創業90年を超える研削盤メーカーとしての卓越した技術力を結集し、 / 次世代のスマートファクトリーへつながる最適な製品と加工技術をご紹介いたします。</x:v>
      </x:c>
      <x:c r="O120" s="7" t="str">
        <x:v>両年原典あり・機能差未判定</x:v>
      </x:c>
      <x:c r="P120" s="7" t="str">
        <x:v>2026公式カタログ掲載・現地未確認</x:v>
      </x:c>
      <x:c r="Q120" s="7" t="str">
        <x:v>2026展示予定。既存製品・参考出展・構想等は原典で個別確認</x:v>
      </x:c>
      <x:c r="R120" s="7" t="str">
        <x:v>どの作業を自動化・支援するか、入力と判断・操作の範囲、適用条件と人の残作業、2024からの機能差、採用・受注・効果の実測を確認する。</x:v>
      </x:c>
      <x:c r="S120" s="7" t="str">
        <x:v>EEX-EXH-2026-6c8f6fc8882f6c9c
EEX-EXH-2024-4391c0f0cd784f28</x:v>
      </x:c>
      <x:c r="T120" s="7" t="str">
        <x:v>EEX-EXH-2026-6c8f6fc8882f6c9c: https://www.jimtof.org/search/jp/ESdetails?e=cWqFNxFT9X8
EEX-EXH-2024-4391c0f0cd784f28: https://www.jimtof.org/2024/search/jp/ESdetails?e=bxF5MevR44k</x:v>
      </x:c>
      <x:c r="U120" s="7" t="str">
        <x:v>出展説明の関連箇所に基づく一次分類</x:v>
      </x:c>
      <x:c r="V120" s="7"/>
      <x:c r="W120" s="7"/>
      <x:c r="X120" s="7"/>
      <x:c r="Y120" s="7"/>
      <x:c r="Z120" s="7"/>
      <x:c r="AA120" s="7"/>
      <x:c r="AB120" s="7"/>
    </x:row>
    <x:row r="121" ht="170" customHeight="1">
      <x:c r="A121" s="7" t="str">
        <x:v>AC050</x:v>
      </x:c>
      <x:c r="B121" s="20" t="str">
        <x:v>カトウ工機株式会社</x:v>
      </x:c>
      <x:c r="C121" s="7" t="str">
        <x:v>［リタップ専用ホルダ］</x:v>
      </x:c>
      <x:c r="D121" s="7" t="str">
        <x:v>W2038</x:v>
      </x:c>
      <x:c r="E121" s="7" t="str">
        <x:v>自動化</x:v>
      </x:c>
      <x:c r="F121" s="7" t="str">
        <x:v>出展説明の関連用途（個別タスクの分解は未完了）</x:v>
      </x:c>
      <x:c r="G121" s="7" t="str">
        <x:v>出展説明に記載。実装位置の個別精査はカードの方式・未確認欄を参照</x:v>
      </x:c>
      <x:c r="H121" s="7" t="str">
        <x:v>原典抜粋：［バリ取り自動化］手作業のバリ取り工程の自動化を提案いたします。 / 鋳造品や鍛造品など、寸法にバラつきのあるワークのバリ取り工程を自動化します。 / マシニングセンタ用・ロボット用をご用意しております。 / 自動供給ホルダもご用意しております。</x:v>
      </x:c>
      <x:c r="I121" s="7" t="str">
        <x:v>個別入力の追加確認が必要</x:v>
      </x:c>
      <x:c r="J121" s="7" t="str">
        <x:v>原典抜粋：［バリ取り自動化］手作業のバリ取り工程の自動化を提案いたします。 / 鋳造品や鍛造品など、寸法にバラつきのあるワークのバリ取り工程を自動化します。 / マシニングセンタ用・ロボット用をご用意しております。 / 自動供給ホルダもご用意しております。</x:v>
      </x:c>
      <x:c r="K121" s="7" t="str">
        <x:v>［バリ取り自動化］手作業のバリ取り工程の自動化を提案いたします。 / 鋳造品や鍛造品など、寸法にバラつきのあるワークのバリ取り工程を自動化します。 / マシニングセンタ用・ロボット用をご用意しております。 / 自動供給ホルダもご用意しております。</x:v>
      </x:c>
      <x:c r="L121" s="7" t="str">
        <x:v>承認・例外対応・停止・復帰の境界は未確認</x:v>
      </x:c>
      <x:c r="M121" s="7" t="str">
        <x:v>2024原典抜粋：カトウ工機は、タップ加工専用ホルダ、バリ取りホルダ、タッピングオイルを製造しております。 タップ加工改善：タップホルダ専門メーカーとして加工改善を提案いたします。 バリ取り自動化：手作業のバリ取り工程の自動化を提案いたします。 本展示会にて「リタップ専用ホルダ」を発表いたします。 また、ロボットでのバリ取りデモを実施いたします。 是非ブースにお越しください。お待ちしております。 [リタップ専用ホルダ] 【新製品】 加工済みのタップ穴に再加工できる専用ホルダです。 軸方向のフローティングでねじ位相を合わせ、径方向のフ</x:v>
      </x:c>
      <x:c r="N121" s="7" t="str">
        <x:v>2026原典抜粋：［バリ取り自動化］手作業のバリ取り工程の自動化を提案いたします。 / 鋳造品や鍛造品など、寸法にバラつきのあるワークのバリ取り工程を自動化します。 / マシニングセンタ用・ロボット用をご用意しております。 / 自動供給ホルダもご用意しております。</x:v>
      </x:c>
      <x:c r="O121" s="7" t="str">
        <x:v>両年原典あり・機能差未判定</x:v>
      </x:c>
      <x:c r="P121" s="7" t="str">
        <x:v>2026公式カタログ掲載・現地未確認</x:v>
      </x:c>
      <x:c r="Q121" s="7" t="str">
        <x:v>2026展示予定。既存製品・参考出展・構想等は原典で個別確認</x:v>
      </x:c>
      <x:c r="R121" s="7" t="str">
        <x:v>どの作業を自動化・支援するか、入力と判断・操作の範囲、適用条件と人の残作業、2024からの機能差、採用・受注・効果の実測を確認する。</x:v>
      </x:c>
      <x:c r="S121" s="7" t="str">
        <x:v>EEX-EXH-2026-024be58bd1c7d46f
EEX-EXH-2024-0e24d821c4b4141d</x:v>
      </x:c>
      <x:c r="T121" s="7" t="str">
        <x:v>EEX-EXH-2026-024be58bd1c7d46f: https://www.jimtof.org/search/jp/ESdetails?e=36Mstb-jm5Q
EEX-EXH-2024-0e24d821c4b4141d: https://www.jimtof.org/2024/search/jp/ESdetails?e=aokH1qewRBc</x:v>
      </x:c>
      <x:c r="U121" s="7" t="str">
        <x:v>出展説明の関連箇所に基づく一次分類</x:v>
      </x:c>
      <x:c r="V121" s="7"/>
      <x:c r="W121" s="7"/>
      <x:c r="X121" s="7"/>
      <x:c r="Y121" s="7"/>
      <x:c r="Z121" s="7"/>
      <x:c r="AA121" s="7"/>
      <x:c r="AB121" s="7"/>
    </x:row>
    <x:row r="122" ht="170" customHeight="1">
      <x:c r="A122" s="7" t="str">
        <x:v>AC051</x:v>
      </x:c>
      <x:c r="B122" s="20" t="str">
        <x:v>カネテック株式会社</x:v>
      </x:c>
      <x:c r="C122" s="7" t="str">
        <x:v>マグネットピンセット：AI・2Dカメラ・協働ロボット</x:v>
      </x:c>
      <x:c r="D122" s="7" t="str">
        <x:v>W2013</x:v>
      </x:c>
      <x:c r="E122" s="7" t="str">
        <x:v>フィジカルAI
検査・診断・予測AI
自動化</x:v>
      </x:c>
      <x:c r="F122" s="7" t="str">
        <x:v>小径ネジ・小部品のバラ積みピッキング</x:v>
      </x:c>
      <x:c r="G122" s="7" t="str">
        <x:v>2Dカメラ・磁気把持と協働ロボットのピッキングセル</x:v>
      </x:c>
      <x:c r="H122" s="7" t="str">
        <x:v>2D画像・磁気制御・ロボットで小部品を拾う</x:v>
      </x:c>
      <x:c r="I122" s="7" t="str">
        <x:v>小径ネジ・小部品、2Dカメラ画像、磁気ピンセット</x:v>
      </x:c>
      <x:c r="J122" s="7" t="str">
        <x:v>2026説明にAIを明示。ただし検出・把持点・重なり・再試行のどれをAIが判断するか未公開</x:v>
      </x:c>
      <x:c r="K122" s="7" t="str">
        <x:v>協働ロボットと磁気把持で山積み小部品を取り出す。整列は別の機械治具の提案</x:v>
      </x:c>
      <x:c r="L122" s="7" t="str">
        <x:v>事前準備：未記載：対象材種・品種、画像学習・磁力の設定／承認：未記載：自動実行前の確認・誤把持の採否／例外対応：未記載：複数個吸着・空振り・取り落としからの復帰</x:v>
      </x:c>
      <x:c r="M122" s="7" t="str">
        <x:v>2024公式カタログと企業LPで、2Dカメラ・協働ロボット・磁気ピンセットによる小径ネジのバラ積みピックを確認。</x:v>
      </x:c>
      <x:c r="N122" s="7" t="str">
        <x:v>2026は同種構成にAIを明記し、小径ネジ・小部品のピッキングを説明。</x:v>
      </x:c>
      <x:c r="O122" s="7" t="str">
        <x:v>2024から継続・AIの記載を追加</x:v>
      </x:c>
      <x:c r="P122" s="7" t="str">
        <x:v>2026公式カタログ掲載・現地未確認</x:v>
      </x:c>
      <x:c r="Q122" s="7" t="str">
        <x:v>2026展示予定。既存製品・参考出展・構想等は原典で個別確認</x:v>
      </x:c>
      <x:c r="R122" s="7" t="str">
        <x:v>公式LPでも2024自動化モデルの出展を明記。AI導入時期・2024比の改善量は不明 現地質問：AIが検出・把持点・重なり・再試行のどこを担うか。2024と同一ワークで比較できるか。</x:v>
      </x:c>
      <x:c r="S122" s="7" t="str">
        <x:v>EEX-EXH-2026-30b70a74241de123
EEX-EXH-2024-45415d070f47dc6e
EDP-01</x:v>
      </x:c>
      <x:c r="T122" s="7" t="str">
        <x:v>EEX-EXH-2026-30b70a74241de123: https://www.jimtof.org/search/jp/ESdetails?e=ekM3exgIAtc
EEX-EXH-2024-45415d070f47dc6e: https://www.jimtof.org/2024/search/jp/ESdetails?e=ot0Fx36wI0g
EDP-01: https://kanetec.co.jp/lp/MagnetPinset%40LP.html</x:v>
      </x:c>
      <x:c r="U122" s="7" t="str">
        <x:v>2024・2026の原典全文を重点比較</x:v>
      </x:c>
      <x:c r="V122" s="7" t="str">
        <x:v>AI明示はあるが担当判断は未特定</x:v>
      </x:c>
      <x:c r="W122" s="7" t="str">
        <x:v>2026説明にAIを明示。ただし検出・把持点・重なり・再試行のどれをAIが判断するか未公開</x:v>
      </x:c>
      <x:c r="X122" s="7" t="str">
        <x:v>協働ロボットと磁気把持で山積み小部品を取り出す。整列は別の機械治具の提案</x:v>
      </x:c>
      <x:c r="Y122" s="7" t="str">
        <x:v>未記載：対象材種・品種、画像学習・磁力の設定</x:v>
      </x:c>
      <x:c r="Z122" s="7" t="str">
        <x:v>未記載：自動実行前の確認・誤把持の採否</x:v>
      </x:c>
      <x:c r="AA122" s="7" t="str">
        <x:v>未記載：複数個吸着・空振り・取り落としからの復帰</x:v>
      </x:c>
      <x:c r="AB122" s="7" t="str">
        <x:v>公式LPでも2024自動化モデルの出展を明記。AI導入時期・2024比の改善量は不明</x:v>
      </x:c>
    </x:row>
    <x:row r="123" ht="170" customHeight="1">
      <x:c r="A123" s="7" t="str">
        <x:v>AC052</x:v>
      </x:c>
      <x:c r="B123" s="20" t="str">
        <x:v>株式会社兼松ケージーケイ</x:v>
      </x:c>
      <x:c r="C123" s="7" t="str">
        <x:v>JDHGT600TH_MG</x:v>
      </x:c>
      <x:c r="D123" s="7" t="str">
        <x:v>S2017</x:v>
      </x:c>
      <x:c r="E123" s="7" t="str">
        <x:v>自動化</x:v>
      </x:c>
      <x:c r="F123" s="7" t="str">
        <x:v>出展説明の関連用途（個別タスクの分解は未完了）</x:v>
      </x:c>
      <x:c r="G123" s="7" t="str">
        <x:v>出展説明に記載。実装位置の個別精査はカードの方式・未確認欄を参照</x:v>
      </x:c>
      <x:c r="H123" s="7" t="str">
        <x:v>原典抜粋：精彫の「機内測定機能」を採用し、砥石のデータと加工中の孔のデータを自動的に取得でき、この2つのデータを通じて砥石の寸法を補正し、精確な研削を実現する。</x:v>
      </x:c>
      <x:c r="I123" s="7" t="str">
        <x:v>個別入力の追加確認が必要</x:v>
      </x:c>
      <x:c r="J123" s="7" t="str">
        <x:v>原典抜粋：精彫の「機内測定機能」を採用し、砥石のデータと加工中の孔のデータを自動的に取得でき、この2つのデータを通じて砥石の寸法を補正し、精確な研削を実現する。</x:v>
      </x:c>
      <x:c r="K123" s="7" t="str">
        <x:v>精彫の「機内測定機能」を採用し、砥石のデータと加工中の孔のデータを自動的に取得でき、この2つのデータを通じて砥石の寸法を補正し、精確な研削を実現する。</x:v>
      </x:c>
      <x:c r="L123" s="7" t="str">
        <x:v>承認・例外対応・停止・復帰の境界は未確認</x:v>
      </x:c>
      <x:c r="M123" s="7" t="str">
        <x:v>2024原典抜粋：高精度5軸マシニングセンター 「JDGR200T」＋ワークストッカー「JDFMS30」 高精度5軸グライディングセンター「JDGRMG200」 北京精彫(JD Group) は、中国及び全世界で12万台以上の納入実績を持つマシニングセンタメーカーです。機械本体のみならず、NCシステムやCAD/CAMまでも内製化している機・電・ソフト一体製造の会社です。此れにより、他社では実現が非常に困難な、NCとCAD/CAM連携ソフトの開発ができることが最大の強みです。その一例が、「機内計測・知能補正技術」です。 従来の機械では</x:v>
      </x:c>
      <x:c r="N123" s="7" t="str">
        <x:v>2026原典抜粋：精彫の「機内測定機能」を採用し、砥石のデータと加工中の孔のデータを自動的に取得でき、この2つのデータを通じて砥石の寸法を補正し、精確な研削を実現する。</x:v>
      </x:c>
      <x:c r="O123" s="7" t="str">
        <x:v>両年原典あり・機能差未判定</x:v>
      </x:c>
      <x:c r="P123" s="7" t="str">
        <x:v>2026公式カタログ掲載・現地未確認</x:v>
      </x:c>
      <x:c r="Q123" s="7" t="str">
        <x:v>2026展示予定。既存製品・参考出展・構想等は原典で個別確認</x:v>
      </x:c>
      <x:c r="R123" s="7" t="str">
        <x:v>どの作業を自動化・支援するか、入力と判断・操作の範囲、適用条件と人の残作業、2024からの機能差、採用・受注・効果の実測を確認する。</x:v>
      </x:c>
      <x:c r="S123" s="7" t="str">
        <x:v>EEX-EXH-2026-8c94cb18f4807b4e
EEX-EXH-2024-57522a6d98baf9dc
EEX-EXH-2024-d6c695f4ab26eed1</x:v>
      </x:c>
      <x:c r="T123" s="7" t="str">
        <x:v>EEX-EXH-2026-8c94cb18f4807b4e: https://www.jimtof.org/search/jp/ESdetails?e=soucpoaRRyI
EEX-EXH-2024-57522a6d98baf9dc: https://www.jimtof.org/2024/search/jp/ESdetails?e=zFgPz9zu2WQ
EEX-EXH-2024-d6c695f4ab26eed1: https://www.jimtof.org/2024/search/jp/ESdetails?e=uq_RQ8doa8c</x:v>
      </x:c>
      <x:c r="U123" s="7" t="str">
        <x:v>出展説明の関連箇所に基づく一次分類</x:v>
      </x:c>
      <x:c r="V123" s="7"/>
      <x:c r="W123" s="7"/>
      <x:c r="X123" s="7"/>
      <x:c r="Y123" s="7"/>
      <x:c r="Z123" s="7"/>
      <x:c r="AA123" s="7"/>
      <x:c r="AB123" s="7"/>
    </x:row>
    <x:row r="124" ht="170" customHeight="1">
      <x:c r="A124" s="7" t="str">
        <x:v>AC053</x:v>
      </x:c>
      <x:c r="B124" s="20" t="str">
        <x:v>川重テクノロジー株式会社</x:v>
      </x:c>
      <x:c r="C124" s="7" t="str">
        <x:v>ミストリーナー DEシリーズ</x:v>
      </x:c>
      <x:c r="D124" s="7" t="str">
        <x:v>S1042</x:v>
      </x:c>
      <x:c r="E124" s="7" t="str">
        <x:v>設計・製造DX</x:v>
      </x:c>
      <x:c r="F124" s="7" t="str">
        <x:v>出展説明の関連用途（個別タスクの分解は未完了）</x:v>
      </x:c>
      <x:c r="G124" s="7" t="str">
        <x:v>出展説明に記載。実装位置の個別精査はカードの方式・未確認欄を参照</x:v>
      </x:c>
      <x:c r="H124" s="7" t="str">
        <x:v>原典抜粋：川重テクノロジーは製造業の皆様の製品開発、製造、品質保証のパートナーです。 / 当社ブースにはミストリーナー（ミストコレクター）とFEM・CFD解析によるソリューション技術を展示しています。 / ミストリーナーは、特殊フィルターによる高い除去性能・維持性能が強みです。 / 多数の油煙対策実績もあり、改善事例紹介やデモ機設置のご提案も可能です。 / また、ソリューション技術コーナーでは、機械加工時や成形時における変形・応力・破壊・振動・粒</x:v>
      </x:c>
      <x:c r="I124" s="7" t="str">
        <x:v>個別入力の追加確認が必要</x:v>
      </x:c>
      <x:c r="J124" s="7" t="str">
        <x:v>原典抜粋：川重テクノロジーは製造業の皆様の製品開発、製造、品質保証のパートナーです。 / 当社ブースにはミストリーナー（ミストコレクター）とFEM・CFD解析によるソリューション技術を展示しています。 / ミストリーナーは、特殊フィルターによる高い除去性能・維持性能が強みです。 / 多数の油煙対策実績もあり、改善事例紹介やデモ機設置のご提案も可能です。 / また、ソリューション技術コーナーでは、機械加工時や成形時における変形・応力・破壊・振動・粒</x:v>
      </x:c>
      <x:c r="K124" s="7" t="str">
        <x:v>川重テクノロジーは製造業の皆様の製品開発、製造、品質保証のパートナーです。 / 当社ブースにはミストリーナー（ミストコレクター）とFEM・CFD解析によるソリューション技術を展示しています。 / ミストリーナーは、特殊フィルターによる高い除去性能・維持性能が強みです。 / 多数の油煙対策実績もあり、改善事例紹介やデモ機設置のご提案も可能です。 / また、ソリューション技術コーナーでは、機械加工時や成形時における変形・応力・破壊・振動・粒</x:v>
      </x:c>
      <x:c r="L124" s="7" t="str">
        <x:v>承認・例外対応・停止・復帰の境界は未確認</x:v>
      </x:c>
      <x:c r="M124" s="7" t="str">
        <x:v>2024原典抜粋：川重テクノロジーは製造業の皆様の製品開発、製造、品質保証のパートナーです。 当社ブースにはミストコレクター（新型ミストリーナー）を展示しており、機械装置や製品についての性能・耐久性・信頼性の診断・評価技術を案内しています。 ミストリーナーは高い除去性能・維持性能が強みで、多数の油煙対策実績もあります。 機械装置の診断・評価技術コーナーでは「機械の健康診断」をキャッチフレーズに具体的な診断・評価試験事例（切削液の診断・評価、油脂類の劣化診断など）を案内しており、当社技術者による技術相談も可能です。 ■新型ミストリーナ</x:v>
      </x:c>
      <x:c r="N124" s="7" t="str">
        <x:v>2026原典抜粋：川重テクノロジーは製造業の皆様の製品開発、製造、品質保証のパートナーです。 / 当社ブースにはミストリーナー（ミストコレクター）とFEM・CFD解析によるソリューション技術を展示しています。 / ミストリーナーは、特殊フィルターによる高い除去性能・維持性能が強みです。 / 多数の油煙対策実績もあり、改善事例紹介やデモ機設置のご提案も可能です。 / また、ソリューション技術コーナーでは、機械加工時や成形時における変形・応力・破壊・振動・粒</x:v>
      </x:c>
      <x:c r="O124" s="7" t="str">
        <x:v>両年原典あり・機能差未判定</x:v>
      </x:c>
      <x:c r="P124" s="7" t="str">
        <x:v>2026公式カタログ掲載・現地未確認</x:v>
      </x:c>
      <x:c r="Q124" s="7" t="str">
        <x:v>2026展示予定。既存製品・参考出展・構想等は原典で個別確認</x:v>
      </x:c>
      <x:c r="R124" s="7" t="str">
        <x:v>どの作業を自動化・支援するか、入力と判断・操作の範囲、適用条件と人の残作業、2024からの機能差、採用・受注・効果の実測を確認する。</x:v>
      </x:c>
      <x:c r="S124" s="7" t="str">
        <x:v>EEX-EXH-2026-8b196d0a504dcc0c
EEX-EXH-2024-5bfca782220cfd26</x:v>
      </x:c>
      <x:c r="T124" s="7" t="str">
        <x:v>EEX-EXH-2026-8b196d0a504dcc0c: https://www.jimtof.org/search/jp/ESdetails?e=Wa3P03zlqwQ
EEX-EXH-2024-5bfca782220cfd26: https://www.jimtof.org/2024/search/jp/ESdetails?e=JGqpN72oJyI</x:v>
      </x:c>
      <x:c r="U124" s="7" t="str">
        <x:v>出展説明の関連箇所に基づく一次分類</x:v>
      </x:c>
      <x:c r="V124" s="7"/>
      <x:c r="W124" s="7"/>
      <x:c r="X124" s="7"/>
      <x:c r="Y124" s="7"/>
      <x:c r="Z124" s="7"/>
      <x:c r="AA124" s="7"/>
      <x:c r="AB124" s="7"/>
    </x:row>
    <x:row r="125" ht="170" customHeight="1">
      <x:c r="A125" s="7" t="str">
        <x:v>AC054</x:v>
      </x:c>
      <x:c r="B125" s="20" t="str">
        <x:v>株式会社神崎高級工機製作所</x:v>
      </x:c>
      <x:c r="C125" s="7" t="str">
        <x:v>ギヤホーニングマシーン</x:v>
      </x:c>
      <x:c r="D125" s="7" t="str">
        <x:v>E1071</x:v>
      </x:c>
      <x:c r="E125" s="7" t="str">
        <x:v>工場運用DX
自動化</x:v>
      </x:c>
      <x:c r="F125" s="7" t="str">
        <x:v>出展説明の関連用途（個別タスクの分解は未完了）</x:v>
      </x:c>
      <x:c r="G125" s="7" t="str">
        <x:v>出展説明に記載。実装位置の個別精査はカードの方式・未確認欄を参照</x:v>
      </x:c>
      <x:c r="H125" s="7" t="str">
        <x:v>原典抜粋：自動歯合わせ機能と、加工前のワーク状態を確認するギヤチェッカーを搭載し、 / FD100は自動歯合わせ機能と加工前のワーク状態を確認するギヤチェッカーを搭載し、段取り時間の短縮と安定した加工を支援します。</x:v>
      </x:c>
      <x:c r="I125" s="7" t="str">
        <x:v>個別入力の追加確認が必要</x:v>
      </x:c>
      <x:c r="J125" s="7" t="str">
        <x:v>原典抜粋：自動歯合わせ機能と、加工前のワーク状態を確認するギヤチェッカーを搭載し、 / FD100は自動歯合わせ機能と加工前のワーク状態を確認するギヤチェッカーを搭載し、段取り時間の短縮と安定した加工を支援します。</x:v>
      </x:c>
      <x:c r="K125" s="7" t="str">
        <x:v>自動歯合わせ機能と、加工前のワーク状態を確認するギヤチェッカーを搭載し、 / FD100は自動歯合わせ機能と加工前のワーク状態を確認するギヤチェッカーを搭載し、段取り時間の短縮と安定した加工を支援します。</x:v>
      </x:c>
      <x:c r="L125" s="7" t="str">
        <x:v>承認・例外対応・停止・復帰の境界は未確認</x:v>
      </x:c>
      <x:c r="M125" s="7" t="str">
        <x:v>2024原典抜粋：今回のJIMTOFでは、EV市場の拡大に伴うe-Axleの小型化への貢献で注目が集まっているギヤホーニング盤（FX260）と、採用実績が順調に増えている歯車研削盤（GX150）の２台を展示する。 ギヤホーニング盤で30年以上の実績を積み上げてきた弊社だが、2020年に販売を開始したFF260で、小交差角（最小２度）での加工を達成するなど、注目が集まっている。今回、新たにミネラルキャストという鉱石と樹脂の混合物を採用する事で、高い振動減衰性と優れた熱安定性を活かした加工精度の向上と砥石ランニングコストの改善を見込む。</x:v>
      </x:c>
      <x:c r="N125" s="7" t="str">
        <x:v>2026原典抜粋：自動歯合わせ機能と、加工前のワーク状態を確認するギヤチェッカーを搭載し、 / FD100は自動歯合わせ機能と加工前のワーク状態を確認するギヤチェッカーを搭載し、段取り時間の短縮と安定した加工を支援します。</x:v>
      </x:c>
      <x:c r="O125" s="7" t="str">
        <x:v>両年原典あり・機能差未判定</x:v>
      </x:c>
      <x:c r="P125" s="7" t="str">
        <x:v>2026公式カタログ掲載・現地未確認</x:v>
      </x:c>
      <x:c r="Q125" s="7" t="str">
        <x:v>2026展示予定。既存製品・参考出展・構想等は原典で個別確認</x:v>
      </x:c>
      <x:c r="R125" s="7" t="str">
        <x:v>どの作業を自動化・支援するか、入力と判断・操作の範囲、適用条件と人の残作業、2024からの機能差、採用・受注・効果の実測を確認する。</x:v>
      </x:c>
      <x:c r="S125" s="7" t="str">
        <x:v>EEX-EXH-2026-91aa8dd094a4a7b2
EEX-EXH-2024-50a402f6bcce2ab8</x:v>
      </x:c>
      <x:c r="T125" s="7" t="str">
        <x:v>EEX-EXH-2026-91aa8dd094a4a7b2: https://www.jimtof.org/search/jp/ESdetails?e=bpuT_4Xpv_c
EEX-EXH-2024-50a402f6bcce2ab8: https://www.jimtof.org/2024/search/jp/ESdetails?e=C7Uh8Jc1Y2s</x:v>
      </x:c>
      <x:c r="U125" s="7" t="str">
        <x:v>出展説明の関連箇所に基づく一次分類</x:v>
      </x:c>
      <x:c r="V125" s="7"/>
      <x:c r="W125" s="7"/>
      <x:c r="X125" s="7"/>
      <x:c r="Y125" s="7"/>
      <x:c r="Z125" s="7"/>
      <x:c r="AA125" s="7"/>
      <x:c r="AB125" s="7"/>
    </x:row>
    <x:row r="126" ht="170" customHeight="1">
      <x:c r="A126" s="7" t="str">
        <x:v>AC055</x:v>
      </x:c>
      <x:c r="B126" s="20" t="str">
        <x:v>キステム株式会社</x:v>
      </x:c>
      <x:c r="C126" s="7" t="str">
        <x:v>Opt-1</x:v>
      </x:c>
      <x:c r="D126" s="7" t="str">
        <x:v>S4014</x:v>
      </x:c>
      <x:c r="E126" s="7" t="str">
        <x:v>設計・製造DX</x:v>
      </x:c>
      <x:c r="F126" s="7" t="str">
        <x:v>出展説明の関連用途（個別タスクの分解は未完了）</x:v>
      </x:c>
      <x:c r="G126" s="7" t="str">
        <x:v>出展説明に記載。実装位置の個別精査はカードの方式・未確認欄を参照</x:v>
      </x:c>
      <x:c r="H126" s="7" t="str">
        <x:v>原典抜粋：補正加工や６軸加工にも対応しています。</x:v>
      </x:c>
      <x:c r="I126" s="7" t="str">
        <x:v>個別入力の追加確認が必要</x:v>
      </x:c>
      <x:c r="J126" s="7" t="str">
        <x:v>原典抜粋：補正加工や６軸加工にも対応しています。</x:v>
      </x:c>
      <x:c r="K126" s="7" t="str">
        <x:v>補正加工や６軸加工にも対応しています。</x:v>
      </x:c>
      <x:c r="L126" s="7" t="str">
        <x:v>承認・例外対応・停止・復帰の境界は未確認</x:v>
      </x:c>
      <x:c r="M126" s="7" t="str">
        <x:v>同一正規化名称の2024詳細なし。新規出展・技術不存在とは判断しない。</x:v>
      </x:c>
      <x:c r="N126" s="7" t="str">
        <x:v>2026原典抜粋：補正加工や６軸加工にも対応しています。</x:v>
      </x:c>
      <x:c r="O126" s="7" t="str">
        <x:v>2024個別比較不能</x:v>
      </x:c>
      <x:c r="P126" s="7" t="str">
        <x:v>2026公式カタログ掲載・現地未確認</x:v>
      </x:c>
      <x:c r="Q126" s="7" t="str">
        <x:v>2026展示予定。既存製品・参考出展・構想等は原典で個別確認</x:v>
      </x:c>
      <x:c r="R126" s="7" t="str">
        <x:v>どの作業を自動化・支援するか、入力と判断・操作の範囲、適用条件と人の残作業、2024からの機能差、採用・受注・効果の実測を確認する。</x:v>
      </x:c>
      <x:c r="S126" s="7" t="str">
        <x:v>EEX-EXH-2026-2c1bff525e1eb40c</x:v>
      </x:c>
      <x:c r="T126" s="7" t="str">
        <x:v>EEX-EXH-2026-2c1bff525e1eb40c: https://www.jimtof.org/search/jp/ESdetails?e=QjS8eNKRLhw</x:v>
      </x:c>
      <x:c r="U126" s="7" t="str">
        <x:v>出展説明の関連箇所に基づく一次分類</x:v>
      </x:c>
      <x:c r="V126" s="7"/>
      <x:c r="W126" s="7"/>
      <x:c r="X126" s="7"/>
      <x:c r="Y126" s="7"/>
      <x:c r="Z126" s="7"/>
      <x:c r="AA126" s="7"/>
      <x:c r="AB126" s="7"/>
    </x:row>
    <x:row r="127" ht="170" customHeight="1">
      <x:c r="A127" s="7" t="str">
        <x:v>AC056</x:v>
      </x:c>
      <x:c r="B127" s="20" t="str">
        <x:v>キソー株式会社</x:v>
      </x:c>
      <x:c r="C127" s="7" t="str">
        <x:v>ミストコレクター,オイルスキマー,自動洗浄機,簡易部品洗浄機</x:v>
      </x:c>
      <x:c r="D127" s="7" t="str">
        <x:v>S3092</x:v>
      </x:c>
      <x:c r="E127" s="7" t="str">
        <x:v>自動化</x:v>
      </x:c>
      <x:c r="F127" s="7" t="str">
        <x:v>出展説明の関連用途（個別タスクの分解は未完了）</x:v>
      </x:c>
      <x:c r="G127" s="7" t="str">
        <x:v>出展説明に記載。実装位置の個別精査はカードの方式・未確認欄を参照</x:v>
      </x:c>
      <x:c r="H127" s="7" t="str">
        <x:v>原典抜粋：工作機械から発生したミストを回収するミストコレクター、悪臭発生の原因となるクーラントタンクの浮上油を回収するベルト式オイルスキマー、水溶性洗剤を使用する自動洗浄機、エアーの力で水を噴射する / ミストコレクター,オイルスキマー,自動洗浄機,簡易部品洗浄機</x:v>
      </x:c>
      <x:c r="I127" s="7" t="str">
        <x:v>個別入力の追加確認が必要</x:v>
      </x:c>
      <x:c r="J127" s="7" t="str">
        <x:v>原典抜粋：工作機械から発生したミストを回収するミストコレクター、悪臭発生の原因となるクーラントタンクの浮上油を回収するベルト式オイルスキマー、水溶性洗剤を使用する自動洗浄機、エアーの力で水を噴射する / ミストコレクター,オイルスキマー,自動洗浄機,簡易部品洗浄機</x:v>
      </x:c>
      <x:c r="K127" s="7" t="str">
        <x:v>工作機械から発生したミストを回収するミストコレクター、悪臭発生の原因となるクーラントタンクの浮上油を回収するベルト式オイルスキマー、水溶性洗剤を使用する自動洗浄機、エアーの力で水を噴射する / ミストコレクター,オイルスキマー,自動洗浄機,簡易部品洗浄機</x:v>
      </x:c>
      <x:c r="L127" s="7" t="str">
        <x:v>承認・例外対応・停止・復帰の境界は未確認</x:v>
      </x:c>
      <x:c r="M127" s="7" t="str">
        <x:v>2024原典抜粋：工作機械から発生したミストを回収するミストコレクター、悪臭発生の原因となるクーラントタンクの浮上油を回収するベルト式オイルスキマー、水溶性洗剤を使用する自動洗浄機、エアーの力で水を噴射する電源不要の簡易部品洗浄機などを出展し、お客様の工場の改善・省力化を強力にサポートする機器を紹介致します。 自動洗浄機、簡易部品洗浄機、ミストコレクター、オイルスキマー</x:v>
      </x:c>
      <x:c r="N127" s="7" t="str">
        <x:v>2026原典抜粋：工作機械から発生したミストを回収するミストコレクター、悪臭発生の原因となるクーラントタンクの浮上油を回収するベルト式オイルスキマー、水溶性洗剤を使用する自動洗浄機、エアーの力で水を噴射する / ミストコレクター,オイルスキマー,自動洗浄機,簡易部品洗浄機</x:v>
      </x:c>
      <x:c r="O127" s="7" t="str">
        <x:v>両年原典あり・機能差未判定</x:v>
      </x:c>
      <x:c r="P127" s="7" t="str">
        <x:v>2026公式カタログ掲載・現地未確認</x:v>
      </x:c>
      <x:c r="Q127" s="7" t="str">
        <x:v>2026展示予定。既存製品・参考出展・構想等は原典で個別確認</x:v>
      </x:c>
      <x:c r="R127" s="7" t="str">
        <x:v>どの作業を自動化・支援するか、入力と判断・操作の範囲、適用条件と人の残作業、2024からの機能差、採用・受注・効果の実測を確認する。</x:v>
      </x:c>
      <x:c r="S127" s="7" t="str">
        <x:v>EEX-EXH-2026-4064c0e9220721ee
EEX-EXH-2024-b944b1ce5739c1c2</x:v>
      </x:c>
      <x:c r="T127" s="7" t="str">
        <x:v>EEX-EXH-2026-4064c0e9220721ee: https://www.jimtof.org/search/jp/ESdetails?e=q16UKMJlnLI
EEX-EXH-2024-b944b1ce5739c1c2: https://www.jimtof.org/2024/search/jp/ESdetails?e=Dx3Sm9DUyyA</x:v>
      </x:c>
      <x:c r="U127" s="7" t="str">
        <x:v>出展説明の関連箇所に基づく一次分類</x:v>
      </x:c>
      <x:c r="V127" s="7"/>
      <x:c r="W127" s="7"/>
      <x:c r="X127" s="7"/>
      <x:c r="Y127" s="7"/>
      <x:c r="Z127" s="7"/>
      <x:c r="AA127" s="7"/>
      <x:c r="AB127" s="7"/>
    </x:row>
    <x:row r="128" ht="170" customHeight="1">
      <x:c r="A128" s="7" t="str">
        <x:v>AC057</x:v>
      </x:c>
      <x:c r="B128" s="20" t="str">
        <x:v>株式会社北川鉄工所</x:v>
      </x:c>
      <x:c r="C128" s="7" t="str">
        <x:v>パワーチャック</x:v>
      </x:c>
      <x:c r="D128" s="7" t="str">
        <x:v>W2016</x:v>
      </x:c>
      <x:c r="E128" s="7" t="str">
        <x:v>自動化</x:v>
      </x:c>
      <x:c r="F128" s="7" t="str">
        <x:v>出展説明の関連用途（個別タスクの分解は未完了）</x:v>
      </x:c>
      <x:c r="G128" s="7" t="str">
        <x:v>出展説明に記載。実装位置の個別精査はカードの方式・未確認欄を参照</x:v>
      </x:c>
      <x:c r="H128" s="7" t="str">
        <x:v>原典抜粋：また、3つのゾーンに共通して必要となる自動化・省人化のアイディアもご提案いたします。 / ロボットハンド</x:v>
      </x:c>
      <x:c r="I128" s="7" t="str">
        <x:v>個別入力の追加確認が必要</x:v>
      </x:c>
      <x:c r="J128" s="7" t="str">
        <x:v>原典抜粋：また、3つのゾーンに共通して必要となる自動化・省人化のアイディアもご提案いたします。 / ロボットハンド</x:v>
      </x:c>
      <x:c r="K128" s="7" t="str">
        <x:v>また、3つのゾーンに共通して必要となる自動化・省人化のアイディアもご提案いたします。 / ロボットハンド</x:v>
      </x:c>
      <x:c r="L128" s="7" t="str">
        <x:v>承認・例外対応・停止・復帰の境界は未確認</x:v>
      </x:c>
      <x:c r="M128" s="7" t="str">
        <x:v>2024原典抜粋：本展示、Kitagawaの出展テーマは 『モノづくりのミライへ～Future in your hands～』 お客様第一主義を掲げる北川鉄工所がお客様と対話をして、 ものづくりの課題を解決することが『モノづくりのミライ』へ繋がると考えています。 【加工工程の増加】→【工程集約の提案】 【変形しやすい加工物】→【デザインチャックの提案】 【人手不足・人件費高騰】→【省人化システムの提案】 お客様の課題解決に向けた商品開発を皆様にご覧いただける内容となっています。 ぜひ、Kitagawaブースにご来場いただき皆様の課題</x:v>
      </x:c>
      <x:c r="N128" s="7" t="str">
        <x:v>2026原典抜粋：また、3つのゾーンに共通して必要となる自動化・省人化のアイディアもご提案いたします。 / ロボットハンド</x:v>
      </x:c>
      <x:c r="O128" s="7" t="str">
        <x:v>両年原典あり・機能差未判定</x:v>
      </x:c>
      <x:c r="P128" s="7" t="str">
        <x:v>2026公式カタログ掲載・現地未確認</x:v>
      </x:c>
      <x:c r="Q128" s="7" t="str">
        <x:v>2026展示予定。既存製品・参考出展・構想等は原典で個別確認</x:v>
      </x:c>
      <x:c r="R128" s="7" t="str">
        <x:v>どの作業を自動化・支援するか、入力と判断・操作の範囲、適用条件と人の残作業、2024からの機能差、採用・受注・効果の実測を確認する。</x:v>
      </x:c>
      <x:c r="S128" s="7" t="str">
        <x:v>EEX-EXH-2026-4e495b7a38654a48
EEX-EXH-2024-45b7d7cc8c1b01ab</x:v>
      </x:c>
      <x:c r="T128" s="7" t="str">
        <x:v>EEX-EXH-2026-4e495b7a38654a48: https://www.jimtof.org/search/jp/ESdetails?e=XAQiCUDqIGg
EEX-EXH-2024-45b7d7cc8c1b01ab: https://www.jimtof.org/2024/search/jp/ESdetails?e=MZNMjQYloJg</x:v>
      </x:c>
      <x:c r="U128" s="7" t="str">
        <x:v>出展説明の関連箇所に基づく一次分類</x:v>
      </x:c>
      <x:c r="V128" s="7"/>
      <x:c r="W128" s="7"/>
      <x:c r="X128" s="7"/>
      <x:c r="Y128" s="7"/>
      <x:c r="Z128" s="7"/>
      <x:c r="AA128" s="7"/>
      <x:c r="AB128" s="7"/>
    </x:row>
    <x:row r="129" ht="170" customHeight="1">
      <x:c r="A129" s="7" t="str">
        <x:v>AC058</x:v>
      </x:c>
      <x:c r="B129" s="20" t="str">
        <x:v>キタムラ機械株式会社</x:v>
      </x:c>
      <x:c r="C129" s="7" t="str">
        <x:v>同時5軸制御横形マシニングセンタ SUPERCELL-400Gα 12面パレットチェンジャー</x:v>
      </x:c>
      <x:c r="D129" s="7" t="str">
        <x:v>E2030</x:v>
      </x:c>
      <x:c r="E129" s="7" t="str">
        <x:v>自動化</x:v>
      </x:c>
      <x:c r="F129" s="7" t="str">
        <x:v>出展説明の関連用途（個別タスクの分解は未完了）</x:v>
      </x:c>
      <x:c r="G129" s="7" t="str">
        <x:v>出展説明に記載。実装位置の個別精査はカードの方式・未確認欄を参照</x:v>
      </x:c>
      <x:c r="H129" s="7" t="str">
        <x:v>原典抜粋：「Machining Challenges-Simplified」をスローガンに掲げ、自動化機能と拡張性を兼ね備えた最新鋭機を出品致します。 / 顧客の投資負担を軽減し、当社最大の特徴である高剛性・高精度・長寿命による付加価値を最大化し、標準機で使い慣れた後に、必要な機能を追加する「失敗しない自動化投資」をアピールします。</x:v>
      </x:c>
      <x:c r="I129" s="7" t="str">
        <x:v>個別入力の追加確認が必要</x:v>
      </x:c>
      <x:c r="J129" s="7" t="str">
        <x:v>原典抜粋：「Machining Challenges-Simplified」をスローガンに掲げ、自動化機能と拡張性を兼ね備えた最新鋭機を出品致します。 / 顧客の投資負担を軽減し、当社最大の特徴である高剛性・高精度・長寿命による付加価値を最大化し、標準機で使い慣れた後に、必要な機能を追加する「失敗しない自動化投資」をアピールします。</x:v>
      </x:c>
      <x:c r="K129" s="7" t="str">
        <x:v>「Machining Challenges-Simplified」をスローガンに掲げ、自動化機能と拡張性を兼ね備えた最新鋭機を出品致します。 / 顧客の投資負担を軽減し、当社最大の特徴である高剛性・高精度・長寿命による付加価値を最大化し、標準機で使い慣れた後に、必要な機能を追加する「失敗しない自動化投資」をアピールします。</x:v>
      </x:c>
      <x:c r="L129" s="7" t="str">
        <x:v>承認・例外対応・停止・復帰の境界は未確認</x:v>
      </x:c>
      <x:c r="M129" s="7" t="str">
        <x:v>2024原典抜粋：近年、製造業における人手不足から省力化・自動化の要求が深まっている中で、今回出展するマシニングセンタは、初期投資を抑えた自動化・省力化を提案する。最大の特徴は、納入後でも多面APCや大容量ATCへのアップグレードが可能なこと。また、2008年に業界で初めてアイコン操作を実現した独自のCNCシステム「Arumatik-Mi」は、既存機でもアップグレードができ、すでに4,000台の納入実績がある。また、標準設定の「Anywhere-Remote」機能は、世界中どこでも機械稼動状況をスマートフォンやパソコンから確認できる</x:v>
      </x:c>
      <x:c r="N129" s="7" t="str">
        <x:v>2026原典抜粋：「Machining Challenges-Simplified」をスローガンに掲げ、自動化機能と拡張性を兼ね備えた最新鋭機を出品致します。 / 顧客の投資負担を軽減し、当社最大の特徴である高剛性・高精度・長寿命による付加価値を最大化し、標準機で使い慣れた後に、必要な機能を追加する「失敗しない自動化投資」をアピールします。</x:v>
      </x:c>
      <x:c r="O129" s="7" t="str">
        <x:v>両年原典あり・機能差未判定</x:v>
      </x:c>
      <x:c r="P129" s="7" t="str">
        <x:v>2026公式カタログ掲載・現地未確認</x:v>
      </x:c>
      <x:c r="Q129" s="7" t="str">
        <x:v>2026展示予定。既存製品・参考出展・構想等は原典で個別確認</x:v>
      </x:c>
      <x:c r="R129" s="7" t="str">
        <x:v>どの作業を自動化・支援するか、入力と判断・操作の範囲、適用条件と人の残作業、2024からの機能差、採用・受注・効果の実測を確認する。</x:v>
      </x:c>
      <x:c r="S129" s="7" t="str">
        <x:v>EEX-EXH-2026-8dc74bc2bb78626e
EEX-EXH-2024-bb724cee9cf20ced</x:v>
      </x:c>
      <x:c r="T129" s="7" t="str">
        <x:v>EEX-EXH-2026-8dc74bc2bb78626e: https://www.jimtof.org/search/jp/ESdetails?e=8B2MeaGChjg
EEX-EXH-2024-bb724cee9cf20ced: https://www.jimtof.org/2024/search/jp/ESdetails?e=bfQffwpmTeE</x:v>
      </x:c>
      <x:c r="U129" s="7" t="str">
        <x:v>出展説明の関連箇所に基づく一次分類</x:v>
      </x:c>
      <x:c r="V129" s="7"/>
      <x:c r="W129" s="7"/>
      <x:c r="X129" s="7"/>
      <x:c r="Y129" s="7"/>
      <x:c r="Z129" s="7"/>
      <x:c r="AA129" s="7"/>
      <x:c r="AB129" s="7"/>
    </x:row>
    <x:row r="130" ht="170" customHeight="1">
      <x:c r="A130" s="7" t="str">
        <x:v>AC059</x:v>
      </x:c>
      <x:c r="B130" s="20" t="str">
        <x:v>株式会社北村製作所</x:v>
      </x:c>
      <x:c r="C130" s="7" t="str">
        <x:v>内面研削旋盤KGIシリーズから受け継いだ高剛性ベース、刃物台のすべり案内には、X軸・Z軸ともにダブル山案内を採用し、KGI同様6面拘束構造とした。スラ</x:v>
      </x:c>
      <x:c r="D130" s="7" t="str">
        <x:v>E7054</x:v>
      </x:c>
      <x:c r="E130" s="7" t="str">
        <x:v>自動化</x:v>
      </x:c>
      <x:c r="F130" s="7" t="str">
        <x:v>出展説明の関連用途（個別タスクの分解は未完了）</x:v>
      </x:c>
      <x:c r="G130" s="7" t="str">
        <x:v>出展説明に記載。実装位置の個別精査はカードの方式・未確認欄を参照</x:v>
      </x:c>
      <x:c r="H130" s="7" t="str">
        <x:v>原典抜粋：リーマンショック以降、設備の自動化や特殊ユニットを搭載したカスタマイズ仕様の需要が高まり、試行錯誤してきました。</x:v>
      </x:c>
      <x:c r="I130" s="7" t="str">
        <x:v>個別入力の追加確認が必要</x:v>
      </x:c>
      <x:c r="J130" s="7" t="str">
        <x:v>原典抜粋：リーマンショック以降、設備の自動化や特殊ユニットを搭載したカスタマイズ仕様の需要が高まり、試行錯誤してきました。</x:v>
      </x:c>
      <x:c r="K130" s="7" t="str">
        <x:v>リーマンショック以降、設備の自動化や特殊ユニットを搭載したカスタマイズ仕様の需要が高まり、試行錯誤してきました。</x:v>
      </x:c>
      <x:c r="L130" s="7" t="str">
        <x:v>承認・例外対応・停止・復帰の境界は未確認</x:v>
      </x:c>
      <x:c r="M130" s="7" t="str">
        <x:v>2024原典抜粋：摺動面に伝統技術“キサゲ加工”を施した「すべりガイド方式」は、機械の滑らかな動作及び剛性、精度の安定性を実現する。リーマンショック以降、設備の自動化や特殊ユニットを搭載したカスタマイズ仕様の需要が高まり、試行錯誤してきた。JIMTOF2024ではロボットや測定器、簡易洗浄器との連結を標準オプション化し、精密小物部品の加工コスト低減を目指す。 株式会社北村製作所が得意とするくし形刃物台旋盤を大幅リニューアル。自社設計・自社製造のガントリーローダー、ロータリーストッカーを標準オプション化した。すべり案内をX軸・Z軸とも</x:v>
      </x:c>
      <x:c r="N130" s="7" t="str">
        <x:v>2026原典抜粋：リーマンショック以降、設備の自動化や特殊ユニットを搭載したカスタマイズ仕様の需要が高まり、試行錯誤してきました。</x:v>
      </x:c>
      <x:c r="O130" s="7" t="str">
        <x:v>両年原典あり・機能差未判定</x:v>
      </x:c>
      <x:c r="P130" s="7" t="str">
        <x:v>2026公式カタログ掲載・現地未確認</x:v>
      </x:c>
      <x:c r="Q130" s="7" t="str">
        <x:v>2026展示予定。既存製品・参考出展・構想等は原典で個別確認</x:v>
      </x:c>
      <x:c r="R130" s="7" t="str">
        <x:v>どの作業を自動化・支援するか、入力と判断・操作の範囲、適用条件と人の残作業、2024からの機能差、採用・受注・効果の実測を確認する。</x:v>
      </x:c>
      <x:c r="S130" s="7" t="str">
        <x:v>EEX-EXH-2026-99a305a4fe6032c4
EEX-EXH-2024-2d3092ce6c864a8e</x:v>
      </x:c>
      <x:c r="T130" s="7" t="str">
        <x:v>EEX-EXH-2026-99a305a4fe6032c4: https://www.jimtof.org/search/jp/ESdetails?e=ggacRtFUF1k
EEX-EXH-2024-2d3092ce6c864a8e: https://www.jimtof.org/2024/search/jp/ESdetails?e=FM2ZTtdHV5w</x:v>
      </x:c>
      <x:c r="U130" s="7" t="str">
        <x:v>出展説明の関連箇所に基づく一次分類</x:v>
      </x:c>
      <x:c r="V130" s="7"/>
      <x:c r="W130" s="7"/>
      <x:c r="X130" s="7"/>
      <x:c r="Y130" s="7"/>
      <x:c r="Z130" s="7"/>
      <x:c r="AA130" s="7"/>
      <x:c r="AB130" s="7"/>
    </x:row>
    <x:row r="131" ht="170" customHeight="1">
      <x:c r="A131" s="7" t="str">
        <x:v>AC060</x:v>
      </x:c>
      <x:c r="B131" s="20" t="str">
        <x:v>株式会社キャプテンインダストリーズ</x:v>
      </x:c>
      <x:c r="C131" s="7" t="str">
        <x:v>機上計測ソフトウェア／PC-DMIS（デーミス） NC</x:v>
      </x:c>
      <x:c r="D131" s="7" t="str">
        <x:v>E3003</x:v>
      </x:c>
      <x:c r="E131" s="7" t="str">
        <x:v>工場運用DX
自動化</x:v>
      </x:c>
      <x:c r="F131" s="7" t="str">
        <x:v>出展説明の関連用途（個別タスクの分解は未完了）</x:v>
      </x:c>
      <x:c r="G131" s="7" t="str">
        <x:v>出展説明に記載。実装位置の個別精査はカードの方式・未確認欄を参照</x:v>
      </x:c>
      <x:c r="H131" s="7" t="str">
        <x:v>原典抜粋：加工後、そのまま機械テーブル上にてワークを計測できるため省人化自動化に貢献するとともに高度な機上計測を実現致します。 / 航空宇宙、自動車、医療、時計などのあらゆる産業の加工対応可能な、バリエーション豊富なスピンドルです。 / 加工後、そのまま機械テーブル上にてワークを計測できるため省人化自動化に貢献するとともに高度な機上計測を実現致します。 / 航空宇宙、自動車、医療、時計などのあらゆる産業の加工対応可能な、バリエーション豊富なスピン</x:v>
      </x:c>
      <x:c r="I131" s="7" t="str">
        <x:v>個別入力の追加確認が必要</x:v>
      </x:c>
      <x:c r="J131" s="7" t="str">
        <x:v>原典抜粋：加工後、そのまま機械テーブル上にてワークを計測できるため省人化自動化に貢献するとともに高度な機上計測を実現致します。 / 航空宇宙、自動車、医療、時計などのあらゆる産業の加工対応可能な、バリエーション豊富なスピンドルです。 / 加工後、そのまま機械テーブル上にてワークを計測できるため省人化自動化に貢献するとともに高度な機上計測を実現致します。 / 航空宇宙、自動車、医療、時計などのあらゆる産業の加工対応可能な、バリエーション豊富なスピン</x:v>
      </x:c>
      <x:c r="K131" s="7" t="str">
        <x:v>加工後、そのまま機械テーブル上にてワークを計測できるため省人化自動化に貢献するとともに高度な機上計測を実現致します。 / 航空宇宙、自動車、医療、時計などのあらゆる産業の加工対応可能な、バリエーション豊富なスピンドルです。 / 加工後、そのまま機械テーブル上にてワークを計測できるため省人化自動化に貢献するとともに高度な機上計測を実現致します。 / 航空宇宙、自動車、医療、時計などのあらゆる産業の加工対応可能な、バリエーション豊富なスピン</x:v>
      </x:c>
      <x:c r="L131" s="7" t="str">
        <x:v>承認・例外対応・停止・復帰の境界は未確認</x:v>
      </x:c>
      <x:c r="M131" s="7" t="str">
        <x:v>2024原典抜粋：私共は『最高品質』 『公正価格』 『環境保全』を理念に、機械現場の生産性向上、作業環境の改善、安全性の向上に 貢献する製品を輸出入販売しています。 今年、設立50周年を迎えた私共は、創業以来の信念『Automation for Affluence～豊かさのための自動化』を旨として、さらなる高みを目指してまいります。 【ZERO CLAMP】 工作機械へのワークの投入／取出し作業の自動化。 豊富な実績のあるコンポーネントを組み合わせ、お客様だけの自動化’ソリューションを構築できます。 【ROLLON】 ■ボールネジ：</x:v>
      </x:c>
      <x:c r="N131" s="7" t="str">
        <x:v>2026原典抜粋：加工後、そのまま機械テーブル上にてワークを計測できるため省人化自動化に貢献するとともに高度な機上計測を実現致します。 / 航空宇宙、自動車、医療、時計などのあらゆる産業の加工対応可能な、バリエーション豊富なスピンドルです。 / 加工後、そのまま機械テーブル上にてワークを計測できるため省人化自動化に貢献するとともに高度な機上計測を実現致します。 / 航空宇宙、自動車、医療、時計などのあらゆる産業の加工対応可能な、バリエーション豊富なスピン</x:v>
      </x:c>
      <x:c r="O131" s="7" t="str">
        <x:v>両年原典あり・機能差未判定</x:v>
      </x:c>
      <x:c r="P131" s="7" t="str">
        <x:v>2026公式カタログ掲載・現地未確認</x:v>
      </x:c>
      <x:c r="Q131" s="7" t="str">
        <x:v>2026展示予定。既存製品・参考出展・構想等は原典で個別確認</x:v>
      </x:c>
      <x:c r="R131" s="7" t="str">
        <x:v>どの作業を自動化・支援するか、入力と判断・操作の範囲、適用条件と人の残作業、2024からの機能差、採用・受注・効果の実測を確認する。</x:v>
      </x:c>
      <x:c r="S131" s="7" t="str">
        <x:v>EEX-EXH-2026-c8de4ae2c9076f2f
EEX-EXH-2024-250adcc4319543c0</x:v>
      </x:c>
      <x:c r="T131" s="7" t="str">
        <x:v>EEX-EXH-2026-c8de4ae2c9076f2f: https://www.jimtof.org/search/jp/ESdetails?e=9vpTjarQl8s
EEX-EXH-2024-250adcc4319543c0: https://www.jimtof.org/2024/search/jp/ESdetails?e=byOFzdJNMYM</x:v>
      </x:c>
      <x:c r="U131" s="7" t="str">
        <x:v>出展説明の関連箇所に基づく一次分類</x:v>
      </x:c>
      <x:c r="V131" s="7"/>
      <x:c r="W131" s="7"/>
      <x:c r="X131" s="7"/>
      <x:c r="Y131" s="7"/>
      <x:c r="Z131" s="7"/>
      <x:c r="AA131" s="7"/>
      <x:c r="AB131" s="7"/>
    </x:row>
    <x:row r="132" ht="170" customHeight="1">
      <x:c r="A132" s="7" t="str">
        <x:v>AC061</x:v>
      </x:c>
      <x:c r="B132" s="20" t="str">
        <x:v>キャムタス株式会社</x:v>
      </x:c>
      <x:c r="C132" s="7" t="str">
        <x:v>【Speedy mill Next】２D-3Dを統合したCAD環境。同時5軸/３軸加工、2軸加工、複合加工、ワイヤ/レーザー加工など豊富な加工機能。プ</x:v>
      </x:c>
      <x:c r="D132" s="7" t="str">
        <x:v>S3067</x:v>
      </x:c>
      <x:c r="E132" s="7" t="str">
        <x:v>設計・製造DX</x:v>
      </x:c>
      <x:c r="F132" s="7" t="str">
        <x:v>出展説明の関連用途（個別タスクの分解は未完了）</x:v>
      </x:c>
      <x:c r="G132" s="7" t="str">
        <x:v>出展説明に記載。実装位置の個別精査はカードの方式・未確認欄を参照</x:v>
      </x:c>
      <x:c r="H132" s="7" t="str">
        <x:v>原典抜粋：今、製造現場でのDXに求められるものがここにあります。 / 【Speedy mill Next】２D-3Dを統合したCAD環境。 / 【Cimatron】世界的に定評のあるCAD/CAM。 / 【Speedy mill/Win】2次元CAD/CAM。 / 部品加工に特化した2次元CAD/CAM。</x:v>
      </x:c>
      <x:c r="I132" s="7" t="str">
        <x:v>個別入力の追加確認が必要</x:v>
      </x:c>
      <x:c r="J132" s="7" t="str">
        <x:v>原典抜粋：今、製造現場でのDXに求められるものがここにあります。 / 【Speedy mill Next】２D-3Dを統合したCAD環境。 / 【Cimatron】世界的に定評のあるCAD/CAM。 / 【Speedy mill/Win】2次元CAD/CAM。 / 部品加工に特化した2次元CAD/CAM。</x:v>
      </x:c>
      <x:c r="K132" s="7" t="str">
        <x:v>今、製造現場でのDXに求められるものがここにあります。 / 【Speedy mill Next】２D-3Dを統合したCAD環境。 / 【Cimatron】世界的に定評のあるCAD/CAM。 / 【Speedy mill/Win】2次元CAD/CAM。 / 部品加工に特化した2次元CAD/CAM。</x:v>
      </x:c>
      <x:c r="L132" s="7" t="str">
        <x:v>承認・例外対応・停止・復帰の境界は未確認</x:v>
      </x:c>
      <x:c r="M132" s="7" t="str">
        <x:v>2024原典抜粋：Speedy mill Nextは同時3軸、同時5軸の加工指示はもちろん、穴あけ、輪郭、ポケットの2軸加工、多面、多軸割り出し加工の機能も充実しています。近年注目されている複合機の旋削、ミーリング、複数スピンドルにも対応、タイムチャートを用いて工程のムダを省きます。加工工程3DPDFはNCデータの加工軌跡を動画にして見える化します。ビューアはAcrobatReaderを用いるため、トータルコストを抑えた運用が可能となります。今、製造現場でのDXに求められるものがここにあります。 【Speedy mill Next】</x:v>
      </x:c>
      <x:c r="N132" s="7" t="str">
        <x:v>2026原典抜粋：今、製造現場でのDXに求められるものがここにあります。 / 【Speedy mill Next】２D-3Dを統合したCAD環境。 / 【Cimatron】世界的に定評のあるCAD/CAM。 / 【Speedy mill/Win】2次元CAD/CAM。 / 部品加工に特化した2次元CAD/CAM。</x:v>
      </x:c>
      <x:c r="O132" s="7" t="str">
        <x:v>両年原典あり・機能差未判定</x:v>
      </x:c>
      <x:c r="P132" s="7" t="str">
        <x:v>2026公式カタログ掲載・現地未確認</x:v>
      </x:c>
      <x:c r="Q132" s="7" t="str">
        <x:v>2026展示予定。既存製品・参考出展・構想等は原典で個別確認</x:v>
      </x:c>
      <x:c r="R132" s="7" t="str">
        <x:v>どの作業を自動化・支援するか、入力と判断・操作の範囲、適用条件と人の残作業、2024からの機能差、採用・受注・効果の実測を確認する。</x:v>
      </x:c>
      <x:c r="S132" s="7" t="str">
        <x:v>EEX-EXH-2026-27ca2522afe8413a
EEX-EXH-2024-a064c1c485c75ab5</x:v>
      </x:c>
      <x:c r="T132" s="7" t="str">
        <x:v>EEX-EXH-2026-27ca2522afe8413a: https://www.jimtof.org/search/jp/ESdetails?e=7W94U2NDZqc
EEX-EXH-2024-a064c1c485c75ab5: https://www.jimtof.org/2024/search/jp/ESdetails?e=nKu4F7kQI2g</x:v>
      </x:c>
      <x:c r="U132" s="7" t="str">
        <x:v>出展説明の関連箇所に基づく一次分類</x:v>
      </x:c>
      <x:c r="V132" s="7"/>
      <x:c r="W132" s="7"/>
      <x:c r="X132" s="7"/>
      <x:c r="Y132" s="7"/>
      <x:c r="Z132" s="7"/>
      <x:c r="AA132" s="7"/>
      <x:c r="AB132" s="7"/>
    </x:row>
    <x:row r="133" ht="170" customHeight="1">
      <x:c r="A133" s="7" t="str">
        <x:v>AC062</x:v>
      </x:c>
      <x:c r="B133" s="20" t="str">
        <x:v>京セラ株式会社</x:v>
      </x:c>
      <x:c r="C133" s="7" t="str">
        <x:v>旋削工具、回転工具・ソリッド工具</x:v>
      </x:c>
      <x:c r="D133" s="7" t="str">
        <x:v>W1046</x:v>
      </x:c>
      <x:c r="E133" s="7" t="str">
        <x:v>工場運用DX
AI実装・連携基盤</x:v>
      </x:c>
      <x:c r="F133" s="7" t="str">
        <x:v>出展説明の関連用途（個別タスクの分解は未完了）</x:v>
      </x:c>
      <x:c r="G133" s="7" t="str">
        <x:v>出展説明に記載。実装位置の個別精査はカードの方式・未確認欄を参照</x:v>
      </x:c>
      <x:c r="H133" s="7" t="str">
        <x:v>原典抜粋：京セラは「Creating Sustainable Value in Machining」をコンセプトに出展します。 / 加工状態を可視化・監視・分析するセンシングソリューション「VIMOA」、工具選定を支援する「EASY TOOL GUIDE」を展示し、生産現場のDX推進を支援します。 / また、CAD／CAMメーカー様や加工ユーザー様との連携事例を通じ、加工課題の解決につながる最適なソリューションを紹介します。</x:v>
      </x:c>
      <x:c r="I133" s="7" t="str">
        <x:v>個別入力の追加確認が必要</x:v>
      </x:c>
      <x:c r="J133" s="7" t="str">
        <x:v>原典抜粋：京セラは「Creating Sustainable Value in Machining」をコンセプトに出展します。 / 加工状態を可視化・監視・分析するセンシングソリューション「VIMOA」、工具選定を支援する「EASY TOOL GUIDE」を展示し、生産現場のDX推進を支援します。 / また、CAD／CAMメーカー様や加工ユーザー様との連携事例を通じ、加工課題の解決につながる最適なソリューションを紹介します。</x:v>
      </x:c>
      <x:c r="K133" s="7" t="str">
        <x:v>京セラは「Creating Sustainable Value in Machining」をコンセプトに出展します。 / 加工状態を可視化・監視・分析するセンシングソリューション「VIMOA」、工具選定を支援する「EASY TOOL GUIDE」を展示し、生産現場のDX推進を支援します。 / また、CAD／CAMメーカー様や加工ユーザー様との連携事例を通じ、加工課題の解決につながる最適なソリューションを紹介します。</x:v>
      </x:c>
      <x:c r="L133" s="7" t="str">
        <x:v>承認・例外対応・停止・復帰の境界は未確認</x:v>
      </x:c>
      <x:c r="M133" s="7" t="str">
        <x:v>2024原典抜粋：京セラは、「Technology Leads to a Bright Future」をコンセプトに出展します。 【1】新製品を一堂に展示。CVDコーティング材種「CA115P/CA125P」、PVDコーティング材種「PR18シリーズ」をはじめ、小径ソリッドドリル「KDA Mini」、自動盤用突切り工具「KGZ」などの最新切削工具を多数出展。 【2】強い生産現場づくりへ、デジタルツールを活用し、DXを後押しする京セラのトータルサポートの取り組みを紹介。工具選びを便利にするツール「EASY TOOL GUIDE」、加工</x:v>
      </x:c>
      <x:c r="N133" s="7" t="str">
        <x:v>2026原典抜粋：京セラは「Creating Sustainable Value in Machining」をコンセプトに出展します。 / 加工状態を可視化・監視・分析するセンシングソリューション「VIMOA」、工具選定を支援する「EASY TOOL GUIDE」を展示し、生産現場のDX推進を支援します。 / また、CAD／CAMメーカー様や加工ユーザー様との連携事例を通じ、加工課題の解決につながる最適なソリューションを紹介します。</x:v>
      </x:c>
      <x:c r="O133" s="7" t="str">
        <x:v>両年原典あり・機能差未判定</x:v>
      </x:c>
      <x:c r="P133" s="7" t="str">
        <x:v>2026公式カタログ掲載・現地未確認</x:v>
      </x:c>
      <x:c r="Q133" s="7" t="str">
        <x:v>2026展示予定。既存製品・参考出展・構想等は原典で個別確認</x:v>
      </x:c>
      <x:c r="R133" s="7" t="str">
        <x:v>どの作業を自動化・支援するか、入力と判断・操作の範囲、適用条件と人の残作業、2024からの機能差、採用・受注・効果の実測を確認する。</x:v>
      </x:c>
      <x:c r="S133" s="7" t="str">
        <x:v>EEX-EXH-2026-916418fd838030de
EEX-EXH-2024-52636389a1fe85b6</x:v>
      </x:c>
      <x:c r="T133" s="7" t="str">
        <x:v>EEX-EXH-2026-916418fd838030de: https://www.jimtof.org/search/jp/ESdetails?e=E4SA18YM2G4
EEX-EXH-2024-52636389a1fe85b6: https://www.jimtof.org/2024/search/jp/ESdetails?e=0vdiPA6Ji_M</x:v>
      </x:c>
      <x:c r="U133" s="7" t="str">
        <x:v>出展説明の関連箇所に基づく一次分類</x:v>
      </x:c>
      <x:c r="V133" s="7"/>
      <x:c r="W133" s="7"/>
      <x:c r="X133" s="7"/>
      <x:c r="Y133" s="7"/>
      <x:c r="Z133" s="7"/>
      <x:c r="AA133" s="7"/>
      <x:c r="AB133" s="7"/>
    </x:row>
    <x:row r="134" ht="170" customHeight="1">
      <x:c r="A134" s="7" t="str">
        <x:v>AC063</x:v>
      </x:c>
      <x:c r="B134" s="20" t="str">
        <x:v>共立精機株式会社</x:v>
      </x:c>
      <x:c r="C134" s="7" t="str">
        <x:v>全自動計測システム　HP-6040V-FA</x:v>
      </x:c>
      <x:c r="D134" s="7" t="str">
        <x:v>W2025</x:v>
      </x:c>
      <x:c r="E134" s="7" t="str">
        <x:v>工場運用DX
自動化</x:v>
      </x:c>
      <x:c r="F134" s="7" t="str">
        <x:v>出展説明の関連用途（個別タスクの分解は未完了）</x:v>
      </x:c>
      <x:c r="G134" s="7" t="str">
        <x:v>出展説明に記載。実装位置の個別精査はカードの方式・未確認欄を参照</x:v>
      </x:c>
      <x:c r="H134" s="7" t="str">
        <x:v>原典抜粋：全自動ツールプリセッタ HP‑6040V‑FA は、締緩装置やロボット搬送との組み合わせにより、工具交換から突き出し量調整、刃先測定までを連続して自動化し、プリセット作業の効率を高める。 / チップチェンジャは、工具先端のチップを自動で交換する装置で、交換作業を迅速化し、段取り時間の短縮と作業負荷の軽減を実現する。 / 全自動計測システム　HP-6040V-FA / インサート自動交換装置 チップチェンジャ</x:v>
      </x:c>
      <x:c r="I134" s="7" t="str">
        <x:v>個別入力の追加確認が必要</x:v>
      </x:c>
      <x:c r="J134" s="7" t="str">
        <x:v>原典抜粋：全自動ツールプリセッタ HP‑6040V‑FA は、締緩装置やロボット搬送との組み合わせにより、工具交換から突き出し量調整、刃先測定までを連続して自動化し、プリセット作業の効率を高める。 / チップチェンジャは、工具先端のチップを自動で交換する装置で、交換作業を迅速化し、段取り時間の短縮と作業負荷の軽減を実現する。 / 全自動計測システム　HP-6040V-FA / インサート自動交換装置 チップチェンジャ</x:v>
      </x:c>
      <x:c r="K134" s="7" t="str">
        <x:v>全自動ツールプリセッタ HP‑6040V‑FA は、締緩装置やロボット搬送との組み合わせにより、工具交換から突き出し量調整、刃先測定までを連続して自動化し、プリセット作業の効率を高める。 / チップチェンジャは、工具先端のチップを自動で交換する装置で、交換作業を迅速化し、段取り時間の短縮と作業負荷の軽減を実現する。 / 全自動計測システム　HP-6040V-FA / インサート自動交換装置 チップチェンジャ</x:v>
      </x:c>
      <x:c r="L134" s="7" t="str">
        <x:v>承認・例外対応・停止・復帰の境界は未確認</x:v>
      </x:c>
      <x:c r="M134" s="7" t="str">
        <x:v>2024原典抜粋：工具段取り作業を自動化した「全自動計測システムHP-6040V-FA」を出展する。ツーリングや工具の管理、工具の着脱、突き出し量の調整、刃先測定、工作機械へのホルダー搬送と工具補正値入力など、ほとんどが作業者による手作業で行われているのが現状で、工具段取り工程が工場全体におけるＦＡ化の足枷となっている。これらの課題を解決するために、ツールプリセッタをベースにした工具段取り作業の自動化を提案する。生産効率のアップと自動化による人件費の削減、ヒューマンエラー回避で安定品質を実現する。 新商品となる高精度の全自動測定に特</x:v>
      </x:c>
      <x:c r="N134" s="7" t="str">
        <x:v>2026原典抜粋：全自動ツールプリセッタ HP‑6040V‑FA は、締緩装置やロボット搬送との組み合わせにより、工具交換から突き出し量調整、刃先測定までを連続して自動化し、プリセット作業の効率を高める。 / チップチェンジャは、工具先端のチップを自動で交換する装置で、交換作業を迅速化し、段取り時間の短縮と作業負荷の軽減を実現する。 / 全自動計測システム　HP-6040V-FA / インサート自動交換装置 チップチェンジャ</x:v>
      </x:c>
      <x:c r="O134" s="7" t="str">
        <x:v>両年原典あり・機能差未判定</x:v>
      </x:c>
      <x:c r="P134" s="7" t="str">
        <x:v>2026公式カタログ掲載・現地未確認</x:v>
      </x:c>
      <x:c r="Q134" s="7" t="str">
        <x:v>2026展示予定。既存製品・参考出展・構想等は原典で個別確認</x:v>
      </x:c>
      <x:c r="R134" s="7" t="str">
        <x:v>どの作業を自動化・支援するか、入力と判断・操作の範囲、適用条件と人の残作業、2024からの機能差、採用・受注・効果の実測を確認する。</x:v>
      </x:c>
      <x:c r="S134" s="7" t="str">
        <x:v>EEX-EXH-2026-1c8938d47b63e4bb
EEX-EXH-2024-3a9bfb48fcb6542c</x:v>
      </x:c>
      <x:c r="T134" s="7" t="str">
        <x:v>EEX-EXH-2026-1c8938d47b63e4bb: https://www.jimtof.org/search/jp/ESdetails?e=9k7ro8sL0VA
EEX-EXH-2024-3a9bfb48fcb6542c: https://www.jimtof.org/2024/search/jp/ESdetails?e=xT1gIvXxCpQ</x:v>
      </x:c>
      <x:c r="U134" s="7" t="str">
        <x:v>出展説明の関連箇所に基づく一次分類</x:v>
      </x:c>
      <x:c r="V134" s="7"/>
      <x:c r="W134" s="7"/>
      <x:c r="X134" s="7"/>
      <x:c r="Y134" s="7"/>
      <x:c r="Z134" s="7"/>
      <x:c r="AA134" s="7"/>
      <x:c r="AB134" s="7"/>
    </x:row>
    <x:row r="135" ht="170" customHeight="1">
      <x:c r="A135" s="7" t="str">
        <x:v>AC064</x:v>
      </x:c>
      <x:c r="B135" s="20" t="str">
        <x:v>Quod6株式会社</x:v>
      </x:c>
      <x:c r="C135" s="7" t="str">
        <x:v>• Element SixのダイヤモンドおよびCBN</x:v>
      </x:c>
      <x:c r="D135" s="7" t="str">
        <x:v>W4017</x:v>
      </x:c>
      <x:c r="E135" s="7" t="str">
        <x:v>自動化</x:v>
      </x:c>
      <x:c r="F135" s="7" t="str">
        <x:v>出展説明の関連用途（個別タスクの分解は未完了）</x:v>
      </x:c>
      <x:c r="G135" s="7" t="str">
        <x:v>出展説明に記載。実装位置の個別精査はカードの方式・未確認欄を参照</x:v>
      </x:c>
      <x:c r="H135" s="7" t="str">
        <x:v>原典抜粋：o 自動化された効率的な高品質ろう付け</x:v>
      </x:c>
      <x:c r="I135" s="7" t="str">
        <x:v>個別入力の追加確認が必要</x:v>
      </x:c>
      <x:c r="J135" s="7" t="str">
        <x:v>原典抜粋：o 自動化された効率的な高品質ろう付け</x:v>
      </x:c>
      <x:c r="K135" s="7" t="str">
        <x:v>o 自動化された効率的な高品質ろう付け</x:v>
      </x:c>
      <x:c r="L135" s="7" t="str">
        <x:v>承認・例外対応・停止・復帰の境界は未確認</x:v>
      </x:c>
      <x:c r="M135" s="7" t="str">
        <x:v>同一正規化名称の2024詳細なし。新規出展・技術不存在とは判断しない。</x:v>
      </x:c>
      <x:c r="N135" s="7" t="str">
        <x:v>2026原典抜粋：o 自動化された効率的な高品質ろう付け</x:v>
      </x:c>
      <x:c r="O135" s="7" t="str">
        <x:v>2024個別比較不能</x:v>
      </x:c>
      <x:c r="P135" s="7" t="str">
        <x:v>2026公式カタログ掲載・現地未確認</x:v>
      </x:c>
      <x:c r="Q135" s="7" t="str">
        <x:v>2026展示予定。既存製品・参考出展・構想等は原典で個別確認</x:v>
      </x:c>
      <x:c r="R135" s="7" t="str">
        <x:v>どの作業を自動化・支援するか、入力と判断・操作の範囲、適用条件と人の残作業、2024からの機能差、採用・受注・効果の実測を確認する。</x:v>
      </x:c>
      <x:c r="S135" s="7" t="str">
        <x:v>EEX-EXH-2026-7b1312c50474d3b9</x:v>
      </x:c>
      <x:c r="T135" s="7" t="str">
        <x:v>EEX-EXH-2026-7b1312c50474d3b9: https://www.jimtof.org/search/jp/ESdetails?e=ecnhDTVp2uU</x:v>
      </x:c>
      <x:c r="U135" s="7" t="str">
        <x:v>出展説明の関連箇所に基づく一次分類</x:v>
      </x:c>
      <x:c r="V135" s="7"/>
      <x:c r="W135" s="7"/>
      <x:c r="X135" s="7"/>
      <x:c r="Y135" s="7"/>
      <x:c r="Z135" s="7"/>
      <x:c r="AA135" s="7"/>
      <x:c r="AB135" s="7"/>
    </x:row>
    <x:row r="136" ht="170" customHeight="1">
      <x:c r="A136" s="7" t="str">
        <x:v>AC065</x:v>
      </x:c>
      <x:c r="B136" s="20" t="str">
        <x:v>株式会社国盛化学</x:v>
      </x:c>
      <x:c r="C136" s="7" t="str">
        <x:v>サイルベア（低発塵・低振動・低発塵・低摩耗）のリンクレスケーブルチェーン）</x:v>
      </x:c>
      <x:c r="D136" s="7" t="str">
        <x:v>S3039</x:v>
      </x:c>
      <x:c r="E136" s="7" t="str">
        <x:v>自動化
AI実装・連携基盤</x:v>
      </x:c>
      <x:c r="F136" s="7" t="str">
        <x:v>出展説明の関連用途（個別タスクの分解は未完了）</x:v>
      </x:c>
      <x:c r="G136" s="7" t="str">
        <x:v>出展説明に記載。実装位置の個別精査はカードの方式・未確認欄を参照</x:v>
      </x:c>
      <x:c r="H136" s="7" t="str">
        <x:v>原典抜粋：中でも、多関節ロボット対応の サイルベアフレックス は、</x:v>
      </x:c>
      <x:c r="I136" s="7" t="str">
        <x:v>個別入力の追加確認が必要</x:v>
      </x:c>
      <x:c r="J136" s="7" t="str">
        <x:v>原典抜粋：中でも、多関節ロボット対応の サイルベアフレックス は、</x:v>
      </x:c>
      <x:c r="K136" s="7" t="str">
        <x:v>中でも、多関節ロボット対応の サイルベアフレックス は、</x:v>
      </x:c>
      <x:c r="L136" s="7" t="str">
        <x:v>承認・例外対応・停止・復帰の境界は未確認</x:v>
      </x:c>
      <x:c r="M136" s="7" t="str">
        <x:v>同一正規化名称の2024詳細なし。新規出展・技術不存在とは判断しない。</x:v>
      </x:c>
      <x:c r="N136" s="7" t="str">
        <x:v>2026原典抜粋：中でも、多関節ロボット対応の サイルベアフレックス は、</x:v>
      </x:c>
      <x:c r="O136" s="7" t="str">
        <x:v>2024個別比較不能</x:v>
      </x:c>
      <x:c r="P136" s="7" t="str">
        <x:v>2026公式カタログ掲載・現地未確認</x:v>
      </x:c>
      <x:c r="Q136" s="7" t="str">
        <x:v>2026展示予定。既存製品・参考出展・構想等は原典で個別確認</x:v>
      </x:c>
      <x:c r="R136" s="7" t="str">
        <x:v>どの作業を自動化・支援するか、入力と判断・操作の範囲、適用条件と人の残作業、2024からの機能差、採用・受注・効果の実測を確認する。</x:v>
      </x:c>
      <x:c r="S136" s="7" t="str">
        <x:v>EEX-EXH-2026-494539b75342b5a9</x:v>
      </x:c>
      <x:c r="T136" s="7" t="str">
        <x:v>EEX-EXH-2026-494539b75342b5a9: https://www.jimtof.org/search/jp/ESdetails?e=27tfI7tHVRI</x:v>
      </x:c>
      <x:c r="U136" s="7" t="str">
        <x:v>出展説明の関連箇所に基づく一次分類</x:v>
      </x:c>
      <x:c r="V136" s="7"/>
      <x:c r="W136" s="7"/>
      <x:c r="X136" s="7"/>
      <x:c r="Y136" s="7"/>
      <x:c r="Z136" s="7"/>
      <x:c r="AA136" s="7"/>
      <x:c r="AB136" s="7"/>
    </x:row>
    <x:row r="137" ht="170" customHeight="1">
      <x:c r="A137" s="7" t="str">
        <x:v>AC066</x:v>
      </x:c>
      <x:c r="B137" s="20" t="str">
        <x:v>株式会社クロイツ</x:v>
      </x:c>
      <x:c r="C137" s="7" t="str">
        <x:v>N-バイト</x:v>
      </x:c>
      <x:c r="D137" s="7" t="str">
        <x:v>E3025</x:v>
      </x:c>
      <x:c r="E137" s="7" t="str">
        <x:v>自動化</x:v>
      </x:c>
      <x:c r="F137" s="7" t="str">
        <x:v>出展説明の関連用途（個別タスクの分解は未完了）</x:v>
      </x:c>
      <x:c r="G137" s="7" t="str">
        <x:v>出展説明に記載。実装位置の個別精査はカードの方式・未確認欄を参照</x:v>
      </x:c>
      <x:c r="H137" s="7" t="str">
        <x:v>原典抜粋：ロボット向けフローチングツーリング</x:v>
      </x:c>
      <x:c r="I137" s="7" t="str">
        <x:v>個別入力の追加確認が必要</x:v>
      </x:c>
      <x:c r="J137" s="7" t="str">
        <x:v>原典抜粋：ロボット向けフローチングツーリング</x:v>
      </x:c>
      <x:c r="K137" s="7" t="str">
        <x:v>ロボット向けフローチングツーリング</x:v>
      </x:c>
      <x:c r="L137" s="7" t="str">
        <x:v>承認・例外対応・停止・復帰の境界は未確認</x:v>
      </x:c>
      <x:c r="M137" s="7" t="str">
        <x:v>2024原典抜粋：今回は新機種として、NCコアユニット NCR-D5H を搭載したバリ取り機を展示致します。 ツイストドライブ方式による5軸が天吊型の構成で、弊社のロボットユニットであるRBR-D5N とメカ互換を実現しました。 バリ取り設備として、NCで制御したい、ロボットで動かしたいなどユーザーの選択を広げた展開 でニーズに答えます。 また、Z軸負荷軽減ユニットも展示致します。研削などで使用できる高出力のモータースピンドルで負荷軽減できるモーションユニットです。 他には、NC旋盤やマシニングセンタ向けのバリ取り工具を多数展示致し</x:v>
      </x:c>
      <x:c r="N137" s="7" t="str">
        <x:v>2026原典抜粋：ロボット向けフローチングツーリング</x:v>
      </x:c>
      <x:c r="O137" s="7" t="str">
        <x:v>両年原典あり・機能差未判定</x:v>
      </x:c>
      <x:c r="P137" s="7" t="str">
        <x:v>2026公式カタログ掲載・現地未確認</x:v>
      </x:c>
      <x:c r="Q137" s="7" t="str">
        <x:v>2026展示予定。既存製品・参考出展・構想等は原典で個別確認</x:v>
      </x:c>
      <x:c r="R137" s="7" t="str">
        <x:v>どの作業を自動化・支援するか、入力と判断・操作の範囲、適用条件と人の残作業、2024からの機能差、採用・受注・効果の実測を確認する。</x:v>
      </x:c>
      <x:c r="S137" s="7" t="str">
        <x:v>EEX-EXH-2026-65a684118b48bdf2
EEX-EXH-2024-96fda1ff323f21a0</x:v>
      </x:c>
      <x:c r="T137" s="7" t="str">
        <x:v>EEX-EXH-2026-65a684118b48bdf2: https://www.jimtof.org/search/jp/ESdetails?e=pKhtGg5AXLc
EEX-EXH-2024-96fda1ff323f21a0: https://www.jimtof.org/2024/search/jp/ESdetails?e=1GQBhZ1T3X0</x:v>
      </x:c>
      <x:c r="U137" s="7" t="str">
        <x:v>出展説明の関連箇所に基づく一次分類</x:v>
      </x:c>
      <x:c r="V137" s="7"/>
      <x:c r="W137" s="7"/>
      <x:c r="X137" s="7"/>
      <x:c r="Y137" s="7"/>
      <x:c r="Z137" s="7"/>
      <x:c r="AA137" s="7"/>
      <x:c r="AB137" s="7"/>
    </x:row>
    <x:row r="138" ht="170" customHeight="1">
      <x:c r="A138" s="7" t="str">
        <x:v>AC067</x:v>
      </x:c>
      <x:c r="B138" s="20" t="str">
        <x:v>株式会社グローバル・パーツ</x:v>
      </x:c>
      <x:c r="C138" s="7" t="str">
        <x:v>精密ロックナット、主軸周辺の高精度加工部品、軸力測定センサー、ATCマガジン、汎用クーラントホースシステム、高圧専用ノズル、スピンドル、パワーチャック</x:v>
      </x:c>
      <x:c r="D138" s="7" t="str">
        <x:v>S3045</x:v>
      </x:c>
      <x:c r="E138" s="7" t="str">
        <x:v>自動化</x:v>
      </x:c>
      <x:c r="F138" s="7" t="str">
        <x:v>出展説明の関連用途（個別タスクの分解は未完了）</x:v>
      </x:c>
      <x:c r="G138" s="7" t="str">
        <x:v>出展説明に記載。実装位置の個別精査はカードの方式・未確認欄を参照</x:v>
      </x:c>
      <x:c r="H138" s="7" t="str">
        <x:v>原典抜粋：ATCマガジンやロータリーテーブル、APCといった自動化に関連する装置や、消費電力削減が図れるインバータ付き油圧ユニット、サーボモーター付き油圧ユニットも製造・販売しております。 / 精密ロックナット、主軸周辺の高精度加工部品、軸力測定センサー、ATCマガジン、汎用クーラントホースシステム、高圧専用ノズル、スピンドル、パワーチャック、回転シリンダー、ハースカップリング、インバータータイプ油圧ポンプ、サーボタイプ油圧ポンプ、ロータリーテー</x:v>
      </x:c>
      <x:c r="I138" s="7" t="str">
        <x:v>個別入力の追加確認が必要</x:v>
      </x:c>
      <x:c r="J138" s="7" t="str">
        <x:v>原典抜粋：ATCマガジンやロータリーテーブル、APCといった自動化に関連する装置や、消費電力削減が図れるインバータ付き油圧ユニット、サーボモーター付き油圧ユニットも製造・販売しております。 / 精密ロックナット、主軸周辺の高精度加工部品、軸力測定センサー、ATCマガジン、汎用クーラントホースシステム、高圧専用ノズル、スピンドル、パワーチャック、回転シリンダー、ハースカップリング、インバータータイプ油圧ポンプ、サーボタイプ油圧ポンプ、ロータリーテー</x:v>
      </x:c>
      <x:c r="K138" s="7" t="str">
        <x:v>ATCマガジンやロータリーテーブル、APCといった自動化に関連する装置や、消費電力削減が図れるインバータ付き油圧ユニット、サーボモーター付き油圧ユニットも製造・販売しております。 / 精密ロックナット、主軸周辺の高精度加工部品、軸力測定センサー、ATCマガジン、汎用クーラントホースシステム、高圧専用ノズル、スピンドル、パワーチャック、回転シリンダー、ハースカップリング、インバータータイプ油圧ポンプ、サーボタイプ油圧ポンプ、ロータリーテー</x:v>
      </x:c>
      <x:c r="L138" s="7" t="str">
        <x:v>承認・例外対応・停止・復帰の境界は未確認</x:v>
      </x:c>
      <x:c r="M138" s="7" t="str">
        <x:v>2024原典抜粋：精密ロックナットと高精度特殊部品は図面で仕様を指定頂ければ2個からでも生産致します。高精度部品は主に丸物を得意にしており『直角度：0.002mm、平行度：0.002mm、平面度：0.002mm等』の精度で加工し、最新鋭の検査設備で測定した結果と共に提供致します。 ATCマガジンやロータリーテーブル、APCといった自動化に関連する装置や、消費電力削減が図れるインバータ付き油圧ユニット、サーボモーター付き油圧ユニットも製造・販売しております。 実機の実演も行っていますので、当日はブースへお越し頂けます様お願い申し上げま</x:v>
      </x:c>
      <x:c r="N138" s="7" t="str">
        <x:v>2026原典抜粋：ATCマガジンやロータリーテーブル、APCといった自動化に関連する装置や、消費電力削減が図れるインバータ付き油圧ユニット、サーボモーター付き油圧ユニットも製造・販売しております。 / 精密ロックナット、主軸周辺の高精度加工部品、軸力測定センサー、ATCマガジン、汎用クーラントホースシステム、高圧専用ノズル、スピンドル、パワーチャック、回転シリンダー、ハースカップリング、インバータータイプ油圧ポンプ、サーボタイプ油圧ポンプ、ロータリーテー</x:v>
      </x:c>
      <x:c r="O138" s="7" t="str">
        <x:v>両年原典あり・機能差未判定</x:v>
      </x:c>
      <x:c r="P138" s="7" t="str">
        <x:v>2026公式カタログ掲載・現地未確認</x:v>
      </x:c>
      <x:c r="Q138" s="7" t="str">
        <x:v>2026展示予定。既存製品・参考出展・構想等は原典で個別確認</x:v>
      </x:c>
      <x:c r="R138" s="7" t="str">
        <x:v>どの作業を自動化・支援するか、入力と判断・操作の範囲、適用条件と人の残作業、2024からの機能差、採用・受注・効果の実測を確認する。</x:v>
      </x:c>
      <x:c r="S138" s="7" t="str">
        <x:v>EEX-EXH-2026-52c126c6f3c4371e
EEX-EXH-2024-b2a774439c818c66</x:v>
      </x:c>
      <x:c r="T138" s="7" t="str">
        <x:v>EEX-EXH-2026-52c126c6f3c4371e: https://www.jimtof.org/search/jp/ESdetails?e=7pg5I7Dvfkc
EEX-EXH-2024-b2a774439c818c66: https://www.jimtof.org/2024/search/jp/ESdetails?e=6gt3alVsSgs</x:v>
      </x:c>
      <x:c r="U138" s="7" t="str">
        <x:v>出展説明の関連箇所に基づく一次分類</x:v>
      </x:c>
      <x:c r="V138" s="7"/>
      <x:c r="W138" s="7"/>
      <x:c r="X138" s="7"/>
      <x:c r="Y138" s="7"/>
      <x:c r="Z138" s="7"/>
      <x:c r="AA138" s="7"/>
      <x:c r="AB138" s="7"/>
    </x:row>
    <x:row r="139" ht="170" customHeight="1">
      <x:c r="A139" s="7" t="str">
        <x:v>AC068</x:v>
      </x:c>
      <x:c r="B139" s="20" t="str">
        <x:v>黒田精工株式会社</x:v>
      </x:c>
      <x:c r="C139" s="7" t="str">
        <x:v>【高精度加工を実現する一台】</x:v>
      </x:c>
      <x:c r="D139" s="7" t="str">
        <x:v>E7091</x:v>
      </x:c>
      <x:c r="E139" s="7" t="str">
        <x:v>自動化</x:v>
      </x:c>
      <x:c r="F139" s="7" t="str">
        <x:v>出展説明の関連用途（個別タスクの分解は未完了）</x:v>
      </x:c>
      <x:c r="G139" s="7" t="str">
        <x:v>出展説明に記載。実装位置の個別精査はカードの方式・未確認欄を参照</x:v>
      </x:c>
      <x:c r="H139" s="7" t="str">
        <x:v>原典抜粋：自動車業界を筆頭に豊富な採用実績を有する「ハイドロリックツール」は、時間のかかる芯出し作業が誰でも簡単に行える精密油圧治具。 / 歯車加工の芯出し作業の効率化や歯車計測の自動化対応例を出展いたします。 / －歯車加工の芯出し作業の効率化や歯車計測の自動対応例などを展示</x:v>
      </x:c>
      <x:c r="I139" s="7" t="str">
        <x:v>個別入力の追加確認が必要</x:v>
      </x:c>
      <x:c r="J139" s="7" t="str">
        <x:v>原典抜粋：自動車業界を筆頭に豊富な採用実績を有する「ハイドロリックツール」は、時間のかかる芯出し作業が誰でも簡単に行える精密油圧治具。 / 歯車加工の芯出し作業の効率化や歯車計測の自動化対応例を出展いたします。 / －歯車加工の芯出し作業の効率化や歯車計測の自動対応例などを展示</x:v>
      </x:c>
      <x:c r="K139" s="7" t="str">
        <x:v>自動車業界を筆頭に豊富な採用実績を有する「ハイドロリックツール」は、時間のかかる芯出し作業が誰でも簡単に行える精密油圧治具。 / 歯車加工の芯出し作業の効率化や歯車計測の自動化対応例を出展いたします。 / －歯車加工の芯出し作業の効率化や歯車計測の自動対応例などを展示</x:v>
      </x:c>
      <x:c r="L139" s="7" t="str">
        <x:v>承認・例外対応・停止・復帰の境界は未確認</x:v>
      </x:c>
      <x:c r="M139" s="7" t="str">
        <x:v>2024原典抜粋：来年に100周年を迎える黒田精工は「KURODA Smart machines, Smart future for 100th anniversary」をコンセプトに、 ロータリ研削盤をはじめ、加工と計測のSmart化を実現する平面研削盤、様々な場面で効率化と高精度化を実現するハイドロリックツールを出展。 加工実演や採用事例のご紹介を通して、お客様に新しいソリューションを提案いたします。 【新機種】 精密ロータリー研削盤 GSR-600 【加工実演】 精密平面研削盤 GS-126CVs 【ワーク搬送・加工・測定実演</x:v>
      </x:c>
      <x:c r="N139" s="7" t="str">
        <x:v>2026原典抜粋：自動車業界を筆頭に豊富な採用実績を有する「ハイドロリックツール」は、時間のかかる芯出し作業が誰でも簡単に行える精密油圧治具。 / 歯車加工の芯出し作業の効率化や歯車計測の自動化対応例を出展いたします。 / －歯車加工の芯出し作業の効率化や歯車計測の自動対応例などを展示</x:v>
      </x:c>
      <x:c r="O139" s="7" t="str">
        <x:v>両年原典あり・機能差未判定</x:v>
      </x:c>
      <x:c r="P139" s="7" t="str">
        <x:v>2026公式カタログ掲載・現地未確認</x:v>
      </x:c>
      <x:c r="Q139" s="7" t="str">
        <x:v>2026展示予定。既存製品・参考出展・構想等は原典で個別確認</x:v>
      </x:c>
      <x:c r="R139" s="7" t="str">
        <x:v>どの作業を自動化・支援するか、入力と判断・操作の範囲、適用条件と人の残作業、2024からの機能差、採用・受注・効果の実測を確認する。</x:v>
      </x:c>
      <x:c r="S139" s="7" t="str">
        <x:v>EEX-EXH-2026-d1c4b808057b7341
EEX-EXH-2024-9a19203b36a3d101</x:v>
      </x:c>
      <x:c r="T139" s="7" t="str">
        <x:v>EEX-EXH-2026-d1c4b808057b7341: https://www.jimtof.org/search/jp/ESdetails?e=46cG1q7GwI4
EEX-EXH-2024-9a19203b36a3d101: https://www.jimtof.org/2024/search/jp/ESdetails?e=cWqFNxFT9X8</x:v>
      </x:c>
      <x:c r="U139" s="7" t="str">
        <x:v>出展説明の関連箇所に基づく一次分類</x:v>
      </x:c>
      <x:c r="V139" s="7"/>
      <x:c r="W139" s="7"/>
      <x:c r="X139" s="7"/>
      <x:c r="Y139" s="7"/>
      <x:c r="Z139" s="7"/>
      <x:c r="AA139" s="7"/>
      <x:c r="AB139" s="7"/>
    </x:row>
    <x:row r="140" ht="170" customHeight="1">
      <x:c r="A140" s="7" t="str">
        <x:v>AC069</x:v>
      </x:c>
      <x:c r="B140" s="20" t="str">
        <x:v>GROB Japan株式会社</x:v>
      </x:c>
      <x:c r="C140" s="7" t="str">
        <x:v>新製品情報を公開：</x:v>
      </x:c>
      <x:c r="D140" s="7" t="str">
        <x:v>S1059</x:v>
      </x:c>
      <x:c r="E140" s="7" t="str">
        <x:v>自動化</x:v>
      </x:c>
      <x:c r="F140" s="7" t="str">
        <x:v>出展説明の関連用途（個別タスクの分解は未完了）</x:v>
      </x:c>
      <x:c r="G140" s="7" t="str">
        <x:v>出展説明に記載。実装位置の個別精査はカードの方式・未確認欄を参照</x:v>
      </x:c>
      <x:c r="H140" s="7" t="str">
        <x:v>原典抜粋：GROBは今年で創立100周年を迎えた南ドイツのミンデルハイムに本社を持つ加工機、自動化・組立設備メーカーです。 / テーブルが180°反転した状態で加工できる横型同時5軸加工機のGシリーズから、GROB内製の多様な自動化設備、EV向けのモーター・バッテリーの組立設備まで幅広いソリューションを提供しています。</x:v>
      </x:c>
      <x:c r="I140" s="7" t="str">
        <x:v>個別入力の追加確認が必要</x:v>
      </x:c>
      <x:c r="J140" s="7" t="str">
        <x:v>原典抜粋：GROBは今年で創立100周年を迎えた南ドイツのミンデルハイムに本社を持つ加工機、自動化・組立設備メーカーです。 / テーブルが180°反転した状態で加工できる横型同時5軸加工機のGシリーズから、GROB内製の多様な自動化設備、EV向けのモーター・バッテリーの組立設備まで幅広いソリューションを提供しています。</x:v>
      </x:c>
      <x:c r="K140" s="7" t="str">
        <x:v>GROBは今年で創立100周年を迎えた南ドイツのミンデルハイムに本社を持つ加工機、自動化・組立設備メーカーです。 / テーブルが180°反転した状態で加工できる横型同時5軸加工機のGシリーズから、GROB内製の多様な自動化設備、EV向けのモーター・バッテリーの組立設備まで幅広いソリューションを提供しています。</x:v>
      </x:c>
      <x:c r="L140" s="7" t="str">
        <x:v>承認・例外対応・停止・復帰の境界は未確認</x:v>
      </x:c>
      <x:c r="M140" s="7" t="str">
        <x:v>2024原典抜粋：GROBは南ドイツに本社を持つ加工機、自動化・組立設備メーカーです。テーブルが180°反転した状態で加工できる横型同時5軸加工機のGシリーズから、GROB内製の多様な自動化設備、電気自動車(EV)向けのモーター・バッテリーの組立設備といった幅広い製品とソリューションを提供しています。 横型同時5軸マシニングセンターで加工したワークの展示を中心に、EVのステーター、ローターやGMP金属3Dプリンターで積層したワークの展示と弊社製品のご紹介をしております。 Gシリーズマシニングセンターで加工したワーク ・航空機向け構造</x:v>
      </x:c>
      <x:c r="N140" s="7" t="str">
        <x:v>2026原典抜粋：GROBは今年で創立100周年を迎えた南ドイツのミンデルハイムに本社を持つ加工機、自動化・組立設備メーカーです。 / テーブルが180°反転した状態で加工できる横型同時5軸加工機のGシリーズから、GROB内製の多様な自動化設備、EV向けのモーター・バッテリーの組立設備まで幅広いソリューションを提供しています。</x:v>
      </x:c>
      <x:c r="O140" s="7" t="str">
        <x:v>両年原典あり・機能差未判定</x:v>
      </x:c>
      <x:c r="P140" s="7" t="str">
        <x:v>2026公式カタログ掲載・現地未確認</x:v>
      </x:c>
      <x:c r="Q140" s="7" t="str">
        <x:v>2026展示予定。既存製品・参考出展・構想等は原典で個別確認</x:v>
      </x:c>
      <x:c r="R140" s="7" t="str">
        <x:v>どの作業を自動化・支援するか、入力と判断・操作の範囲、適用条件と人の残作業、2024からの機能差、採用・受注・効果の実測を確認する。</x:v>
      </x:c>
      <x:c r="S140" s="7" t="str">
        <x:v>EEX-EXH-2026-c73d489b393f8bc8
EEX-EXH-2024-f5cfbaad2bd1300b</x:v>
      </x:c>
      <x:c r="T140" s="7" t="str">
        <x:v>EEX-EXH-2026-c73d489b393f8bc8: https://www.jimtof.org/search/jp/ESdetails?e=1gMJ22MesEE
EEX-EXH-2024-f5cfbaad2bd1300b: https://www.jimtof.org/2024/search/jp/ESdetails?e=w3tUm6b9-6k</x:v>
      </x:c>
      <x:c r="U140" s="7" t="str">
        <x:v>出展説明の関連箇所に基づく一次分類</x:v>
      </x:c>
      <x:c r="V140" s="7"/>
      <x:c r="W140" s="7"/>
      <x:c r="X140" s="7"/>
      <x:c r="Y140" s="7"/>
      <x:c r="Z140" s="7"/>
      <x:c r="AA140" s="7"/>
      <x:c r="AB140" s="7"/>
    </x:row>
    <x:row r="141" ht="170" customHeight="1">
      <x:c r="A141" s="7" t="str">
        <x:v>AC070</x:v>
      </x:c>
      <x:c r="B141" s="20" t="str">
        <x:v>株式会社ケーエムケーワールド</x:v>
      </x:c>
      <x:c r="C141" s="7" t="str">
        <x:v>セミオーダー型生産管理システム「A's Style」を出展いたします。</x:v>
      </x:c>
      <x:c r="D141" s="7" t="str">
        <x:v>S3018</x:v>
      </x:c>
      <x:c r="E141" s="7" t="str">
        <x:v>工場運用DX</x:v>
      </x:c>
      <x:c r="F141" s="7" t="str">
        <x:v>出展説明の関連用途（個別タスクの分解は未完了）</x:v>
      </x:c>
      <x:c r="G141" s="7" t="str">
        <x:v>出展説明に記載。実装位置の個別精査はカードの方式・未確認欄を参照</x:v>
      </x:c>
      <x:c r="H141" s="7" t="str">
        <x:v>原典抜粋：中小・中堅製造業向けセミオーダー型生産管理システム「A's Style」および「A's Style SaaS」を展示いたします。 / 販売管理、生産管理、購買管理、在庫管理、原価管理を一元管理し、製造現場の業務効率化と情報の見える化を実現します。 / 製番管理方式の生産管理システムとなります。 / 中小・中堅製造業のお客様を中心に、製造DXや生産管理システムの導入をご検討中の方におすすめです。 / セミオーダー型生産管理システム「A's</x:v>
      </x:c>
      <x:c r="I141" s="7" t="str">
        <x:v>個別入力の追加確認が必要</x:v>
      </x:c>
      <x:c r="J141" s="7" t="str">
        <x:v>原典抜粋：中小・中堅製造業向けセミオーダー型生産管理システム「A's Style」および「A's Style SaaS」を展示いたします。 / 販売管理、生産管理、購買管理、在庫管理、原価管理を一元管理し、製造現場の業務効率化と情報の見える化を実現します。 / 製番管理方式の生産管理システムとなります。 / 中小・中堅製造業のお客様を中心に、製造DXや生産管理システムの導入をご検討中の方におすすめです。 / セミオーダー型生産管理システム「A's</x:v>
      </x:c>
      <x:c r="K141" s="7" t="str">
        <x:v>中小・中堅製造業向けセミオーダー型生産管理システム「A's Style」および「A's Style SaaS」を展示いたします。 / 販売管理、生産管理、購買管理、在庫管理、原価管理を一元管理し、製造現場の業務効率化と情報の見える化を実現します。 / 製番管理方式の生産管理システムとなります。 / 中小・中堅製造業のお客様を中心に、製造DXや生産管理システムの導入をご検討中の方におすすめです。 / セミオーダー型生産管理システム「A's</x:v>
      </x:c>
      <x:c r="L141" s="7" t="str">
        <x:v>承認・例外対応・停止・復帰の境界は未確認</x:v>
      </x:c>
      <x:c r="M141" s="7" t="str">
        <x:v>2024原典抜粋：セミオーダー型生産管理システム『A’s Style (アズスタイル)』 中小・中堅製造業様向け販売・購買・生産・在庫・原価管理がオールインワンになったクラウド型の生産管理システムです。利用ユーザー数は無制限！ 自社開発ローコードツールからスタートしたセミオーダー型なので、個社様ごとの業種・業態・ニーズに柔軟にお応えします。他社システムとも柔軟に連携が可能！ AI OCR・RPAとの組合せ提案も可能です。 セミオーダー型生産管理システム『A’s Style (アズスタイル)』 A’s Styleは柔軟性、拡張性の高い</x:v>
      </x:c>
      <x:c r="N141" s="7" t="str">
        <x:v>2026原典抜粋：中小・中堅製造業向けセミオーダー型生産管理システム「A's Style」および「A's Style SaaS」を展示いたします。 / 販売管理、生産管理、購買管理、在庫管理、原価管理を一元管理し、製造現場の業務効率化と情報の見える化を実現します。 / 製番管理方式の生産管理システムとなります。 / 中小・中堅製造業のお客様を中心に、製造DXや生産管理システムの導入をご検討中の方におすすめです。 / セミオーダー型生産管理システム「A's</x:v>
      </x:c>
      <x:c r="O141" s="7" t="str">
        <x:v>両年原典あり・機能差未判定</x:v>
      </x:c>
      <x:c r="P141" s="7" t="str">
        <x:v>2026公式カタログ掲載・現地未確認</x:v>
      </x:c>
      <x:c r="Q141" s="7" t="str">
        <x:v>2026展示予定。既存製品・参考出展・構想等は原典で個別確認</x:v>
      </x:c>
      <x:c r="R141" s="7" t="str">
        <x:v>どの作業を自動化・支援するか、入力と判断・操作の範囲、適用条件と人の残作業、2024からの機能差、採用・受注・効果の実測を確認する。</x:v>
      </x:c>
      <x:c r="S141" s="7" t="str">
        <x:v>EEX-EXH-2026-5f368e093f795d47
EEX-EXH-2024-3e753591adc4594a</x:v>
      </x:c>
      <x:c r="T141" s="7" t="str">
        <x:v>EEX-EXH-2026-5f368e093f795d47: https://www.jimtof.org/search/jp/ESdetails?e=iRQKn5kaGi8
EEX-EXH-2024-3e753591adc4594a: https://www.jimtof.org/2024/search/jp/ESdetails?e=-rwblKpSVo0</x:v>
      </x:c>
      <x:c r="U141" s="7" t="str">
        <x:v>出展説明の関連箇所に基づく一次分類</x:v>
      </x:c>
      <x:c r="V141" s="7"/>
      <x:c r="W141" s="7"/>
      <x:c r="X141" s="7"/>
      <x:c r="Y141" s="7"/>
      <x:c r="Z141" s="7"/>
      <x:c r="AA141" s="7"/>
      <x:c r="AB141" s="7"/>
    </x:row>
    <x:row r="142" ht="170" customHeight="1">
      <x:c r="A142" s="7" t="str">
        <x:v>AC071</x:v>
      </x:c>
      <x:c r="B142" s="20" t="str">
        <x:v>株式会社ＫＥＬＫ</x:v>
      </x:c>
      <x:c r="C142" s="7" t="str">
        <x:v>熱電EH無線振動センサー</x:v>
      </x:c>
      <x:c r="D142" s="7" t="str">
        <x:v>E1058</x:v>
      </x:c>
      <x:c r="E142" s="7" t="str">
        <x:v>工場運用DX
AI実装・連携基盤</x:v>
      </x:c>
      <x:c r="F142" s="7" t="str">
        <x:v>出展説明の関連用途（個別タスクの分解は未完了）</x:v>
      </x:c>
      <x:c r="G142" s="7" t="str">
        <x:v>出展説明に記載。実装位置の個別精査はカードの方式・未確認欄を参照</x:v>
      </x:c>
      <x:c r="H142" s="7" t="str">
        <x:v>原典抜粋：環境発電 (EH) で動作するメンテナンスフリーのIoT。 / 大規模事業所の設備状態監視にも活用いただけます。 / ・オンプレミスでまるごと設備状態を監視するモニタリングシステム。</x:v>
      </x:c>
      <x:c r="I142" s="7" t="str">
        <x:v>個別入力の追加確認が必要</x:v>
      </x:c>
      <x:c r="J142" s="7" t="str">
        <x:v>原典抜粋：環境発電 (EH) で動作するメンテナンスフリーのIoT。 / 大規模事業所の設備状態監視にも活用いただけます。 / ・オンプレミスでまるごと設備状態を監視するモニタリングシステム。</x:v>
      </x:c>
      <x:c r="K142" s="7" t="str">
        <x:v>環境発電 (EH) で動作するメンテナンスフリーのIoT。 / 大規模事業所の設備状態監視にも活用いただけます。 / ・オンプレミスでまるごと設備状態を監視するモニタリングシステム。</x:v>
      </x:c>
      <x:c r="L142" s="7" t="str">
        <x:v>承認・例外対応・停止・復帰の境界は未確認</x:v>
      </x:c>
      <x:c r="M142" s="7" t="str">
        <x:v>同一正規化名称の2024詳細なし。新規出展・技術不存在とは判断しない。</x:v>
      </x:c>
      <x:c r="N142" s="7" t="str">
        <x:v>2026原典抜粋：環境発電 (EH) で動作するメンテナンスフリーのIoT。 / 大規模事業所の設備状態監視にも活用いただけます。 / ・オンプレミスでまるごと設備状態を監視するモニタリングシステム。</x:v>
      </x:c>
      <x:c r="O142" s="7" t="str">
        <x:v>2024個別比較不能</x:v>
      </x:c>
      <x:c r="P142" s="7" t="str">
        <x:v>2026公式カタログ掲載・現地未確認</x:v>
      </x:c>
      <x:c r="Q142" s="7" t="str">
        <x:v>2026展示予定。既存製品・参考出展・構想等は原典で個別確認</x:v>
      </x:c>
      <x:c r="R142" s="7" t="str">
        <x:v>どの作業を自動化・支援するか、入力と判断・操作の範囲、適用条件と人の残作業、2024からの機能差、採用・受注・効果の実測を確認する。</x:v>
      </x:c>
      <x:c r="S142" s="7" t="str">
        <x:v>EEX-EXH-2026-f9b4b6d720da3a67</x:v>
      </x:c>
      <x:c r="T142" s="7" t="str">
        <x:v>EEX-EXH-2026-f9b4b6d720da3a67: https://www.jimtof.org/search/jp/ESdetails?e=bcTCu5edlsM</x:v>
      </x:c>
      <x:c r="U142" s="7" t="str">
        <x:v>出展説明の関連箇所に基づく一次分類</x:v>
      </x:c>
      <x:c r="V142" s="7"/>
      <x:c r="W142" s="7"/>
      <x:c r="X142" s="7"/>
      <x:c r="Y142" s="7"/>
      <x:c r="Z142" s="7"/>
      <x:c r="AA142" s="7"/>
      <x:c r="AB142" s="7"/>
    </x:row>
    <x:row r="143" ht="170" customHeight="1">
      <x:c r="A143" s="7" t="str">
        <x:v>AC072</x:v>
      </x:c>
      <x:c r="B143" s="20" t="str">
        <x:v>コアーテック株式会社</x:v>
      </x:c>
      <x:c r="C143" s="7" t="str">
        <x:v>電動ねじ式多段伸縮ポール『ロボポール』は新開発の特許製品です。今まで世の中に無かった電動モータによるねじ駆動方式です。</x:v>
      </x:c>
      <x:c r="D143" s="7" t="str">
        <x:v>E7018</x:v>
      </x:c>
      <x:c r="E143" s="7" t="str">
        <x:v>自動化
AI実装・連携基盤</x:v>
      </x:c>
      <x:c r="F143" s="7" t="str">
        <x:v>出展説明の関連用途（個別タスクの分解は未完了）</x:v>
      </x:c>
      <x:c r="G143" s="7" t="str">
        <x:v>出展説明に記載。実装位置の個別精査はカードの方式・未確認欄を参照</x:v>
      </x:c>
      <x:c r="H143" s="7" t="str">
        <x:v>原典抜粋：・エルゴ社、ボーゲン社、プレシジカ社のリニアエンコーダ，回転エンコーダ，電池電源位置測定表示器、長尺ノギス，デジタル巻き尺（10ｍ）を展示いたします。 / パラレルリンク、ＸZθ軸ロボットへの応用が可能です。</x:v>
      </x:c>
      <x:c r="I143" s="7" t="str">
        <x:v>個別入力の追加確認が必要</x:v>
      </x:c>
      <x:c r="J143" s="7" t="str">
        <x:v>原典抜粋：・エルゴ社、ボーゲン社、プレシジカ社のリニアエンコーダ，回転エンコーダ，電池電源位置測定表示器、長尺ノギス，デジタル巻き尺（10ｍ）を展示いたします。 / パラレルリンク、ＸZθ軸ロボットへの応用が可能です。</x:v>
      </x:c>
      <x:c r="K143" s="7" t="str">
        <x:v>・エルゴ社、ボーゲン社、プレシジカ社のリニアエンコーダ，回転エンコーダ，電池電源位置測定表示器、長尺ノギス，デジタル巻き尺（10ｍ）を展示いたします。 / パラレルリンク、ＸZθ軸ロボットへの応用が可能です。</x:v>
      </x:c>
      <x:c r="L143" s="7" t="str">
        <x:v>承認・例外対応・停止・復帰の境界は未確認</x:v>
      </x:c>
      <x:c r="M143" s="7" t="str">
        <x:v>同一正規化名称の2024詳細なし。新規出展・技術不存在とは判断しない。</x:v>
      </x:c>
      <x:c r="N143" s="7" t="str">
        <x:v>2026原典抜粋：・エルゴ社、ボーゲン社、プレシジカ社のリニアエンコーダ，回転エンコーダ，電池電源位置測定表示器、長尺ノギス，デジタル巻き尺（10ｍ）を展示いたします。 / パラレルリンク、ＸZθ軸ロボットへの応用が可能です。</x:v>
      </x:c>
      <x:c r="O143" s="7" t="str">
        <x:v>2024個別比較不能</x:v>
      </x:c>
      <x:c r="P143" s="7" t="str">
        <x:v>2026公式カタログ掲載・現地未確認</x:v>
      </x:c>
      <x:c r="Q143" s="7" t="str">
        <x:v>2026展示予定。既存製品・参考出展・構想等は原典で個別確認</x:v>
      </x:c>
      <x:c r="R143" s="7" t="str">
        <x:v>どの作業を自動化・支援するか、入力と判断・操作の範囲、適用条件と人の残作業、2024からの機能差、採用・受注・効果の実測を確認する。</x:v>
      </x:c>
      <x:c r="S143" s="7" t="str">
        <x:v>EEX-EXH-2026-01761b7d0056c58f</x:v>
      </x:c>
      <x:c r="T143" s="7" t="str">
        <x:v>EEX-EXH-2026-01761b7d0056c58f: https://www.jimtof.org/search/jp/ESdetails?e=TfkhiNP60VQ</x:v>
      </x:c>
      <x:c r="U143" s="7" t="str">
        <x:v>出展説明の関連箇所に基づく一次分類</x:v>
      </x:c>
      <x:c r="V143" s="7"/>
      <x:c r="W143" s="7"/>
      <x:c r="X143" s="7"/>
      <x:c r="Y143" s="7"/>
      <x:c r="Z143" s="7"/>
      <x:c r="AA143" s="7"/>
      <x:c r="AB143" s="7"/>
    </x:row>
    <x:row r="144" ht="170" customHeight="1">
      <x:c r="A144" s="7" t="str">
        <x:v>AC073</x:v>
      </x:c>
      <x:c r="B144" s="20" t="str">
        <x:v>株式会社ゴーショー</x:v>
      </x:c>
      <x:c r="C144" s="7" t="str">
        <x:v>Schuette(シュッテ)社 / CNC工具研削盤 335Linear</x:v>
      </x:c>
      <x:c r="D144" s="7" t="str">
        <x:v>E3014</x:v>
      </x:c>
      <x:c r="E144" s="7" t="str">
        <x:v>自動化</x:v>
      </x:c>
      <x:c r="F144" s="7" t="str">
        <x:v>出展説明の関連用途（個別タスクの分解は未完了）</x:v>
      </x:c>
      <x:c r="G144" s="7" t="str">
        <x:v>出展説明に記載。実装位置の個別精査はカードの方式・未確認欄を参照</x:v>
      </x:c>
      <x:c r="H144" s="7" t="str">
        <x:v>原典抜粋：・Automazioni Industriali(オートマジョーニインダストリアーリ)社 / ロボットシステム</x:v>
      </x:c>
      <x:c r="I144" s="7" t="str">
        <x:v>個別入力の追加確認が必要</x:v>
      </x:c>
      <x:c r="J144" s="7" t="str">
        <x:v>原典抜粋：・Automazioni Industriali(オートマジョーニインダストリアーリ)社 / ロボットシステム</x:v>
      </x:c>
      <x:c r="K144" s="7" t="str">
        <x:v>・Automazioni Industriali(オートマジョーニインダストリアーリ)社 / ロボットシステム</x:v>
      </x:c>
      <x:c r="L144" s="7" t="str">
        <x:v>承認・例外対応・停止・復帰の境界は未確認</x:v>
      </x:c>
      <x:c r="M144" s="7" t="str">
        <x:v>2024原典抜粋：株式会社ゴーショーは、主にヨーロッパ製の機械輸入商社として長年日本のものづくりに貢献してきました。本展示会では、「Made in Germany」をメインテーマに、新製品であるシュッテ社製単軸自動盤、及び工具研削盤、レダース社製ハイスピードミリング・グラインディングセンタ等、高精度・高生産性を実現する加工機をラインナップ。併せて、ケルヒ社製ツールプリセッタや、加工後の測定としてベアト社製三次元測定機の展示も予定しています。その他、バニッシングツールや転造ヘッド等、ドイツが誇る最新の加工技術を是非ご覧ください。 ・ド</x:v>
      </x:c>
      <x:c r="N144" s="7" t="str">
        <x:v>2026原典抜粋：・Automazioni Industriali(オートマジョーニインダストリアーリ)社 / ロボットシステム</x:v>
      </x:c>
      <x:c r="O144" s="7" t="str">
        <x:v>両年原典あり・機能差未判定</x:v>
      </x:c>
      <x:c r="P144" s="7" t="str">
        <x:v>2026公式カタログ掲載・現地未確認</x:v>
      </x:c>
      <x:c r="Q144" s="7" t="str">
        <x:v>2026展示予定。既存製品・参考出展・構想等は原典で個別確認</x:v>
      </x:c>
      <x:c r="R144" s="7" t="str">
        <x:v>どの作業を自動化・支援するか、入力と判断・操作の範囲、適用条件と人の残作業、2024からの機能差、採用・受注・効果の実測を確認する。</x:v>
      </x:c>
      <x:c r="S144" s="7" t="str">
        <x:v>EEX-EXH-2026-274028d500af35a8
EEX-EXH-2024-80349c84717b21e2</x:v>
      </x:c>
      <x:c r="T144" s="7" t="str">
        <x:v>EEX-EXH-2026-274028d500af35a8: https://www.jimtof.org/search/jp/ESdetails?e=CKssMtqLQME
EEX-EXH-2024-80349c84717b21e2: https://www.jimtof.org/2024/search/jp/ESdetails?e=_njqMb9vBpc</x:v>
      </x:c>
      <x:c r="U144" s="7" t="str">
        <x:v>出展説明の関連箇所に基づく一次分類</x:v>
      </x:c>
      <x:c r="V144" s="7"/>
      <x:c r="W144" s="7"/>
      <x:c r="X144" s="7"/>
      <x:c r="Y144" s="7"/>
      <x:c r="Z144" s="7"/>
      <x:c r="AA144" s="7"/>
      <x:c r="AB144" s="7"/>
    </x:row>
    <x:row r="145" ht="170" customHeight="1">
      <x:c r="A145" s="7" t="str">
        <x:v>AC074</x:v>
      </x:c>
      <x:c r="B145" s="20" t="str">
        <x:v>株式会社ゴードーソリューション</x:v>
      </x:c>
      <x:c r="C145" s="7" t="str">
        <x:v>新製品「NAZCA5 GEMBACO」をはじめ、製造現場のデジタル化を支援する製品を展示します。</x:v>
      </x:c>
      <x:c r="D145" s="7" t="str">
        <x:v>S4009</x:v>
      </x:c>
      <x:c r="E145" s="7" t="str">
        <x:v>設計・製造DX
工場運用DX</x:v>
      </x:c>
      <x:c r="F145" s="7" t="str">
        <x:v>出展説明の関連用途（個別タスクの分解は未完了）</x:v>
      </x:c>
      <x:c r="G145" s="7" t="str">
        <x:v>出展説明に記載。実装位置の個別精査はカードの方式・未確認欄を参照</x:v>
      </x:c>
      <x:c r="H145" s="7" t="str">
        <x:v>原典抜粋：ゴードーソリューションは、CAD/CAMや加工シミュレーション、NCプログラム通信など、NC工作機械向けソフトウェアの開発から販売・サポートまでを一貫して自社で行うソフトウェアメーカーです。 / 今回は、加工現場向け図面＆データ管理ソフト「NAZCA5 GEMBACO」をはじめ、CAD/CAM製品や、IoTによる工場の見える化システム「LINKA3」を展示します。 / また、会議棟では「加工現場のデータ活用DX」をテーマにした実践的なセ</x:v>
      </x:c>
      <x:c r="I145" s="7" t="str">
        <x:v>個別入力の追加確認が必要</x:v>
      </x:c>
      <x:c r="J145" s="7" t="str">
        <x:v>原典抜粋：ゴードーソリューションは、CAD/CAMや加工シミュレーション、NCプログラム通信など、NC工作機械向けソフトウェアの開発から販売・サポートまでを一貫して自社で行うソフトウェアメーカーです。 / 今回は、加工現場向け図面＆データ管理ソフト「NAZCA5 GEMBACO」をはじめ、CAD/CAM製品や、IoTによる工場の見える化システム「LINKA3」を展示します。 / また、会議棟では「加工現場のデータ活用DX」をテーマにした実践的なセ</x:v>
      </x:c>
      <x:c r="K145" s="7" t="str">
        <x:v>ゴードーソリューションは、CAD/CAMや加工シミュレーション、NCプログラム通信など、NC工作機械向けソフトウェアの開発から販売・サポートまでを一貫して自社で行うソフトウェアメーカーです。 / 今回は、加工現場向け図面＆データ管理ソフト「NAZCA5 GEMBACO」をはじめ、CAD/CAM製品や、IoTによる工場の見える化システム「LINKA3」を展示します。 / また、会議棟では「加工現場のデータ活用DX」をテーマにした実践的なセ</x:v>
      </x:c>
      <x:c r="L145" s="7" t="str">
        <x:v>承認・例外対応・停止・復帰の境界は未確認</x:v>
      </x:c>
      <x:c r="M145" s="7" t="str">
        <x:v>2024原典抜粋：ゴードーソリューションは、CAD/CAMや加工シミュレーション・NCプログラム通信など、NC工作機械向けソフトウェアの開発から販売・サポートまでをすべて自社で行っているソフトウェアメーカーです。 ナスカの愛称で親しまれている当社製品は、これまで多くのお客様にご愛顧いただき、シリーズ累計21,000事業所に導入いただいています。（2023年3月時点） 今回は、生産設備向けIoTシステム「Nazca Neo Linka」をはじめ、CAD/CAM、図面管理システムのデモンストレーションを行います。 「Nazca Neo </x:v>
      </x:c>
      <x:c r="N145" s="7" t="str">
        <x:v>2026原典抜粋：ゴードーソリューションは、CAD/CAMや加工シミュレーション、NCプログラム通信など、NC工作機械向けソフトウェアの開発から販売・サポートまでを一貫して自社で行うソフトウェアメーカーです。 / 今回は、加工現場向け図面＆データ管理ソフト「NAZCA5 GEMBACO」をはじめ、CAD/CAM製品や、IoTによる工場の見える化システム「LINKA3」を展示します。 / また、会議棟では「加工現場のデータ活用DX」をテーマにした実践的なセ</x:v>
      </x:c>
      <x:c r="O145" s="7" t="str">
        <x:v>両年原典あり・機能差未判定</x:v>
      </x:c>
      <x:c r="P145" s="7" t="str">
        <x:v>2026公式カタログ掲載・現地未確認</x:v>
      </x:c>
      <x:c r="Q145" s="7" t="str">
        <x:v>2026展示予定。既存製品・参考出展・構想等は原典で個別確認</x:v>
      </x:c>
      <x:c r="R145" s="7" t="str">
        <x:v>どの作業を自動化・支援するか、入力と判断・操作の範囲、適用条件と人の残作業、2024からの機能差、採用・受注・効果の実測を確認する。</x:v>
      </x:c>
      <x:c r="S145" s="7" t="str">
        <x:v>EEX-EXH-2026-a64bab179251039a
EEX-EXH-2024-a1ef24027ba76956</x:v>
      </x:c>
      <x:c r="T145" s="7" t="str">
        <x:v>EEX-EXH-2026-a64bab179251039a: https://www.jimtof.org/search/jp/ESdetails?e=oO-G_YDcimE
EEX-EXH-2024-a1ef24027ba76956: https://www.jimtof.org/2024/search/jp/ESdetails?e=GozGZRxlviw</x:v>
      </x:c>
      <x:c r="U145" s="7" t="str">
        <x:v>出展説明の関連箇所に基づく一次分類</x:v>
      </x:c>
      <x:c r="V145" s="7"/>
      <x:c r="W145" s="7"/>
      <x:c r="X145" s="7"/>
      <x:c r="Y145" s="7"/>
      <x:c r="Z145" s="7"/>
      <x:c r="AA145" s="7"/>
      <x:c r="AB145" s="7"/>
    </x:row>
    <x:row r="146" ht="170" customHeight="1">
      <x:c r="A146" s="7" t="str">
        <x:v>AC075</x:v>
      </x:c>
      <x:c r="B146" s="20" t="str">
        <x:v>株式会社コスメック</x:v>
      </x:c>
      <x:c r="C146" s="7" t="str">
        <x:v>【工作機械用ジグ段取替え製品】無線センシングクランプ、ハイパワーエアクランプ、油圧クランプ、ワークサポート、セパレートバイス、ネジポンプ、ホールクラン</x:v>
      </x:c>
      <x:c r="D146" s="7" t="str">
        <x:v>W2033</x:v>
      </x:c>
      <x:c r="E146" s="7" t="str">
        <x:v>自動化</x:v>
      </x:c>
      <x:c r="F146" s="7" t="str">
        <x:v>出展説明の関連用途（個別タスクの分解は未完了）</x:v>
      </x:c>
      <x:c r="G146" s="7" t="str">
        <x:v>出展説明に記載。実装位置の個別精査はカードの方式・未確認欄を参照</x:v>
      </x:c>
      <x:c r="H146" s="7" t="str">
        <x:v>原典抜粋：加工、ロボット、搬送など様々な設備の段取替えを自動化し、時間短縮・サイクルタイム短縮に寄与する周辺機器を提案いたします。 / 【ロボット自動化製品】ロボットハンドチェンジャー、搬送用クランプ</x:v>
      </x:c>
      <x:c r="I146" s="7" t="str">
        <x:v>個別入力の追加確認が必要</x:v>
      </x:c>
      <x:c r="J146" s="7" t="str">
        <x:v>原典抜粋：加工、ロボット、搬送など様々な設備の段取替えを自動化し、時間短縮・サイクルタイム短縮に寄与する周辺機器を提案いたします。 / 【ロボット自動化製品】ロボットハンドチェンジャー、搬送用クランプ</x:v>
      </x:c>
      <x:c r="K146" s="7" t="str">
        <x:v>加工、ロボット、搬送など様々な設備の段取替えを自動化し、時間短縮・サイクルタイム短縮に寄与する周辺機器を提案いたします。 / 【ロボット自動化製品】ロボットハンドチェンジャー、搬送用クランプ</x:v>
      </x:c>
      <x:c r="L146" s="7" t="str">
        <x:v>承認・例外対応・停止・復帰の境界は未確認</x:v>
      </x:c>
      <x:c r="M146" s="7" t="str">
        <x:v>2024原典抜粋：加工、ロボット、搬送など様々な設備の段取替えを自動化し、時間短縮に寄与する周辺機器を提案。少ないエネルギーで力を発揮するハイパワーエアクランプや圧力保持による省エネ化を行うノンリークカプラ・バルブなど、カーボンニュートラルを捉えた製品や展示を行う。 【工作機械用ジグ段取替え製品】ハイパワーエアクランプ、油圧クランプ、ワークサポート、パレットクランプ、拡張ロケートピン、ノンリークバルブ・カプラ、ロータリージョイント等 【ロボット自動化製品】ロボットハンドチェンジャー、搬送用クランプ</x:v>
      </x:c>
      <x:c r="N146" s="7" t="str">
        <x:v>2026原典抜粋：加工、ロボット、搬送など様々な設備の段取替えを自動化し、時間短縮・サイクルタイム短縮に寄与する周辺機器を提案いたします。 / 【ロボット自動化製品】ロボットハンドチェンジャー、搬送用クランプ</x:v>
      </x:c>
      <x:c r="O146" s="7" t="str">
        <x:v>両年原典あり・機能差未判定</x:v>
      </x:c>
      <x:c r="P146" s="7" t="str">
        <x:v>2026公式カタログ掲載・現地未確認</x:v>
      </x:c>
      <x:c r="Q146" s="7" t="str">
        <x:v>2026展示予定。既存製品・参考出展・構想等は原典で個別確認</x:v>
      </x:c>
      <x:c r="R146" s="7" t="str">
        <x:v>どの作業を自動化・支援するか、入力と判断・操作の範囲、適用条件と人の残作業、2024からの機能差、採用・受注・効果の実測を確認する。</x:v>
      </x:c>
      <x:c r="S146" s="7" t="str">
        <x:v>EEX-EXH-2026-0376f488fb693c45
EEX-EXH-2024-082e592c8a914439</x:v>
      </x:c>
      <x:c r="T146" s="7" t="str">
        <x:v>EEX-EXH-2026-0376f488fb693c45: https://www.jimtof.org/search/jp/ESdetails?e=yiHo9SMP4lY
EEX-EXH-2024-082e592c8a914439: https://www.jimtof.org/2024/search/jp/ESdetails?e=sqCigr-Fu70</x:v>
      </x:c>
      <x:c r="U146" s="7" t="str">
        <x:v>出展説明の関連箇所に基づく一次分類</x:v>
      </x:c>
      <x:c r="V146" s="7"/>
      <x:c r="W146" s="7"/>
      <x:c r="X146" s="7"/>
      <x:c r="Y146" s="7"/>
      <x:c r="Z146" s="7"/>
      <x:c r="AA146" s="7"/>
      <x:c r="AB146" s="7"/>
    </x:row>
    <x:row r="147" ht="170" customHeight="1">
      <x:c r="A147" s="7" t="str">
        <x:v>AC076</x:v>
      </x:c>
      <x:c r="B147" s="20" t="str">
        <x:v>コダマコーポレーション株式会社</x:v>
      </x:c>
      <x:c r="C147" s="7" t="str">
        <x:v>3次元ソリッドCAD/CAMシステム TopSolid'Cam</x:v>
      </x:c>
      <x:c r="D147" s="7" t="str">
        <x:v>S3066</x:v>
      </x:c>
      <x:c r="E147" s="7" t="str">
        <x:v>設計・製造DX
自動化</x:v>
      </x:c>
      <x:c r="F147" s="7" t="str">
        <x:v>出展説明の関連用途（個別タスクの分解は未完了）</x:v>
      </x:c>
      <x:c r="G147" s="7" t="str">
        <x:v>出展説明に記載。実装位置の個別精査はカードの方式・未確認欄を参照</x:v>
      </x:c>
      <x:c r="H147" s="7" t="str">
        <x:v>原典抜粋：コダマコーポレーションは、設計から加工までの一気通貫のデジタル製造環境を実現する「TopSolid」シリーズを展示する。 / 主力製品である「TopSolid'Cam 7」は、穴あけ、2軸、3軸から同時4・5軸加工、旋盤加工、複合加工までを1システムで対応し、CAD/CAM統合による効率的なNCプログラム作成を支援する。 / さらに、スイス式自動旋盤向け専用モジュール「Swiss Turn」、牧野フライス製作所のリアルタイム干渉防止機能</x:v>
      </x:c>
      <x:c r="I147" s="7" t="str">
        <x:v>個別入力の追加確認が必要</x:v>
      </x:c>
      <x:c r="J147" s="7" t="str">
        <x:v>原典抜粋：コダマコーポレーションは、設計から加工までの一気通貫のデジタル製造環境を実現する「TopSolid」シリーズを展示する。 / 主力製品である「TopSolid'Cam 7」は、穴あけ、2軸、3軸から同時4・5軸加工、旋盤加工、複合加工までを1システムで対応し、CAD/CAM統合による効率的なNCプログラム作成を支援する。 / さらに、スイス式自動旋盤向け専用モジュール「Swiss Turn」、牧野フライス製作所のリアルタイム干渉防止機能</x:v>
      </x:c>
      <x:c r="K147" s="7" t="str">
        <x:v>コダマコーポレーションは、設計から加工までの一気通貫のデジタル製造環境を実現する「TopSolid」シリーズを展示する。 / 主力製品である「TopSolid'Cam 7」は、穴あけ、2軸、3軸から同時4・5軸加工、旋盤加工、複合加工までを1システムで対応し、CAD/CAM統合による効率的なNCプログラム作成を支援する。 / さらに、スイス式自動旋盤向け専用モジュール「Swiss Turn」、牧野フライス製作所のリアルタイム干渉防止機能</x:v>
      </x:c>
      <x:c r="L147" s="7" t="str">
        <x:v>承認・例外対応・停止・復帰の境界は未確認</x:v>
      </x:c>
      <x:c r="M147" s="7" t="str">
        <x:v>2024原典抜粋：穴あけ、2軸、3軸から同時4・5軸、旋盤、複合加工まで1システムで対応 コダマコーポレーションは、今回のJIMTOFで、3D設計製造支援ソフトウェア「TopSolid'Cam 7」、 スイス式旋盤対応モジュール「Swiss Turn」、牧野フライス製作所のリアルタイム干渉防止機能への対応プラグイン「Collision Safeguard Plugin」など、多くの製品を展示いたします。これらの製品はお客様の生産現場の効率化を支援します。 会場では営業によるデモを実施しておりますので、ぜひご来場ください。 【製品】 </x:v>
      </x:c>
      <x:c r="N147" s="7" t="str">
        <x:v>2026原典抜粋：コダマコーポレーションは、設計から加工までの一気通貫のデジタル製造環境を実現する「TopSolid」シリーズを展示する。 / 主力製品である「TopSolid'Cam 7」は、穴あけ、2軸、3軸から同時4・5軸加工、旋盤加工、複合加工までを1システムで対応し、CAD/CAM統合による効率的なNCプログラム作成を支援する。 / さらに、スイス式自動旋盤向け専用モジュール「Swiss Turn」、牧野フライス製作所のリアルタイム干渉防止機能</x:v>
      </x:c>
      <x:c r="O147" s="7" t="str">
        <x:v>両年原典あり・機能差未判定</x:v>
      </x:c>
      <x:c r="P147" s="7" t="str">
        <x:v>2026公式カタログ掲載・現地未確認</x:v>
      </x:c>
      <x:c r="Q147" s="7" t="str">
        <x:v>2026展示予定。既存製品・参考出展・構想等は原典で個別確認</x:v>
      </x:c>
      <x:c r="R147" s="7" t="str">
        <x:v>どの作業を自動化・支援するか、入力と判断・操作の範囲、適用条件と人の残作業、2024からの機能差、採用・受注・効果の実測を確認する。</x:v>
      </x:c>
      <x:c r="S147" s="7" t="str">
        <x:v>EEX-EXH-2026-d7ec640627a22b17
EEX-EXH-2024-2f995cf4c0035bad</x:v>
      </x:c>
      <x:c r="T147" s="7" t="str">
        <x:v>EEX-EXH-2026-d7ec640627a22b17: https://www.jimtof.org/search/jp/ESdetails?e=w3OCd-Yb-pM
EEX-EXH-2024-2f995cf4c0035bad: https://www.jimtof.org/2024/search/jp/ESdetails?e=RMONVo8JDTE</x:v>
      </x:c>
      <x:c r="U147" s="7" t="str">
        <x:v>出展説明の関連箇所に基づく一次分類</x:v>
      </x:c>
      <x:c r="V147" s="7"/>
      <x:c r="W147" s="7"/>
      <x:c r="X147" s="7"/>
      <x:c r="Y147" s="7"/>
      <x:c r="Z147" s="7"/>
      <x:c r="AA147" s="7"/>
      <x:c r="AB147" s="7"/>
    </x:row>
    <x:row r="148" ht="170" customHeight="1">
      <x:c r="A148" s="7" t="str">
        <x:v>AC077</x:v>
      </x:c>
      <x:c r="B148" s="20" t="str">
        <x:v>コマツNTC株式会社</x:v>
      </x:c>
      <x:c r="C148" s="7" t="str">
        <x:v>5軸加工には、段取から加工までをワンストップで実施できる環境と設備が必要です。横形5軸マシニングセンタ「CX500」に無人運転向けパレットを搭載し、長</x:v>
      </x:c>
      <x:c r="D148" s="7" t="str">
        <x:v>E1058</x:v>
      </x:c>
      <x:c r="E148" s="7" t="str">
        <x:v>自動化</x:v>
      </x:c>
      <x:c r="F148" s="7" t="str">
        <x:v>出展説明の関連用途（個別タスクの分解は未完了）</x:v>
      </x:c>
      <x:c r="G148" s="7" t="str">
        <x:v>出展説明に記載。実装位置の個別精査はカードの方式・未確認欄を参照</x:v>
      </x:c>
      <x:c r="H148" s="7" t="str">
        <x:v>原典抜粋：さらに「夜間自動計測を可能とする計測システム」をパレットシステムに融合しコンセプト展示します。 / またDXソリューション機器ほか展示致します。 / またDXツールのKomtas＆KOM-MICSも標準装備し長時間運転をサポート。</x:v>
      </x:c>
      <x:c r="I148" s="7" t="str">
        <x:v>個別入力の追加確認が必要</x:v>
      </x:c>
      <x:c r="J148" s="7" t="str">
        <x:v>原典抜粋：さらに「夜間自動計測を可能とする計測システム」をパレットシステムに融合しコンセプト展示します。 / またDXソリューション機器ほか展示致します。 / またDXツールのKomtas＆KOM-MICSも標準装備し長時間運転をサポート。</x:v>
      </x:c>
      <x:c r="K148" s="7" t="str">
        <x:v>さらに「夜間自動計測を可能とする計測システム」をパレットシステムに融合しコンセプト展示します。 / またDXソリューション機器ほか展示致します。 / またDXツールのKomtas＆KOM-MICSも標準装備し長時間運転をサポート。</x:v>
      </x:c>
      <x:c r="L148" s="7" t="str">
        <x:v>承認・例外対応・停止・復帰の境界は未確認</x:v>
      </x:c>
      <x:c r="M148" s="7" t="str">
        <x:v>2024原典抜粋：コマツNTCは工作機械のほか、電池関連・半導体関連・画像処理関連など、幅広い分野の製品を生み出してまいりました。今回は、テーマを「未来創造 Integrated Technologies」と定め、今の時代に必要なマシンを、実機にて展示しております。●横形5軸マシニングセンタ「CX500」：無人運転向けシステムアップや、「高精度・安心・フレンドリー・システム対応」の各キーシステムをご紹介します。●立形大型加工機「KV420L」：初出展です。省スペース・高速・1チャッキング加工を可能にする2頭主軸の、EVギガワーク加工</x:v>
      </x:c>
      <x:c r="N148" s="7" t="str">
        <x:v>2026原典抜粋：さらに「夜間自動計測を可能とする計測システム」をパレットシステムに融合しコンセプト展示します。 / またDXソリューション機器ほか展示致します。 / またDXツールのKomtas＆KOM-MICSも標準装備し長時間運転をサポート。</x:v>
      </x:c>
      <x:c r="O148" s="7" t="str">
        <x:v>両年原典あり・機能差未判定</x:v>
      </x:c>
      <x:c r="P148" s="7" t="str">
        <x:v>2026公式カタログ掲載・現地未確認</x:v>
      </x:c>
      <x:c r="Q148" s="7" t="str">
        <x:v>2026展示予定。既存製品・参考出展・構想等は原典で個別確認</x:v>
      </x:c>
      <x:c r="R148" s="7" t="str">
        <x:v>どの作業を自動化・支援するか、入力と判断・操作の範囲、適用条件と人の残作業、2024からの機能差、採用・受注・効果の実測を確認する。</x:v>
      </x:c>
      <x:c r="S148" s="7" t="str">
        <x:v>EEX-EXH-2026-8970f2d69919d770
EEX-EXH-2024-78e9bb3f6d1b9f5f</x:v>
      </x:c>
      <x:c r="T148" s="7" t="str">
        <x:v>EEX-EXH-2026-8970f2d69919d770: https://www.jimtof.org/search/jp/ESdetails?e=juRUHcsXGOk
EEX-EXH-2024-78e9bb3f6d1b9f5f: https://www.jimtof.org/2024/search/jp/ESdetails?e=2lZ4aWGpFxM</x:v>
      </x:c>
      <x:c r="U148" s="7" t="str">
        <x:v>出展説明の関連箇所に基づく一次分類</x:v>
      </x:c>
      <x:c r="V148" s="7"/>
      <x:c r="W148" s="7"/>
      <x:c r="X148" s="7"/>
      <x:c r="Y148" s="7"/>
      <x:c r="Z148" s="7"/>
      <x:c r="AA148" s="7"/>
      <x:c r="AB148" s="7"/>
    </x:row>
    <x:row r="149" ht="170" customHeight="1">
      <x:c r="A149" s="7" t="str">
        <x:v>AC078</x:v>
      </x:c>
      <x:c r="B149" s="20" t="str">
        <x:v>株式会社Cominix</x:v>
      </x:c>
      <x:c r="C149" s="7" t="str">
        <x:v>New Century(ニューセンチュリー) HSS及び超硬合金製エンドミルシリーズ、NCスポッティングドリル、面取り工具</x:v>
      </x:c>
      <x:c r="D149" s="7" t="str">
        <x:v>W1094</x:v>
      </x:c>
      <x:c r="E149" s="7" t="str">
        <x:v>設計・製造DX</x:v>
      </x:c>
      <x:c r="F149" s="7" t="str">
        <x:v>出展説明の関連用途（個別タスクの分解は未完了）</x:v>
      </x:c>
      <x:c r="G149" s="7" t="str">
        <x:v>出展説明に記載。実装位置の個別精査はカードの方式・未確認欄を参照</x:v>
      </x:c>
      <x:c r="H149" s="7" t="str">
        <x:v>原典抜粋：1945年創業の当社は昨年80周年を迎えた。 / 「生産性向上を通じた社会の発展への寄与」を基本方針に掲げ、日本のものづくり産業を支える切削・耐摩工具の販売に特化し貢献してきた。 / 近年はM&amp;Aや有望な海外メーカーの発掘に加え、光システム製品、鉱物資源、EC、工作機械販売などの新規事業展開により、業界内で独自のポジションを築き順調に事業を拡大している。 / JIMTOF2026のブースコンセプトは『生産性向上で未来を創るCominix</x:v>
      </x:c>
      <x:c r="I149" s="7" t="str">
        <x:v>個別入力の追加確認が必要</x:v>
      </x:c>
      <x:c r="J149" s="7" t="str">
        <x:v>原典抜粋：1945年創業の当社は昨年80周年を迎えた。 / 「生産性向上を通じた社会の発展への寄与」を基本方針に掲げ、日本のものづくり産業を支える切削・耐摩工具の販売に特化し貢献してきた。 / 近年はM&amp;Aや有望な海外メーカーの発掘に加え、光システム製品、鉱物資源、EC、工作機械販売などの新規事業展開により、業界内で独自のポジションを築き順調に事業を拡大している。 / JIMTOF2026のブースコンセプトは『生産性向上で未来を創るCominix</x:v>
      </x:c>
      <x:c r="K149" s="7" t="str">
        <x:v>1945年創業の当社は昨年80周年を迎えた。 / 「生産性向上を通じた社会の発展への寄与」を基本方針に掲げ、日本のものづくり産業を支える切削・耐摩工具の販売に特化し貢献してきた。 / 近年はM&amp;Aや有望な海外メーカーの発掘に加え、光システム製品、鉱物資源、EC、工作機械販売などの新規事業展開により、業界内で独自のポジションを築き順調に事業を拡大している。 / JIMTOF2026のブースコンセプトは『生産性向上で未来を創るCominix</x:v>
      </x:c>
      <x:c r="L149" s="7" t="str">
        <x:v>承認・例外対応・停止・復帰の境界は未確認</x:v>
      </x:c>
      <x:c r="M149" s="7" t="str">
        <x:v>2024原典抜粋：当社は1945年の創業以来、お客様の生産性向上に寄与することで社会の発展に寄与することを基本方針に掲げ、日本のものづくり産業の根幹に関わる切削工具と耐摩工具の販売に特化し、ものづくり産業の発展に貢献してきた。またM＆Aを軸とした事業規模の拡大、有力な海外メーカーの発掘、映像伝送分野・マシンビジョン分野の光システム製品の取り扱いや鉱物資源ビジネス・eコマースビジネス・工作機械販売ビジネスといった新規事業の展開により、業界内での差別化を進め順調に拡大してきた。 今回のJIMTOFでは、従来よりの画期的なねじ切り工具のア</x:v>
      </x:c>
      <x:c r="N149" s="7" t="str">
        <x:v>2026原典抜粋：1945年創業の当社は昨年80周年を迎えた。 / 「生産性向上を通じた社会の発展への寄与」を基本方針に掲げ、日本のものづくり産業を支える切削・耐摩工具の販売に特化し貢献してきた。 / 近年はM&amp;Aや有望な海外メーカーの発掘に加え、光システム製品、鉱物資源、EC、工作機械販売などの新規事業展開により、業界内で独自のポジションを築き順調に事業を拡大している。 / JIMTOF2026のブースコンセプトは『生産性向上で未来を創るCominix</x:v>
      </x:c>
      <x:c r="O149" s="7" t="str">
        <x:v>両年原典あり・機能差未判定</x:v>
      </x:c>
      <x:c r="P149" s="7" t="str">
        <x:v>2026公式カタログ掲載・現地未確認</x:v>
      </x:c>
      <x:c r="Q149" s="7" t="str">
        <x:v>2026展示予定。既存製品・参考出展・構想等は原典で個別確認</x:v>
      </x:c>
      <x:c r="R149" s="7" t="str">
        <x:v>どの作業を自動化・支援するか、入力と判断・操作の範囲、適用条件と人の残作業、2024からの機能差、採用・受注・効果の実測を確認する。</x:v>
      </x:c>
      <x:c r="S149" s="7" t="str">
        <x:v>EEX-EXH-2026-63e31a243d5f56e1
EEX-EXH-2024-c4ca9927b38bcc7b</x:v>
      </x:c>
      <x:c r="T149" s="7" t="str">
        <x:v>EEX-EXH-2026-63e31a243d5f56e1: https://www.jimtof.org/search/jp/ESdetails?e=HppbBVVl0EY
EEX-EXH-2024-c4ca9927b38bcc7b: https://www.jimtof.org/2024/search/jp/ESdetails?e=RFZbEhJ7OQ4</x:v>
      </x:c>
      <x:c r="U149" s="7" t="str">
        <x:v>出展説明の関連箇所に基づく一次分類</x:v>
      </x:c>
      <x:c r="V149" s="7"/>
      <x:c r="W149" s="7"/>
      <x:c r="X149" s="7"/>
      <x:c r="Y149" s="7"/>
      <x:c r="Z149" s="7"/>
      <x:c r="AA149" s="7"/>
      <x:c r="AB149" s="7"/>
    </x:row>
    <x:row r="150" ht="170" customHeight="1">
      <x:c r="A150" s="7" t="str">
        <x:v>AC079</x:v>
      </x:c>
      <x:c r="B150" s="20" t="str">
        <x:v>株式会社小森安全機研究所</x:v>
      </x:c>
      <x:c r="C150" s="7" t="str">
        <x:v>停止性能測定装置　KBM-5</x:v>
      </x:c>
      <x:c r="D150" s="7" t="str">
        <x:v>E1039</x:v>
      </x:c>
      <x:c r="E150" s="7" t="str">
        <x:v>検査・診断・予測AI
AI実装・連携基盤</x:v>
      </x:c>
      <x:c r="F150" s="7" t="str">
        <x:v>出展説明の関連用途（個別タスクの分解は未完了）</x:v>
      </x:c>
      <x:c r="G150" s="7" t="str">
        <x:v>出展説明に記載。実装位置の個別精査はカードの方式・未確認欄を参照</x:v>
      </x:c>
      <x:c r="H150" s="7" t="str">
        <x:v>原典抜粋：人体検知AIカメラ：居残り災害防止用AIカメラ見守りシステム　KAG （Komori Area Guardman） / AIの属性分析が命です。 / KAGのAI知能は数万件の人の姿形・動作・骨格を認識させアルゴリズムを構築していますので、的確に作業場で人の認識を行います。 / 停止性能（距離、時間）のグラフ表示でブレーキ性能を可視化 測定結果を自動集計・グラフ化</x:v>
      </x:c>
      <x:c r="I150" s="7" t="str">
        <x:v>個別入力の追加確認が必要</x:v>
      </x:c>
      <x:c r="J150" s="7" t="str">
        <x:v>原典抜粋：人体検知AIカメラ：居残り災害防止用AIカメラ見守りシステム　KAG （Komori Area Guardman） / AIの属性分析が命です。 / KAGのAI知能は数万件の人の姿形・動作・骨格を認識させアルゴリズムを構築していますので、的確に作業場で人の認識を行います。 / 停止性能（距離、時間）のグラフ表示でブレーキ性能を可視化 測定結果を自動集計・グラフ化</x:v>
      </x:c>
      <x:c r="K150" s="7" t="str">
        <x:v>人体検知AIカメラ：居残り災害防止用AIカメラ見守りシステム　KAG （Komori Area Guardman） / AIの属性分析が命です。 / KAGのAI知能は数万件の人の姿形・動作・骨格を認識させアルゴリズムを構築していますので、的確に作業場で人の認識を行います。 / 停止性能（距離、時間）のグラフ表示でブレーキ性能を可視化 測定結果を自動集計・グラフ化</x:v>
      </x:c>
      <x:c r="L150" s="7" t="str">
        <x:v>承認・例外対応・停止・復帰の境界は未確認</x:v>
      </x:c>
      <x:c r="M150" s="7" t="str">
        <x:v>2024原典抜粋：■3Dレーダーを使用した安全システム:SRD 3Dの安全レーダー装置で、危険なエリアへの人の侵入や存在を検知、作業者の安全を守ります。 ■レーザーセーフティフェンス:LSF レーザー溶接などレーザーを用いた作業に最適なレーザー遮光用パネルを採用した安全柵。ハンディタイプや協働ロボットタイプでのファイバーレーザー溶接作業などに最適なレーザー遮光用の安全柵です。 ■3Dレーダーを使用した安全システム:SRD ■レーザーセーフティフェンス:LSF ■製造現場監視用AIカメラシステム</x:v>
      </x:c>
      <x:c r="N150" s="7" t="str">
        <x:v>2026原典抜粋：人体検知AIカメラ：居残り災害防止用AIカメラ見守りシステム　KAG （Komori Area Guardman） / AIの属性分析が命です。 / KAGのAI知能は数万件の人の姿形・動作・骨格を認識させアルゴリズムを構築していますので、的確に作業場で人の認識を行います。 / 停止性能（距離、時間）のグラフ表示でブレーキ性能を可視化 測定結果を自動集計・グラフ化</x:v>
      </x:c>
      <x:c r="O150" s="7" t="str">
        <x:v>両年原典あり・機能差未判定</x:v>
      </x:c>
      <x:c r="P150" s="7" t="str">
        <x:v>2026公式カタログ掲載・現地未確認</x:v>
      </x:c>
      <x:c r="Q150" s="7" t="str">
        <x:v>2026展示予定。既存製品・参考出展・構想等は原典で個別確認</x:v>
      </x:c>
      <x:c r="R150" s="7" t="str">
        <x:v>どの作業を自動化・支援するか、入力と判断・操作の範囲、適用条件と人の残作業、2024からの機能差、採用・受注・効果の実測を確認する。</x:v>
      </x:c>
      <x:c r="S150" s="7" t="str">
        <x:v>EEX-EXH-2026-7dc74545d7cf35a3
EEX-EXH-2024-19b117789b4ef74b</x:v>
      </x:c>
      <x:c r="T150" s="7" t="str">
        <x:v>EEX-EXH-2026-7dc74545d7cf35a3: https://www.jimtof.org/search/jp/ESdetails?e=utVc5A88Bgw
EEX-EXH-2024-19b117789b4ef74b: https://www.jimtof.org/2024/search/jp/ESdetails?e=QaMQqCgkpPI</x:v>
      </x:c>
      <x:c r="U150" s="7" t="str">
        <x:v>出展説明の関連箇所に基づく一次分類</x:v>
      </x:c>
      <x:c r="V150" s="7"/>
      <x:c r="W150" s="7"/>
      <x:c r="X150" s="7"/>
      <x:c r="Y150" s="7"/>
      <x:c r="Z150" s="7"/>
      <x:c r="AA150" s="7"/>
      <x:c r="AB150" s="7"/>
    </x:row>
    <x:row r="151" ht="170" customHeight="1">
      <x:c r="A151" s="7" t="str">
        <x:v>AC081</x:v>
      </x:c>
      <x:c r="B151" s="20" t="str">
        <x:v>株式会社近藤製作所</x:v>
      </x:c>
      <x:c r="C151" s="7" t="str">
        <x:v>FANUC㈱CRXシリーズ プラグイン対応周辺機器（デモ）</x:v>
      </x:c>
      <x:c r="D151" s="7" t="str">
        <x:v>E7096</x:v>
      </x:c>
      <x:c r="E151" s="7" t="str">
        <x:v>自動化</x:v>
      </x:c>
      <x:c r="F151" s="7" t="str">
        <x:v>出展説明の関連用途（個別タスクの分解は未完了）</x:v>
      </x:c>
      <x:c r="G151" s="7" t="str">
        <x:v>出展説明に記載。実装位置の個別精査はカードの方式・未確認欄を参照</x:v>
      </x:c>
      <x:c r="H151" s="7" t="str">
        <x:v>原典抜粋：メカトロ機器事業部では、FANUC製協働ロボットとカメラ、自社製周辺機器のデモを実施します。 / 他にも、工作機械向けの「Wチャックユニット」、緊急時にもワークを保持する「落下防止ハンド」のデモの実施、作業効率を高める「ロータリージョイント」「ツールチェンジャー」「クイックアジャスタ」といったロボット周辺機器のデモも実施します。 / メカトロ機械事業部では「段取り替え自動化」と「スペース確保」を両立するスマートスペースロボを展示。</x:v>
      </x:c>
      <x:c r="I151" s="7" t="str">
        <x:v>個別入力の追加確認が必要</x:v>
      </x:c>
      <x:c r="J151" s="7" t="str">
        <x:v>原典抜粋：メカトロ機器事業部では、FANUC製協働ロボットとカメラ、自社製周辺機器のデモを実施します。 / 他にも、工作機械向けの「Wチャックユニット」、緊急時にもワークを保持する「落下防止ハンド」のデモの実施、作業効率を高める「ロータリージョイント」「ツールチェンジャー」「クイックアジャスタ」といったロボット周辺機器のデモも実施します。 / メカトロ機械事業部では「段取り替え自動化」と「スペース確保」を両立するスマートスペースロボを展示。</x:v>
      </x:c>
      <x:c r="K151" s="7" t="str">
        <x:v>メカトロ機器事業部では、FANUC製協働ロボットとカメラ、自社製周辺機器のデモを実施します。 / 他にも、工作機械向けの「Wチャックユニット」、緊急時にもワークを保持する「落下防止ハンド」のデモの実施、作業効率を高める「ロータリージョイント」「ツールチェンジャー」「クイックアジャスタ」といったロボット周辺機器のデモも実施します。 / メカトロ機械事業部では「段取り替え自動化」と「スペース確保」を両立するスマートスペースロボを展示。</x:v>
      </x:c>
      <x:c r="L151" s="7" t="str">
        <x:v>承認・例外対応・停止・復帰の境界は未確認</x:v>
      </x:c>
      <x:c r="M151" s="7" t="str">
        <x:v>2024原典抜粋：【ブ-スの見どころ】 ・部品箱パレタイザ-:3Dビジョン、可変ハンドで箱サイズ毎の仕分けが可能。ガントリ-方式にて、ロボットより省スペ-スに、デパレ、パレタイズが可能。 ・ロボ台車:協働ロボットと台車を一体化したシステム。 移動させたい時に色々な場所に移動可能。 協働ロボットとの組合せの為のティ-チング作業も簡単。 ばら積みピッキングとチャックジョーチェンジャーをバリエーションとして展示 ・ハンド&amp;チャック・ロボット周辺機器: 非接触伝送ロータリ-ジョイント 電動ハンド&amp;チャック(協働ロボットも対応) メカチェンジ</x:v>
      </x:c>
      <x:c r="N151" s="7" t="str">
        <x:v>2026原典抜粋：メカトロ機器事業部では、FANUC製協働ロボットとカメラ、自社製周辺機器のデモを実施します。 / 他にも、工作機械向けの「Wチャックユニット」、緊急時にもワークを保持する「落下防止ハンド」のデモの実施、作業効率を高める「ロータリージョイント」「ツールチェンジャー」「クイックアジャスタ」といったロボット周辺機器のデモも実施します。 / メカトロ機械事業部では「段取り替え自動化」と「スペース確保」を両立するスマートスペースロボを展示。</x:v>
      </x:c>
      <x:c r="O151" s="7" t="str">
        <x:v>両年原典あり・機能差未判定</x:v>
      </x:c>
      <x:c r="P151" s="7" t="str">
        <x:v>2026公式カタログ掲載・現地未確認</x:v>
      </x:c>
      <x:c r="Q151" s="7" t="str">
        <x:v>2026展示予定。既存製品・参考出展・構想等は原典で個別確認</x:v>
      </x:c>
      <x:c r="R151" s="7" t="str">
        <x:v>どの作業を自動化・支援するか、入力と判断・操作の範囲、適用条件と人の残作業、2024からの機能差、採用・受注・効果の実測を確認する。</x:v>
      </x:c>
      <x:c r="S151" s="7" t="str">
        <x:v>EEX-EXH-2026-ff39ef77fc84bf6f
EEX-EXH-2024-a438fb3a3a141af0</x:v>
      </x:c>
      <x:c r="T151" s="7" t="str">
        <x:v>EEX-EXH-2026-ff39ef77fc84bf6f: https://www.jimtof.org/search/jp/ESdetails?e=2lZ4aWGpFxM
EEX-EXH-2024-a438fb3a3a141af0: https://www.jimtof.org/2024/search/jp/ESdetails?e=WuvKQM8X98Y</x:v>
      </x:c>
      <x:c r="U151" s="7" t="str">
        <x:v>出展説明の関連箇所に基づく一次分類</x:v>
      </x:c>
      <x:c r="V151" s="7"/>
      <x:c r="W151" s="7"/>
      <x:c r="X151" s="7"/>
      <x:c r="Y151" s="7"/>
      <x:c r="Z151" s="7"/>
      <x:c r="AA151" s="7"/>
      <x:c r="AB151" s="7"/>
    </x:row>
    <x:row r="152" ht="170" customHeight="1">
      <x:c r="A152" s="7" t="str">
        <x:v>AC082</x:v>
      </x:c>
      <x:c r="B152" s="20" t="str">
        <x:v>Third Wave Systems Japan合同会社</x:v>
      </x:c>
      <x:c r="C152" s="7" t="str">
        <x:v>材料特性に基づく切削加工CAE・最適化ソリューション</x:v>
      </x:c>
      <x:c r="D152" s="7" t="str">
        <x:v>E1064</x:v>
      </x:c>
      <x:c r="E152" s="7" t="str">
        <x:v>設計・製造DX</x:v>
      </x:c>
      <x:c r="F152" s="7" t="str">
        <x:v>出展説明の関連用途（個別タスクの分解は未完了）</x:v>
      </x:c>
      <x:c r="G152" s="7" t="str">
        <x:v>出展説明に記載。実装位置の個別精査はカードの方式・未確認欄を参照</x:v>
      </x:c>
      <x:c r="H152" s="7" t="str">
        <x:v>原典抜粋：『Production Module』は、NX・Mastercam・CATIAなどのCAD/CAM環境と連携し、パーツ形状全体にわたるマクロな切削現象を解析。 / これらのソリューションは、航空宇宙・自動車・医療機器・工具・工作機械・重工業分野の世界トップメーカーで広く採用され、「加工のデジタルツイン」によって日本のものづくり競争力強化を支援いたします。</x:v>
      </x:c>
      <x:c r="I152" s="7" t="str">
        <x:v>個別入力の追加確認が必要</x:v>
      </x:c>
      <x:c r="J152" s="7" t="str">
        <x:v>原典抜粋：『Production Module』は、NX・Mastercam・CATIAなどのCAD/CAM環境と連携し、パーツ形状全体にわたるマクロな切削現象を解析。 / これらのソリューションは、航空宇宙・自動車・医療機器・工具・工作機械・重工業分野の世界トップメーカーで広く採用され、「加工のデジタルツイン」によって日本のものづくり競争力強化を支援いたします。</x:v>
      </x:c>
      <x:c r="K152" s="7" t="str">
        <x:v>『Production Module』は、NX・Mastercam・CATIAなどのCAD/CAM環境と連携し、パーツ形状全体にわたるマクロな切削現象を解析。 / これらのソリューションは、航空宇宙・自動車・医療機器・工具・工作機械・重工業分野の世界トップメーカーで広く採用され、「加工のデジタルツイン」によって日本のものづくり競争力強化を支援いたします。</x:v>
      </x:c>
      <x:c r="L152" s="7" t="str">
        <x:v>承認・例外対応・停止・復帰の境界は未確認</x:v>
      </x:c>
      <x:c r="M152" s="7" t="str">
        <x:v>同一正規化名称の2024詳細なし。新規出展・技術不存在とは判断しない。</x:v>
      </x:c>
      <x:c r="N152" s="7" t="str">
        <x:v>2026原典抜粋：『Production Module』は、NX・Mastercam・CATIAなどのCAD/CAM環境と連携し、パーツ形状全体にわたるマクロな切削現象を解析。 / これらのソリューションは、航空宇宙・自動車・医療機器・工具・工作機械・重工業分野の世界トップメーカーで広く採用され、「加工のデジタルツイン」によって日本のものづくり競争力強化を支援いたします。</x:v>
      </x:c>
      <x:c r="O152" s="7" t="str">
        <x:v>2024個別比較不能</x:v>
      </x:c>
      <x:c r="P152" s="7" t="str">
        <x:v>2026公式カタログ掲載・現地未確認</x:v>
      </x:c>
      <x:c r="Q152" s="7" t="str">
        <x:v>2026展示予定。既存製品・参考出展・構想等は原典で個別確認</x:v>
      </x:c>
      <x:c r="R152" s="7" t="str">
        <x:v>どの作業を自動化・支援するか、入力と判断・操作の範囲、適用条件と人の残作業、2024からの機能差、採用・受注・効果の実測を確認する。</x:v>
      </x:c>
      <x:c r="S152" s="7" t="str">
        <x:v>EEX-EXH-2026-3f24aaee60d77db1</x:v>
      </x:c>
      <x:c r="T152" s="7" t="str">
        <x:v>EEX-EXH-2026-3f24aaee60d77db1: https://www.jimtof.org/search/jp/ESdetails?e=L43LSAjxuyc</x:v>
      </x:c>
      <x:c r="U152" s="7" t="str">
        <x:v>出展説明の関連箇所に基づく一次分類</x:v>
      </x:c>
      <x:c r="V152" s="7"/>
      <x:c r="W152" s="7"/>
      <x:c r="X152" s="7"/>
      <x:c r="Y152" s="7"/>
      <x:c r="Z152" s="7"/>
      <x:c r="AA152" s="7"/>
      <x:c r="AB152" s="7"/>
    </x:row>
    <x:row r="153" ht="170" customHeight="1">
      <x:c r="A153" s="7" t="str">
        <x:v>AC083</x:v>
      </x:c>
      <x:c r="B153" s="20" t="str">
        <x:v>埼玉精機株式会社</x:v>
      </x:c>
      <x:c r="C153" s="7" t="str">
        <x:v>〇空気工具（ラチェットレンチ、インパクトドライバー、スクリュードライバー、ドリル、ベルトサンダー、エアソー、インパクトレンチ、グラインダー、ダイグライ</x:v>
      </x:c>
      <x:c r="D153" s="7" t="str">
        <x:v>W1002</x:v>
      </x:c>
      <x:c r="E153" s="7" t="str">
        <x:v>自動化</x:v>
      </x:c>
      <x:c r="F153" s="7" t="str">
        <x:v>出展説明の関連用途（個別タスクの分解は未完了）</x:v>
      </x:c>
      <x:c r="G153" s="7" t="str">
        <x:v>出展説明に記載。実装位置の個別精査はカードの方式・未確認欄を参照</x:v>
      </x:c>
      <x:c r="H153" s="7" t="str">
        <x:v>原典抜粋：今後需要が増えていくと考えられるロボットアーム向け製品もご紹介いたします。 / 〇ロボット用先端工具</x:v>
      </x:c>
      <x:c r="I153" s="7" t="str">
        <x:v>個別入力の追加確認が必要</x:v>
      </x:c>
      <x:c r="J153" s="7" t="str">
        <x:v>原典抜粋：今後需要が増えていくと考えられるロボットアーム向け製品もご紹介いたします。 / 〇ロボット用先端工具</x:v>
      </x:c>
      <x:c r="K153" s="7" t="str">
        <x:v>今後需要が増えていくと考えられるロボットアーム向け製品もご紹介いたします。 / 〇ロボット用先端工具</x:v>
      </x:c>
      <x:c r="L153" s="7" t="str">
        <x:v>承認・例外対応・停止・復帰の境界は未確認</x:v>
      </x:c>
      <x:c r="M153" s="7" t="str">
        <x:v>同一正規化名称の2024詳細なし。新規出展・技術不存在とは判断しない。</x:v>
      </x:c>
      <x:c r="N153" s="7" t="str">
        <x:v>2026原典抜粋：今後需要が増えていくと考えられるロボットアーム向け製品もご紹介いたします。 / 〇ロボット用先端工具</x:v>
      </x:c>
      <x:c r="O153" s="7" t="str">
        <x:v>2024個別比較不能</x:v>
      </x:c>
      <x:c r="P153" s="7" t="str">
        <x:v>2026公式カタログ掲載・現地未確認</x:v>
      </x:c>
      <x:c r="Q153" s="7" t="str">
        <x:v>2026展示予定。既存製品・参考出展・構想等は原典で個別確認</x:v>
      </x:c>
      <x:c r="R153" s="7" t="str">
        <x:v>どの作業を自動化・支援するか、入力と判断・操作の範囲、適用条件と人の残作業、2024からの機能差、採用・受注・効果の実測を確認する。</x:v>
      </x:c>
      <x:c r="S153" s="7" t="str">
        <x:v>EEX-EXH-2026-08030dcd82b4b70e</x:v>
      </x:c>
      <x:c r="T153" s="7" t="str">
        <x:v>EEX-EXH-2026-08030dcd82b4b70e: https://www.jimtof.org/search/jp/ESdetails?e=eKJZ035sC1A</x:v>
      </x:c>
      <x:c r="U153" s="7" t="str">
        <x:v>出展説明の関連箇所に基づく一次分類</x:v>
      </x:c>
      <x:c r="V153" s="7"/>
      <x:c r="W153" s="7"/>
      <x:c r="X153" s="7"/>
      <x:c r="Y153" s="7"/>
      <x:c r="Z153" s="7"/>
      <x:c r="AA153" s="7"/>
      <x:c r="AB153" s="7"/>
    </x:row>
    <x:row r="154" ht="170" customHeight="1">
      <x:c r="A154" s="7" t="str">
        <x:v>AC085</x:v>
      </x:c>
      <x:c r="B154" s="20" t="str">
        <x:v>株式会社サイバーRC</x:v>
      </x:c>
      <x:c r="C154" s="7" t="str">
        <x:v>GH5：工具の3D画像認識・AI補正ホーニング</x:v>
      </x:c>
      <x:c r="D154" s="7" t="str">
        <x:v>E7074</x:v>
      </x:c>
      <x:c r="E154" s="7" t="str">
        <x:v>フィジカルAI
検査・診断・予測AI
自動化</x:v>
      </x:c>
      <x:c r="F154" s="7" t="str">
        <x:v>工具の形状認識・ホーニング補正</x:v>
      </x:c>
      <x:c r="G154" s="7" t="str">
        <x:v>GH5の機内3D画像認識・ホーニング工程</x:v>
      </x:c>
      <x:c r="H154" s="7" t="str">
        <x:v>工具を立体認識しホーニングを補正</x:v>
      </x:c>
      <x:c r="I154" s="7" t="str">
        <x:v>工具刃先の非接触カメラ測定と、人が設定するホーニング幅・角度</x:v>
      </x:c>
      <x:c r="J154" s="7" t="str">
        <x:v>Robot Eyeで測定し、AI制御で設定した幅・角度に到達するよう調整するという説明</x:v>
      </x:c>
      <x:c r="K154" s="7" t="str">
        <x:v>GH5がホーニングを自動調整。測定・加工・検査を一体化</x:v>
      </x:c>
      <x:c r="L154" s="7" t="str">
        <x:v>事前準備：公式：目標のホーニング幅・角度を数値設定／承認：未記載：補正上限・設定変更の承認。目標値の選択は人／例外対応：未記載：測定不能・過研磨・刃具異常時の止め方と人の復帰</x:v>
      </x:c>
      <x:c r="M154" s="7" t="str">
        <x:v>2024はGM5の自動工具交換・研削とGri Star Honing2。</x:v>
      </x:c>
      <x:c r="N154" s="7" t="str">
        <x:v>2026はGH5で機内3D画像解析・AI自動補正、測定・加工・検査の一体化を説明。</x:v>
      </x:c>
      <x:c r="O154" s="7" t="str">
        <x:v>担当タスクの追加記載</x:v>
      </x:c>
      <x:c r="P154" s="7" t="str">
        <x:v>2026公式カタログ掲載・現地未確認</x:v>
      </x:c>
      <x:c r="Q154" s="7" t="str">
        <x:v>2026展示予定。既存製品・参考出展・構想等は原典で個別確認</x:v>
      </x:c>
      <x:c r="R154" s="7" t="str">
        <x:v>AIモデル、補正量の計算、精度・反復回数・検査判定は非開示。PDF本体は取得容量上限のため未取得、公式PDFの索引抽出を確認 現地質問：何を計測し何の軸・条件をどこまで補正するか。教師データ、過補正抑止、測定不確かさは。</x:v>
      </x:c>
      <x:c r="S154" s="7" t="str">
        <x:v>EEX-EXH-2026-a0cbad27ea34d7c4
EEX-EXH-2024-76ac534a229f7c29
EDP-02</x:v>
      </x:c>
      <x:c r="T154" s="7" t="str">
        <x:v>EEX-EXH-2026-a0cbad27ea34d7c4: https://www.jimtof.org/search/jp/ESdetails?e=8ealehgmk8o
EEX-EXH-2024-76ac534a229f7c29: https://www.jimtof.org/2024/search/jp/ESdetails?e=wk2AEX5rHpw
EDP-02: https://cyber-rc.com/wp-content/uploads/2025/10/%E7%B7%8F%E5%90%88%E3%82%AB%E3%82%BF%E3%83%AD%E3%82%B0420-x-297-mm%E6%A8%AA%E4%B8%A6%E3%81%B3-.pdf</x:v>
      </x:c>
      <x:c r="U154" s="7" t="str">
        <x:v>2024・2026の原典全文を重点比較</x:v>
      </x:c>
      <x:c r="V154" s="7" t="str">
        <x:v>画像測定から加工補正への限定制御</x:v>
      </x:c>
      <x:c r="W154" s="7" t="str">
        <x:v>Robot Eyeで測定し、AI制御で設定した幅・角度に到達するよう調整するという説明</x:v>
      </x:c>
      <x:c r="X154" s="7" t="str">
        <x:v>GH5がホーニングを自動調整。測定・加工・検査を一体化</x:v>
      </x:c>
      <x:c r="Y154" s="7" t="str">
        <x:v>公式：目標のホーニング幅・角度を数値設定</x:v>
      </x:c>
      <x:c r="Z154" s="7" t="str">
        <x:v>未記載：補正上限・設定変更の承認。目標値の選択は人</x:v>
      </x:c>
      <x:c r="AA154" s="7" t="str">
        <x:v>未記載：測定不能・過研磨・刃具異常時の止め方と人の復帰</x:v>
      </x:c>
      <x:c r="AB154" s="7" t="str">
        <x:v>AIモデル、補正量の計算、精度・反復回数・検査判定は非開示。PDF本体は取得容量上限のため未取得、公式PDFの索引抽出を確認</x:v>
      </x:c>
    </x:row>
    <x:row r="155" ht="170" customHeight="1">
      <x:c r="A155" s="7" t="str">
        <x:v>AC086</x:v>
      </x:c>
      <x:c r="B155" s="20" t="str">
        <x:v>株式会社桜井製作所</x:v>
      </x:c>
      <x:c r="C155" s="7" t="str">
        <x:v>ヘッドチェンジ型多軸加工機(CUBIC6)</x:v>
      </x:c>
      <x:c r="D155" s="7" t="str">
        <x:v>E2005</x:v>
      </x:c>
      <x:c r="E155" s="7" t="str">
        <x:v>自動化</x:v>
      </x:c>
      <x:c r="F155" s="7" t="str">
        <x:v>出展説明の関連用途（個別タスクの分解は未完了）</x:v>
      </x:c>
      <x:c r="G155" s="7" t="str">
        <x:v>出展説明に記載。実装位置の個別精査はカードの方式・未確認欄を参照</x:v>
      </x:c>
      <x:c r="H155" s="7" t="str">
        <x:v>原典抜粋：【ロボット加工機】 / 省スペース化、低コストな大型ロボットを使った加工機を是非ご検討ください。 / ロボット加工機(SAKU270F)</x:v>
      </x:c>
      <x:c r="I155" s="7" t="str">
        <x:v>個別入力の追加確認が必要</x:v>
      </x:c>
      <x:c r="J155" s="7" t="str">
        <x:v>原典抜粋：【ロボット加工機】 / 省スペース化、低コストな大型ロボットを使った加工機を是非ご検討ください。 / ロボット加工機(SAKU270F)</x:v>
      </x:c>
      <x:c r="K155" s="7" t="str">
        <x:v>【ロボット加工機】 / 省スペース化、低コストな大型ロボットを使った加工機を是非ご検討ください。 / ロボット加工機(SAKU270F)</x:v>
      </x:c>
      <x:c r="L155" s="7" t="str">
        <x:v>承認・例外対応・停止・復帰の境界は未確認</x:v>
      </x:c>
      <x:c r="M155" s="7" t="str">
        <x:v>2024原典抜粋：縦横高さそれぞれ500mmの造形サイズを実現しながらも、軽量でコンパクトなオフィス向け3Dプリンタをご紹介します。 また、安価なペレットやオリジナルの素材を使用できる大型3Dプリンタを展示します。 さらに、リサイクルペレットや金属フィラメントを用いたデモンストレーションを実施し、実際の造形プロセスを体験いただけます。 展示物としては、当社の3Dプリンタで造形した大型樹脂製造形物、POM（ジュラコン®）や金属造形物、受託造形物の事例なども併せてご覧いただけます。 ■ＨＥＲＯ５００S（造形サイズ５００×５００×５００ｍ</x:v>
      </x:c>
      <x:c r="N155" s="7" t="str">
        <x:v>2026原典抜粋：【ロボット加工機】 / 省スペース化、低コストな大型ロボットを使った加工機を是非ご検討ください。 / ロボット加工機(SAKU270F)</x:v>
      </x:c>
      <x:c r="O155" s="7" t="str">
        <x:v>両年原典あり・機能差未判定</x:v>
      </x:c>
      <x:c r="P155" s="7" t="str">
        <x:v>2026公式カタログ掲載・現地未確認</x:v>
      </x:c>
      <x:c r="Q155" s="7" t="str">
        <x:v>2026展示予定。既存製品・参考出展・構想等は原典で個別確認</x:v>
      </x:c>
      <x:c r="R155" s="7" t="str">
        <x:v>どの作業を自動化・支援するか、入力と判断・操作の範囲、適用条件と人の残作業、2024からの機能差、採用・受注・効果の実測を確認する。</x:v>
      </x:c>
      <x:c r="S155" s="7" t="str">
        <x:v>EEX-EXH-2026-84b51f9f321194ba
EEX-EXH-2024-80ef0a600ede597f
EEX-EXH-2024-84e5b9ffe73c6c92</x:v>
      </x:c>
      <x:c r="T155" s="7" t="str">
        <x:v>EEX-EXH-2026-84b51f9f321194ba: https://www.jimtof.org/search/jp/ESdetails?e=vrzq9i_9GIk
EEX-EXH-2024-80ef0a600ede597f: https://www.jimtof.org/2024/search/jp/ESdetails?e=vEZxaF9VL2k
EEX-EXH-2024-84e5b9ffe73c6c92: https://www.jimtof.org/2024/search/jp/ESdetails?e=VrAjMTKmxdw</x:v>
      </x:c>
      <x:c r="U155" s="7" t="str">
        <x:v>出展説明の関連箇所に基づく一次分類</x:v>
      </x:c>
      <x:c r="V155" s="7"/>
      <x:c r="W155" s="7"/>
      <x:c r="X155" s="7"/>
      <x:c r="Y155" s="7"/>
      <x:c r="Z155" s="7"/>
      <x:c r="AA155" s="7"/>
      <x:c r="AB155" s="7"/>
    </x:row>
    <x:row r="156" ht="170" customHeight="1">
      <x:c r="A156" s="7" t="str">
        <x:v>AC088</x:v>
      </x:c>
      <x:c r="B156" s="20" t="str">
        <x:v>サンゲン株式会社</x:v>
      </x:c>
      <x:c r="C156" s="7" t="str">
        <x:v>NewVista　ロボット用ネジ検査ユニット</x:v>
      </x:c>
      <x:c r="D156" s="7" t="str">
        <x:v>S4032</x:v>
      </x:c>
      <x:c r="E156" s="7" t="str">
        <x:v>自動化</x:v>
      </x:c>
      <x:c r="F156" s="7" t="str">
        <x:v>出展説明の関連用途（個別タスクの分解は未完了）</x:v>
      </x:c>
      <x:c r="G156" s="7" t="str">
        <x:v>出展説明に記載。実装位置の個別精査はカードの方式・未確認欄を参照</x:v>
      </x:c>
      <x:c r="H156" s="7" t="str">
        <x:v>原典抜粋：ロボットを使用した自動ネジ検査システムの実演と、小型ワークの表裏・側面の6面を高速度で検査する画像外観検査装置『ガラミちゃん6面タイプ』を出展しています。 / 自動化しにくいネジ検査の問題解決のヒントがあります。 / NewVista　ロボット用ネジ検査ユニット / Kassow Robots 7軸協働ロボット / Ovit　自動外観画像検査装置</x:v>
      </x:c>
      <x:c r="I156" s="7" t="str">
        <x:v>個別入力の追加確認が必要</x:v>
      </x:c>
      <x:c r="J156" s="7" t="str">
        <x:v>原典抜粋：ロボットを使用した自動ネジ検査システムの実演と、小型ワークの表裏・側面の6面を高速度で検査する画像外観検査装置『ガラミちゃん6面タイプ』を出展しています。 / 自動化しにくいネジ検査の問題解決のヒントがあります。 / NewVista　ロボット用ネジ検査ユニット / Kassow Robots 7軸協働ロボット / Ovit　自動外観画像検査装置</x:v>
      </x:c>
      <x:c r="K156" s="7" t="str">
        <x:v>ロボットを使用した自動ネジ検査システムの実演と、小型ワークの表裏・側面の6面を高速度で検査する画像外観検査装置『ガラミちゃん6面タイプ』を出展しています。 / 自動化しにくいネジ検査の問題解決のヒントがあります。 / NewVista　ロボット用ネジ検査ユニット / Kassow Robots 7軸協働ロボット / Ovit　自動外観画像検査装置</x:v>
      </x:c>
      <x:c r="L156" s="7" t="str">
        <x:v>承認・例外対応・停止・復帰の境界は未確認</x:v>
      </x:c>
      <x:c r="M156" s="7" t="str">
        <x:v>2024原典抜粋：検査の自動化・省力化をテーマに、ロボットによる全自動ネジ検査と、切削工具（チップ）の外観検査装置を展示致します。 ネジ検査はゲージの挿入を完全に自動化しており、通り・止まりのOK・NGだけでなく、ネジ深さの数値もデータとして出力します。 ロボットは協同タイプの7軸ロボットを使用して、いろいろな角度からのアプローチができる様子を 御覧下さい。 チップの外観検査装置は、シンプルな構造で、ローコストで導入でき『良品比較検査』という、NGの外部流出がなく、扱いやすいソフトウェアを用い、どなたにも扱いやすい検査装置です。 ①</x:v>
      </x:c>
      <x:c r="N156" s="7" t="str">
        <x:v>2026原典抜粋：ロボットを使用した自動ネジ検査システムの実演と、小型ワークの表裏・側面の6面を高速度で検査する画像外観検査装置『ガラミちゃん6面タイプ』を出展しています。 / 自動化しにくいネジ検査の問題解決のヒントがあります。 / NewVista　ロボット用ネジ検査ユニット / Kassow Robots 7軸協働ロボット / Ovit　自動外観画像検査装置</x:v>
      </x:c>
      <x:c r="O156" s="7" t="str">
        <x:v>両年原典あり・機能差未判定</x:v>
      </x:c>
      <x:c r="P156" s="7" t="str">
        <x:v>2026公式カタログ掲載・現地未確認</x:v>
      </x:c>
      <x:c r="Q156" s="7" t="str">
        <x:v>2026展示予定。既存製品・参考出展・構想等は原典で個別確認</x:v>
      </x:c>
      <x:c r="R156" s="7" t="str">
        <x:v>どの作業を自動化・支援するか、入力と判断・操作の範囲、適用条件と人の残作業、2024からの機能差、採用・受注・効果の実測を確認する。</x:v>
      </x:c>
      <x:c r="S156" s="7" t="str">
        <x:v>EEX-EXH-2026-5c08ccfcdfa12bac
EEX-EXH-2024-40d9e616e01efb41</x:v>
      </x:c>
      <x:c r="T156" s="7" t="str">
        <x:v>EEX-EXH-2026-5c08ccfcdfa12bac: https://www.jimtof.org/search/jp/ESdetails?e=I2fW30uvRgk
EEX-EXH-2024-40d9e616e01efb41: https://www.jimtof.org/2024/search/jp/ESdetails?e=8-9_c7w9DM4</x:v>
      </x:c>
      <x:c r="U156" s="7" t="str">
        <x:v>出展説明の関連箇所に基づく一次分類</x:v>
      </x:c>
      <x:c r="V156" s="7"/>
      <x:c r="W156" s="7"/>
      <x:c r="X156" s="7"/>
      <x:c r="Y156" s="7"/>
      <x:c r="Z156" s="7"/>
      <x:c r="AA156" s="7"/>
      <x:c r="AB156" s="7"/>
    </x:row>
    <x:row r="157" ht="170" customHeight="1">
      <x:c r="A157" s="7" t="str">
        <x:v>AC089</x:v>
      </x:c>
      <x:c r="B157" s="20" t="str">
        <x:v>株式会社サンシン</x:v>
      </x:c>
      <x:c r="C157" s="7" t="str">
        <x:v>ウェハべべリング装置</x:v>
      </x:c>
      <x:c r="D157" s="7" t="str">
        <x:v>E7041</x:v>
      </x:c>
      <x:c r="E157" s="7" t="str">
        <x:v>自動化</x:v>
      </x:c>
      <x:c r="F157" s="7" t="str">
        <x:v>出展説明の関連用途（個別タスクの分解は未完了）</x:v>
      </x:c>
      <x:c r="G157" s="7" t="str">
        <x:v>出展説明に記載。実装位置の個別精査はカードの方式・未確認欄を参照</x:v>
      </x:c>
      <x:c r="H157" s="7" t="str">
        <x:v>原典抜粋：弊社「サンシン」のフィルム研磨装置は、超仕上げ加工における粗さの均一化、加工時間の短縮、自動化を実現できます。 / ロボット研磨装置</x:v>
      </x:c>
      <x:c r="I157" s="7" t="str">
        <x:v>個別入力の追加確認が必要</x:v>
      </x:c>
      <x:c r="J157" s="7" t="str">
        <x:v>原典抜粋：弊社「サンシン」のフィルム研磨装置は、超仕上げ加工における粗さの均一化、加工時間の短縮、自動化を実現できます。 / ロボット研磨装置</x:v>
      </x:c>
      <x:c r="K157" s="7" t="str">
        <x:v>弊社「サンシン」のフィルム研磨装置は、超仕上げ加工における粗さの均一化、加工時間の短縮、自動化を実現できます。 / ロボット研磨装置</x:v>
      </x:c>
      <x:c r="L157" s="7" t="str">
        <x:v>承認・例外対応・停止・復帰の境界は未確認</x:v>
      </x:c>
      <x:c r="M157" s="7" t="str">
        <x:v>2024原典抜粋：超仕上げでお困りごとはございませんか？ 弊社「サンシン」のフィルム研磨装置は、超仕上げ加工における粗さの均一化、加工時間の短縮、自動化を実現できます。 弊社ブースではワークに合わせた研磨装置のデモンストレーションと、研磨についてのご相談を行っておりますので、是非足をお運び下さい！ 外径研磨装置 内径研磨装置 端面研磨装置 ロボット研磨装置 ベルト研磨装置</x:v>
      </x:c>
      <x:c r="N157" s="7" t="str">
        <x:v>2026原典抜粋：弊社「サンシン」のフィルム研磨装置は、超仕上げ加工における粗さの均一化、加工時間の短縮、自動化を実現できます。 / ロボット研磨装置</x:v>
      </x:c>
      <x:c r="O157" s="7" t="str">
        <x:v>両年原典あり・機能差未判定</x:v>
      </x:c>
      <x:c r="P157" s="7" t="str">
        <x:v>2026公式カタログ掲載・現地未確認</x:v>
      </x:c>
      <x:c r="Q157" s="7" t="str">
        <x:v>2026展示予定。既存製品・参考出展・構想等は原典で個別確認</x:v>
      </x:c>
      <x:c r="R157" s="7" t="str">
        <x:v>どの作業を自動化・支援するか、入力と判断・操作の範囲、適用条件と人の残作業、2024からの機能差、採用・受注・効果の実測を確認する。</x:v>
      </x:c>
      <x:c r="S157" s="7" t="str">
        <x:v>EEX-EXH-2026-510e9c3efc641c9f
EEX-EXH-2024-0b3cf14df641a386</x:v>
      </x:c>
      <x:c r="T157" s="7" t="str">
        <x:v>EEX-EXH-2026-510e9c3efc641c9f: https://www.jimtof.org/search/jp/ESdetails?e=ooNmKjSJlIc
EEX-EXH-2024-0b3cf14df641a386: https://www.jimtof.org/2024/search/jp/ESdetails?e=HrBIzid3E2I</x:v>
      </x:c>
      <x:c r="U157" s="7" t="str">
        <x:v>出展説明の関連箇所に基づく一次分類</x:v>
      </x:c>
      <x:c r="V157" s="7"/>
      <x:c r="W157" s="7"/>
      <x:c r="X157" s="7"/>
      <x:c r="Y157" s="7"/>
      <x:c r="Z157" s="7"/>
      <x:c r="AA157" s="7"/>
      <x:c r="AB157" s="7"/>
    </x:row>
    <x:row r="158" ht="170" customHeight="1">
      <x:c r="A158" s="7" t="str">
        <x:v>AC090</x:v>
      </x:c>
      <x:c r="B158" s="20" t="str">
        <x:v>株式会社SANMATSU</x:v>
      </x:c>
      <x:c r="C158" s="7" t="str">
        <x:v>人協働型パレタイズロボット「GentleGaiant」と自動搬送AMR「iRAYPE」を組み合わせた次世代ソリューションや生産ラインの省人化・自動化ソ</x:v>
      </x:c>
      <x:c r="D158" s="7" t="str">
        <x:v>S3102</x:v>
      </x:c>
      <x:c r="E158" s="7" t="str">
        <x:v>自動化
自律化</x:v>
      </x:c>
      <x:c r="F158" s="7" t="str">
        <x:v>出展説明の関連用途（個別タスクの分解は未完了）</x:v>
      </x:c>
      <x:c r="G158" s="7" t="str">
        <x:v>出展説明に記載。実装位置の個別精査はカードの方式・未確認欄を参照</x:v>
      </x:c>
      <x:c r="H158" s="7" t="str">
        <x:v>原典抜粋：当社ブースでは人協働型パレタイズロボット「GentleGaiant」と自動搬送AMR「iRAYPE」を組み合わせた次世代ソリューションや生産ラインの省人化・自動化ソリューションをご紹介します。 / 【GentleGaiant】は30kg可搬を実現しながら省スペース設計。 / タッチパネルによる品種登録や段積みパターン設定、多様なロボットハンド設計を通じて、あらゆる商品パレタイズに柔軟対応します。 / 今回は「パレタイズロボットをAMRで</x:v>
      </x:c>
      <x:c r="I158" s="7" t="str">
        <x:v>個別入力の追加確認が必要</x:v>
      </x:c>
      <x:c r="J158" s="7" t="str">
        <x:v>原典抜粋：当社ブースでは人協働型パレタイズロボット「GentleGaiant」と自動搬送AMR「iRAYPE」を組み合わせた次世代ソリューションや生産ラインの省人化・自動化ソリューションをご紹介します。 / 【GentleGaiant】は30kg可搬を実現しながら省スペース設計。 / タッチパネルによる品種登録や段積みパターン設定、多様なロボットハンド設計を通じて、あらゆる商品パレタイズに柔軟対応します。 / 今回は「パレタイズロボットをAMRで</x:v>
      </x:c>
      <x:c r="K158" s="7" t="str">
        <x:v>当社ブースでは人協働型パレタイズロボット「GentleGaiant」と自動搬送AMR「iRAYPE」を組み合わせた次世代ソリューションや生産ラインの省人化・自動化ソリューションをご紹介します。 / 【GentleGaiant】は30kg可搬を実現しながら省スペース設計。 / タッチパネルによる品種登録や段積みパターン設定、多様なロボットハンド設計を通じて、あらゆる商品パレタイズに柔軟対応します。 / 今回は「パレタイズロボットをAMRで</x:v>
      </x:c>
      <x:c r="L158" s="7" t="str">
        <x:v>承認・例外対応・停止・復帰の境界は未確認</x:v>
      </x:c>
      <x:c r="M158" s="7" t="str">
        <x:v>同一正規化名称の2024詳細なし。新規出展・技術不存在とは判断しない。</x:v>
      </x:c>
      <x:c r="N158" s="7" t="str">
        <x:v>2026原典抜粋：当社ブースでは人協働型パレタイズロボット「GentleGaiant」と自動搬送AMR「iRAYPE」を組み合わせた次世代ソリューションや生産ラインの省人化・自動化ソリューションをご紹介します。 / 【GentleGaiant】は30kg可搬を実現しながら省スペース設計。 / タッチパネルによる品種登録や段積みパターン設定、多様なロボットハンド設計を通じて、あらゆる商品パレタイズに柔軟対応します。 / 今回は「パレタイズロボットをAMRで</x:v>
      </x:c>
      <x:c r="O158" s="7" t="str">
        <x:v>2024個別比較不能</x:v>
      </x:c>
      <x:c r="P158" s="7" t="str">
        <x:v>2026公式カタログ掲載・現地未確認</x:v>
      </x:c>
      <x:c r="Q158" s="7" t="str">
        <x:v>2026展示予定。既存製品・参考出展・構想等は原典で個別確認</x:v>
      </x:c>
      <x:c r="R158" s="7" t="str">
        <x:v>どの作業を自動化・支援するか、入力と判断・操作の範囲、適用条件と人の残作業、2024からの機能差、採用・受注・効果の実測を確認する。</x:v>
      </x:c>
      <x:c r="S158" s="7" t="str">
        <x:v>EEX-EXH-2026-b00bbfd6ce23a97e</x:v>
      </x:c>
      <x:c r="T158" s="7" t="str">
        <x:v>EEX-EXH-2026-b00bbfd6ce23a97e: https://www.jimtof.org/search/jp/ESdetails?e=ox2LGS2B2t4</x:v>
      </x:c>
      <x:c r="U158" s="7" t="str">
        <x:v>出展説明の関連箇所に基づく一次分類</x:v>
      </x:c>
      <x:c r="V158" s="7"/>
      <x:c r="W158" s="7"/>
      <x:c r="X158" s="7"/>
      <x:c r="Y158" s="7"/>
      <x:c r="Z158" s="7"/>
      <x:c r="AA158" s="7"/>
      <x:c r="AB158" s="7"/>
    </x:row>
    <x:row r="159" ht="170" customHeight="1">
      <x:c r="A159" s="7" t="str">
        <x:v>AC091</x:v>
      </x:c>
      <x:c r="B159" s="20" t="str">
        <x:v>山陽マシン株式会社</x:v>
      </x:c>
      <x:c r="C159" s="7" t="str">
        <x:v>3軸CNCスロッター加工機</x:v>
      </x:c>
      <x:c r="D159" s="7" t="str">
        <x:v>S1072</x:v>
      </x:c>
      <x:c r="E159" s="7" t="str">
        <x:v>自動化</x:v>
      </x:c>
      <x:c r="F159" s="7" t="str">
        <x:v>出展説明の関連用途（個別タスクの分解は未完了）</x:v>
      </x:c>
      <x:c r="G159" s="7" t="str">
        <x:v>出展説明に記載。実装位置の個別精査はカードの方式・未確認欄を参照</x:v>
      </x:c>
      <x:c r="H159" s="7" t="str">
        <x:v>原典抜粋：また搬送装置を取り付ける事により自動化も実現することが可能となります / 出展機には協働ロボットを取り付けて自動搬送を実演しております / ストッカー付きロボット搬送装置</x:v>
      </x:c>
      <x:c r="I159" s="7" t="str">
        <x:v>個別入力の追加確認が必要</x:v>
      </x:c>
      <x:c r="J159" s="7" t="str">
        <x:v>原典抜粋：また搬送装置を取り付ける事により自動化も実現することが可能となります / 出展機には協働ロボットを取り付けて自動搬送を実演しております / ストッカー付きロボット搬送装置</x:v>
      </x:c>
      <x:c r="K159" s="7" t="str">
        <x:v>また搬送装置を取り付ける事により自動化も実現することが可能となります / 出展機には協働ロボットを取り付けて自動搬送を実演しております / ストッカー付きロボット搬送装置</x:v>
      </x:c>
      <x:c r="L159" s="7" t="str">
        <x:v>承認・例外対応・停止・復帰の境界は未確認</x:v>
      </x:c>
      <x:c r="M159" s="7" t="str">
        <x:v>2024原典抜粋：弊社のラインナップであるギヤチェッカーの測定アンプをこの度更新いたしました 以前よりご要望のありました測定波形を画面上に表示しました また画面をパネコンとすることで測定データの保存等のカスタムオプションを追加可能になりました 併せて協働ロボットとロータリーストッカーを一体とした台車式のストッカーを展示いたします 弊社では一品が専用設計ですので様々な要望に対応した形で設備、搬送ともに製作が可能でこちらのロボット台車においてもその一部です ギヤチェッカー及びロボット台車(ロータリーストッカー付き)</x:v>
      </x:c>
      <x:c r="N159" s="7" t="str">
        <x:v>2026原典抜粋：また搬送装置を取り付ける事により自動化も実現することが可能となります / 出展機には協働ロボットを取り付けて自動搬送を実演しております / ストッカー付きロボット搬送装置</x:v>
      </x:c>
      <x:c r="O159" s="7" t="str">
        <x:v>両年原典あり・機能差未判定</x:v>
      </x:c>
      <x:c r="P159" s="7" t="str">
        <x:v>2026公式カタログ掲載・現地未確認</x:v>
      </x:c>
      <x:c r="Q159" s="7" t="str">
        <x:v>2026展示予定。既存製品・参考出展・構想等は原典で個別確認</x:v>
      </x:c>
      <x:c r="R159" s="7" t="str">
        <x:v>どの作業を自動化・支援するか、入力と判断・操作の範囲、適用条件と人の残作業、2024からの機能差、採用・受注・効果の実測を確認する。</x:v>
      </x:c>
      <x:c r="S159" s="7" t="str">
        <x:v>EEX-EXH-2026-98823a900a697909
EEX-EXH-2024-fe590d2a956fc2a9</x:v>
      </x:c>
      <x:c r="T159" s="7" t="str">
        <x:v>EEX-EXH-2026-98823a900a697909: https://www.jimtof.org/search/jp/ESdetails?e=mnvwVRInyM8
EEX-EXH-2024-fe590d2a956fc2a9: https://www.jimtof.org/2024/search/jp/ESdetails?e=WQRFN-qGj6U</x:v>
      </x:c>
      <x:c r="U159" s="7" t="str">
        <x:v>出展説明の関連箇所に基づく一次分類</x:v>
      </x:c>
      <x:c r="V159" s="7"/>
      <x:c r="W159" s="7"/>
      <x:c r="X159" s="7"/>
      <x:c r="Y159" s="7"/>
      <x:c r="Z159" s="7"/>
      <x:c r="AA159" s="7"/>
      <x:c r="AB159" s="7"/>
    </x:row>
    <x:row r="160" ht="170" customHeight="1">
      <x:c r="A160" s="7" t="str">
        <x:v>AC093</x:v>
      </x:c>
      <x:c r="B160" s="20" t="str">
        <x:v>サンワ産業株式会社</x:v>
      </x:c>
      <x:c r="C160" s="7" t="str">
        <x:v>工場の重量物搬送に革命を！オートチルト搭載の新型電動牽引機「新型SM200+」登場</x:v>
      </x:c>
      <x:c r="D160" s="7" t="str">
        <x:v>W3100</x:v>
      </x:c>
      <x:c r="E160" s="7" t="str">
        <x:v>自動化</x:v>
      </x:c>
      <x:c r="F160" s="7" t="str">
        <x:v>出展説明の関連用途（個別タスクの分解は未完了）</x:v>
      </x:c>
      <x:c r="G160" s="7" t="str">
        <x:v>出展説明に記載。実装位置の個別精査はカードの方式・未確認欄を参照</x:v>
      </x:c>
      <x:c r="H160" s="7" t="str">
        <x:v>原典抜粋：従来は接続時にオペレーターの力作業が必要だったマシンの傾き操作が、手元のボタン操作ひとつで完全に自動化されました。</x:v>
      </x:c>
      <x:c r="I160" s="7" t="str">
        <x:v>個別入力の追加確認が必要</x:v>
      </x:c>
      <x:c r="J160" s="7" t="str">
        <x:v>原典抜粋：従来は接続時にオペレーターの力作業が必要だったマシンの傾き操作が、手元のボタン操作ひとつで完全に自動化されました。</x:v>
      </x:c>
      <x:c r="K160" s="7" t="str">
        <x:v>従来は接続時にオペレーターの力作業が必要だったマシンの傾き操作が、手元のボタン操作ひとつで完全に自動化されました。</x:v>
      </x:c>
      <x:c r="L160" s="7" t="str">
        <x:v>承認・例外対応・停止・復帰の境界は未確認</x:v>
      </x:c>
      <x:c r="M160" s="7" t="str">
        <x:v>同一正規化名称の2024詳細なし。新規出展・技術不存在とは判断しない。</x:v>
      </x:c>
      <x:c r="N160" s="7" t="str">
        <x:v>2026原典抜粋：従来は接続時にオペレーターの力作業が必要だったマシンの傾き操作が、手元のボタン操作ひとつで完全に自動化されました。</x:v>
      </x:c>
      <x:c r="O160" s="7" t="str">
        <x:v>2024個別比較不能</x:v>
      </x:c>
      <x:c r="P160" s="7" t="str">
        <x:v>2026公式カタログ掲載・現地未確認</x:v>
      </x:c>
      <x:c r="Q160" s="7" t="str">
        <x:v>2026展示予定。既存製品・参考出展・構想等は原典で個別確認</x:v>
      </x:c>
      <x:c r="R160" s="7" t="str">
        <x:v>どの作業を自動化・支援するか、入力と判断・操作の範囲、適用条件と人の残作業、2024からの機能差、採用・受注・効果の実測を確認する。</x:v>
      </x:c>
      <x:c r="S160" s="7" t="str">
        <x:v>EEX-EXH-2026-888a1f50fa3f30c8</x:v>
      </x:c>
      <x:c r="T160" s="7" t="str">
        <x:v>EEX-EXH-2026-888a1f50fa3f30c8: https://www.jimtof.org/search/jp/ESdetails?e=KqvVyzLYaL0</x:v>
      </x:c>
      <x:c r="U160" s="7" t="str">
        <x:v>出展説明の関連箇所に基づく一次分類</x:v>
      </x:c>
      <x:c r="V160" s="7"/>
      <x:c r="W160" s="7"/>
      <x:c r="X160" s="7"/>
      <x:c r="Y160" s="7"/>
      <x:c r="Z160" s="7"/>
      <x:c r="AA160" s="7"/>
      <x:c r="AB160" s="7"/>
    </x:row>
    <x:row r="161" ht="170" customHeight="1">
      <x:c r="A161" s="7" t="str">
        <x:v>AC094</x:v>
      </x:c>
      <x:c r="B161" s="20" t="str">
        <x:v>三和ロボティクス株式会社</x:v>
      </x:c>
      <x:c r="C161" s="7" t="str">
        <x:v>NEXSRT J30 F（パレット交換方式）を出展します。内蔵ロボットにはNACHI製MZ70Fを採用し、パレットを最大16枚搭載可能。最大可搬重量は</x:v>
      </x:c>
      <x:c r="D161" s="7" t="str">
        <x:v>E7069</x:v>
      </x:c>
      <x:c r="E161" s="7" t="str">
        <x:v>自動化</x:v>
      </x:c>
      <x:c r="F161" s="7" t="str">
        <x:v>出展説明の関連用途（個別タスクの分解は未完了）</x:v>
      </x:c>
      <x:c r="G161" s="7" t="str">
        <x:v>出展説明に記載。実装位置の個別精査はカードの方式・未確認欄を参照</x:v>
      </x:c>
      <x:c r="H161" s="7" t="str">
        <x:v>原典抜粋：「NEXSRT J30 F」は、マシニングセンターの稼働率向上と省人化を実現するパレット交換自動化ロボットです。 / 最大16枚のパレットを搭載し、ロボット動作中でも着脱ステーションで次のワーク交換を進められる並列オペレーションにより、待ち時間を短縮。 / 既存の工作機械に後付けできることも大きな特長で、最小限のDI/O信号とロボット動作により、多種多様なメーカーとの接続が可能です。 / 内蔵ロボットにはNACHI製MZ70Fを採用し、</x:v>
      </x:c>
      <x:c r="I161" s="7" t="str">
        <x:v>個別入力の追加確認が必要</x:v>
      </x:c>
      <x:c r="J161" s="7" t="str">
        <x:v>原典抜粋：「NEXSRT J30 F」は、マシニングセンターの稼働率向上と省人化を実現するパレット交換自動化ロボットです。 / 最大16枚のパレットを搭載し、ロボット動作中でも着脱ステーションで次のワーク交換を進められる並列オペレーションにより、待ち時間を短縮。 / 既存の工作機械に後付けできることも大きな特長で、最小限のDI/O信号とロボット動作により、多種多様なメーカーとの接続が可能です。 / 内蔵ロボットにはNACHI製MZ70Fを採用し、</x:v>
      </x:c>
      <x:c r="K161" s="7" t="str">
        <x:v>「NEXSRT J30 F」は、マシニングセンターの稼働率向上と省人化を実現するパレット交換自動化ロボットです。 / 最大16枚のパレットを搭載し、ロボット動作中でも着脱ステーションで次のワーク交換を進められる並列オペレーションにより、待ち時間を短縮。 / 既存の工作機械に後付けできることも大きな特長で、最小限のDI/O信号とロボット動作により、多種多様なメーカーとの接続が可能です。 / 内蔵ロボットにはNACHI製MZ70Fを採用し、</x:v>
      </x:c>
      <x:c r="L161" s="7" t="str">
        <x:v>承認・例外対応・停止・復帰の境界は未確認</x:v>
      </x:c>
      <x:c r="M161" s="7" t="str">
        <x:v>2024原典抜粋：バイス交換システムの採用により、治具レスで多品種のワークの搬送が可能。 ロボットティーチング不要で、自動化のファーストステップにも最適。 ブラザー工業SPEEDIO U500Xd1とのコラボレーションによる搬送デモンストレーションを実施。 【NEXSRTオート・バイスチェンジャー】 ～多品種少量生産の自動化を実現するロボットシステム～ 5軸マシニングセンターとの相乗効果で、工程集約と自動化による生産性の向上・省人化・品質向上を実現。</x:v>
      </x:c>
      <x:c r="N161" s="7" t="str">
        <x:v>2026原典抜粋：「NEXSRT J30 F」は、マシニングセンターの稼働率向上と省人化を実現するパレット交換自動化ロボットです。 / 最大16枚のパレットを搭載し、ロボット動作中でも着脱ステーションで次のワーク交換を進められる並列オペレーションにより、待ち時間を短縮。 / 既存の工作機械に後付けできることも大きな特長で、最小限のDI/O信号とロボット動作により、多種多様なメーカーとの接続が可能です。 / 内蔵ロボットにはNACHI製MZ70Fを採用し、</x:v>
      </x:c>
      <x:c r="O161" s="7" t="str">
        <x:v>両年原典あり・機能差未判定</x:v>
      </x:c>
      <x:c r="P161" s="7" t="str">
        <x:v>2026公式カタログ掲載・現地未確認</x:v>
      </x:c>
      <x:c r="Q161" s="7" t="str">
        <x:v>2026展示予定。既存製品・参考出展・構想等は原典で個別確認</x:v>
      </x:c>
      <x:c r="R161" s="7" t="str">
        <x:v>どの作業を自動化・支援するか、入力と判断・操作の範囲、適用条件と人の残作業、2024からの機能差、採用・受注・効果の実測を確認する。</x:v>
      </x:c>
      <x:c r="S161" s="7" t="str">
        <x:v>EEX-EXH-2026-26cebfacb64ec6c3
EEX-EXH-2024-dfb46298d6cc735b</x:v>
      </x:c>
      <x:c r="T161" s="7" t="str">
        <x:v>EEX-EXH-2026-26cebfacb64ec6c3: https://www.jimtof.org/search/jp/ESdetails?e=SnqZSY1MFMk
EEX-EXH-2024-dfb46298d6cc735b: https://www.jimtof.org/2024/search/jp/ESdetails?e=gRk0brhHn-M</x:v>
      </x:c>
      <x:c r="U161" s="7" t="str">
        <x:v>出展説明の関連箇所に基づく一次分類</x:v>
      </x:c>
      <x:c r="V161" s="7"/>
      <x:c r="W161" s="7"/>
      <x:c r="X161" s="7"/>
      <x:c r="Y161" s="7"/>
      <x:c r="Z161" s="7"/>
      <x:c r="AA161" s="7"/>
      <x:c r="AB161" s="7"/>
    </x:row>
    <x:row r="162" ht="170" customHeight="1">
      <x:c r="A162" s="7" t="str">
        <x:v>AC095</x:v>
      </x:c>
      <x:c r="B162" s="20" t="str">
        <x:v>株式会社C＆Gシステムズ</x:v>
      </x:c>
      <x:c r="C162" s="7" t="str">
        <x:v>《　主な出展内容　》</x:v>
      </x:c>
      <x:c r="D162" s="7" t="str">
        <x:v>E2008</x:v>
      </x:c>
      <x:c r="E162" s="7" t="str">
        <x:v>加工準備・業務AI
設計・製造DX
工場運用DX
自動化</x:v>
      </x:c>
      <x:c r="F162" s="7" t="str">
        <x:v>出展説明の関連用途（個別タスクの分解は未完了）</x:v>
      </x:c>
      <x:c r="G162" s="7" t="str">
        <x:v>出展説明に記載。実装位置の個別精査はカードの方式・未確認欄を参照</x:v>
      </x:c>
      <x:c r="H162" s="7" t="str">
        <x:v>原典抜粋：「自動化・省力化・多様化・周辺機器との親和性」をテーマに、昨今のキーワード（AI・DX）から弊社の最新技術を様々な事例（加工サンプルなど）を通じてご紹介させていたく他、次期バージョン情報をいち早くお届けします。 / ● CAD/CAM システム、生産管理システムの展示 / ● CAD/CAM 関連 / CAM-TOOL／EXCESS-HYBRIDⅡ／PartsCAM／CG Series for SOLIDWORKS（アドオン） / CA</x:v>
      </x:c>
      <x:c r="I162" s="7" t="str">
        <x:v>個別入力の追加確認が必要</x:v>
      </x:c>
      <x:c r="J162" s="7" t="str">
        <x:v>原典抜粋：「自動化・省力化・多様化・周辺機器との親和性」をテーマに、昨今のキーワード（AI・DX）から弊社の最新技術を様々な事例（加工サンプルなど）を通じてご紹介させていたく他、次期バージョン情報をいち早くお届けします。 / ● CAD/CAM システム、生産管理システムの展示 / ● CAD/CAM 関連 / CAM-TOOL／EXCESS-HYBRIDⅡ／PartsCAM／CG Series for SOLIDWORKS（アドオン） / CA</x:v>
      </x:c>
      <x:c r="K162" s="7" t="str">
        <x:v>「自動化・省力化・多様化・周辺機器との親和性」をテーマに、昨今のキーワード（AI・DX）から弊社の最新技術を様々な事例（加工サンプルなど）を通じてご紹介させていたく他、次期バージョン情報をいち早くお届けします。 / ● CAD/CAM システム、生産管理システムの展示 / ● CAD/CAM 関連 / CAM-TOOL／EXCESS-HYBRIDⅡ／PartsCAM／CG Series for SOLIDWORKS（アドオン） / CA</x:v>
      </x:c>
      <x:c r="L162" s="7" t="str">
        <x:v>承認・例外対応・停止・復帰の境界は未確認</x:v>
      </x:c>
      <x:c r="M162" s="7" t="str">
        <x:v>2024原典抜粋：CGSが提案する「省力化・多様化・周辺との親和性」をテーマに、昨今のキーワード（AI・ギガキャスト・DX）から弊社の最新技術を様々な事例（加工サンプルなど）を通じてご紹介させていたく他、次期バージョン情報をいち早くお届けします。また、日工会主催のイベントに協賛いたします。あわせてご参加ください。 ●「金属Addtive Manufacturing セミナー（11/6）」 DED 方式金属AM 用CAD/CAM「CAM-TOOL AM」の概要と導入事例 ●「工作機械関連のソフトウエア・ワークショップ（11/7）」 最</x:v>
      </x:c>
      <x:c r="N162" s="7" t="str">
        <x:v>2026原典抜粋：「自動化・省力化・多様化・周辺機器との親和性」をテーマに、昨今のキーワード（AI・DX）から弊社の最新技術を様々な事例（加工サンプルなど）を通じてご紹介させていたく他、次期バージョン情報をいち早くお届けします。 / ● CAD/CAM システム、生産管理システムの展示 / ● CAD/CAM 関連 / CAM-TOOL／EXCESS-HYBRIDⅡ／PartsCAM／CG Series for SOLIDWORKS（アドオン） / CA</x:v>
      </x:c>
      <x:c r="O162" s="7" t="str">
        <x:v>両年原典あり・機能差未判定</x:v>
      </x:c>
      <x:c r="P162" s="7" t="str">
        <x:v>2026公式カタログ掲載・現地未確認</x:v>
      </x:c>
      <x:c r="Q162" s="7" t="str">
        <x:v>2026展示予定。既存製品・参考出展・構想等は原典で個別確認</x:v>
      </x:c>
      <x:c r="R162" s="7" t="str">
        <x:v>どの作業を自動化・支援するか、入力と判断・操作の範囲、適用条件と人の残作業、2024からの機能差、採用・受注・効果の実測を確認する。</x:v>
      </x:c>
      <x:c r="S162" s="7" t="str">
        <x:v>EEX-EXH-2026-8d7ad5c62f3412a9
EEX-EXH-2024-bf5a20df5ebf4ff9</x:v>
      </x:c>
      <x:c r="T162" s="7" t="str">
        <x:v>EEX-EXH-2026-8d7ad5c62f3412a9: https://www.jimtof.org/search/jp/ESdetails?e=U_kHbhLD6rU
EEX-EXH-2024-bf5a20df5ebf4ff9: https://www.jimtof.org/2024/search/jp/ESdetails?e=RVv4M6_8NyQ</x:v>
      </x:c>
      <x:c r="U162" s="7" t="str">
        <x:v>出展説明の関連箇所に基づく一次分類</x:v>
      </x:c>
      <x:c r="V162" s="7"/>
      <x:c r="W162" s="7"/>
      <x:c r="X162" s="7"/>
      <x:c r="Y162" s="7"/>
      <x:c r="Z162" s="7"/>
      <x:c r="AA162" s="7"/>
      <x:c r="AB162" s="7"/>
    </x:row>
    <x:row r="163" ht="170" customHeight="1">
      <x:c r="A163" s="7" t="str">
        <x:v>AC096</x:v>
      </x:c>
      <x:c r="B163" s="20" t="str">
        <x:v>株式会社シーケービー</x:v>
      </x:c>
      <x:c r="C163" s="7" t="str">
        <x:v>＜ 航空・発電向けソリューション＞</x:v>
      </x:c>
      <x:c r="D163" s="7" t="str">
        <x:v>E2035</x:v>
      </x:c>
      <x:c r="E163" s="7" t="str">
        <x:v>自動化</x:v>
      </x:c>
      <x:c r="F163" s="7" t="str">
        <x:v>出展説明の関連用途（個別タスクの分解は未完了）</x:v>
      </x:c>
      <x:c r="G163" s="7" t="str">
        <x:v>出展説明に記載。実装位置の個別精査はカードの方式・未確認欄を参照</x:v>
      </x:c>
      <x:c r="H163" s="7" t="str">
        <x:v>原典抜粋：航空・発電分野および自動車分野にフォーカスし、厳選した12社の先進技術・ソリューションを紹介します。 / 航空機エンジン部品や発電設備などの難削材・高精度加工、自動車分野におけるEV化や次世代モビリティに対応した生産効率化技術など、幅広いニーズに応える最新技術を展示します。 / 加工技術、測定、自動化、生産支援まで、CKBならではの総合的な提案力で、お客様の製造現場の課題解決と未来のものづくりをサポートします。 / * Flexmill</x:v>
      </x:c>
      <x:c r="I163" s="7" t="str">
        <x:v>個別入力の追加確認が必要</x:v>
      </x:c>
      <x:c r="J163" s="7" t="str">
        <x:v>原典抜粋：航空・発電分野および自動車分野にフォーカスし、厳選した12社の先進技術・ソリューションを紹介します。 / 航空機エンジン部品や発電設備などの難削材・高精度加工、自動車分野におけるEV化や次世代モビリティに対応した生産効率化技術など、幅広いニーズに応える最新技術を展示します。 / 加工技術、測定、自動化、生産支援まで、CKBならではの総合的な提案力で、お客様の製造現場の課題解決と未来のものづくりをサポートします。 / * Flexmill</x:v>
      </x:c>
      <x:c r="K163" s="7" t="str">
        <x:v>航空・発電分野および自動車分野にフォーカスし、厳選した12社の先進技術・ソリューションを紹介します。 / 航空機エンジン部品や発電設備などの難削材・高精度加工、自動車分野におけるEV化や次世代モビリティに対応した生産効率化技術など、幅広いニーズに応える最新技術を展示します。 / 加工技術、測定、自動化、生産支援まで、CKBならではの総合的な提案力で、お客様の製造現場の課題解決と未来のものづくりをサポートします。 / * Flexmill</x:v>
      </x:c>
      <x:c r="L163" s="7" t="str">
        <x:v>承認・例外対応・停止・復帰の境界は未確認</x:v>
      </x:c>
      <x:c r="M163" s="7" t="str">
        <x:v>2024原典抜粋：VICI：シャフト形状部品をワンクランプ・非接触で全ての測定を行える革命的な測定方法をぜひご覧ください！ 今まで複数の器具で40分かかっていた測定が、これからはVICIVISION（ヴィチビジョン）1台により40秒で可能となります！小・中サイズ用の2機種を展示しご来場をお待ちしております。 SmartTech：形状測定用のグリーンライトだけでなく、カラーが撮れるホワイトライトを出展します！ 美術や医療業界からも熱い視線が注がれており、実績も積み上げております。また羊毛生地のような触り心地を想像できるカラースキャンを</x:v>
      </x:c>
      <x:c r="N163" s="7" t="str">
        <x:v>2026原典抜粋：航空・発電分野および自動車分野にフォーカスし、厳選した12社の先進技術・ソリューションを紹介します。 / 航空機エンジン部品や発電設備などの難削材・高精度加工、自動車分野におけるEV化や次世代モビリティに対応した生産効率化技術など、幅広いニーズに応える最新技術を展示します。 / 加工技術、測定、自動化、生産支援まで、CKBならではの総合的な提案力で、お客様の製造現場の課題解決と未来のものづくりをサポートします。 / * Flexmill</x:v>
      </x:c>
      <x:c r="O163" s="7" t="str">
        <x:v>両年原典あり・機能差未判定</x:v>
      </x:c>
      <x:c r="P163" s="7" t="str">
        <x:v>2026公式カタログ掲載・現地未確認</x:v>
      </x:c>
      <x:c r="Q163" s="7" t="str">
        <x:v>2026展示予定。既存製品・参考出展・構想等は原典で個別確認</x:v>
      </x:c>
      <x:c r="R163" s="7" t="str">
        <x:v>どの作業を自動化・支援するか、入力と判断・操作の範囲、適用条件と人の残作業、2024からの機能差、採用・受注・効果の実測を確認する。</x:v>
      </x:c>
      <x:c r="S163" s="7" t="str">
        <x:v>EEX-EXH-2026-22d80dbe4c402896
EEX-EXH-2024-b6dc609d72a816bd
EEX-EXH-2024-6784a05a06031704
EEX-EXH-2024-c4a3fca62e153104</x:v>
      </x:c>
      <x:c r="T163" s="7" t="str">
        <x:v>EEX-EXH-2026-22d80dbe4c402896: https://www.jimtof.org/search/jp/ESdetails?e=-waFBj53SPU
EEX-EXH-2024-b6dc609d72a816bd: https://www.jimtof.org/2024/search/jp/ESdetails?e=1aUuaWjaMWk
EEX-EXH-2024-6784a05a06031704: https://www.jimtof.org/2024/search/jp/ESdetails?e=03Dp2TJttAY
EEX-EXH-2024-c4a3fca62e153104: https://www.jimtof.org/2024/search/jp/ESdetails?e=r-Kxnh9Ctzg</x:v>
      </x:c>
      <x:c r="U163" s="7" t="str">
        <x:v>出展説明の関連箇所に基づく一次分類</x:v>
      </x:c>
      <x:c r="V163" s="7"/>
      <x:c r="W163" s="7"/>
      <x:c r="X163" s="7"/>
      <x:c r="Y163" s="7"/>
      <x:c r="Z163" s="7"/>
      <x:c r="AA163" s="7"/>
      <x:c r="AB163" s="7"/>
    </x:row>
    <x:row r="164" ht="170" customHeight="1">
      <x:c r="A164" s="7" t="str">
        <x:v>AC097</x:v>
      </x:c>
      <x:c r="B164" s="20" t="str">
        <x:v>株式会社ジーベックテクノロジー</x:v>
      </x:c>
      <x:c r="C164" s="7" t="str">
        <x:v>XEBEC CPS オートホルダー</x:v>
      </x:c>
      <x:c r="D164" s="7" t="str">
        <x:v>WA006</x:v>
      </x:c>
      <x:c r="E164" s="7" t="str">
        <x:v>自動化</x:v>
      </x:c>
      <x:c r="F164" s="7" t="str">
        <x:v>出展説明の関連用途（個別タスクの分解は未完了）</x:v>
      </x:c>
      <x:c r="G164" s="7" t="str">
        <x:v>出展説明に記載。実装位置の個別精査はカードの方式・未確認欄を参照</x:v>
      </x:c>
      <x:c r="H164" s="7" t="str">
        <x:v>原典抜粋：CPS オートホルダーは、ブラシの摩耗に応じて突出し量を自動で調整。 / さらに、ロボットとCPSオートホルダーを組み合わせたギヤのバリ取りデモを実演し、ブラシの摩耗を意識せず、安定した加工を継続する工程をご覧いただけます。 / 工具を自動で動かすだけではなく、加工中に発生していた人の調整やムダな試行錯誤まで減らしていく。 / 工作機械からロボットまで、XEBECが考えるこれからの「バリ取りの新基準」を、ぜひ会場でご体感ください。 / </x:v>
      </x:c>
      <x:c r="I164" s="7" t="str">
        <x:v>個別入力の追加確認が必要</x:v>
      </x:c>
      <x:c r="J164" s="7" t="str">
        <x:v>原典抜粋：CPS オートホルダーは、ブラシの摩耗に応じて突出し量を自動で調整。 / さらに、ロボットとCPSオートホルダーを組み合わせたギヤのバリ取りデモを実演し、ブラシの摩耗を意識せず、安定した加工を継続する工程をご覧いただけます。 / 工具を自動で動かすだけではなく、加工中に発生していた人の調整やムダな試行錯誤まで減らしていく。 / 工作機械からロボットまで、XEBECが考えるこれからの「バリ取りの新基準」を、ぜひ会場でご体感ください。 / </x:v>
      </x:c>
      <x:c r="K164" s="7" t="str">
        <x:v>CPS オートホルダーは、ブラシの摩耗に応じて突出し量を自動で調整。 / さらに、ロボットとCPSオートホルダーを組み合わせたギヤのバリ取りデモを実演し、ブラシの摩耗を意識せず、安定した加工を継続する工程をご覧いただけます。 / 工具を自動で動かすだけではなく、加工中に発生していた人の調整やムダな試行錯誤まで減らしていく。 / 工作機械からロボットまで、XEBECが考えるこれからの「バリ取りの新基準」を、ぜひ会場でご体感ください。 / </x:v>
      </x:c>
      <x:c r="L164" s="7" t="str">
        <x:v>承認・例外対応・停止・復帰の境界は未確認</x:v>
      </x:c>
      <x:c r="M164" s="7" t="str">
        <x:v>2024原典抜粋：ジーベックテクノロジーは、セラミックファイバー製のXEBECブラシ、穴の裏バリ取りに最適なXEBEC裏バリカッター&amp;バリ取りプログラムなど、バリ取りの自動化を実現するツールを多数ラインナップしております。 高品質なバリ取りを可能にするツールは、既に国内外の自動車や航空機などの最先端部品の加工現場で数多く採用され、世界中で使用されています。是非、貴社の加工の高品質化や効率化、人件費削減などにお役立てください。 バリ取り自動化ツールに関しては、無料のデモ機貸出もご対応させていただきます。お気軽にご相談ください。 XEB</x:v>
      </x:c>
      <x:c r="N164" s="7" t="str">
        <x:v>2026原典抜粋：CPS オートホルダーは、ブラシの摩耗に応じて突出し量を自動で調整。 / さらに、ロボットとCPSオートホルダーを組み合わせたギヤのバリ取りデモを実演し、ブラシの摩耗を意識せず、安定した加工を継続する工程をご覧いただけます。 / 工具を自動で動かすだけではなく、加工中に発生していた人の調整やムダな試行錯誤まで減らしていく。 / 工作機械からロボットまで、XEBECが考えるこれからの「バリ取りの新基準」を、ぜひ会場でご体感ください。 / </x:v>
      </x:c>
      <x:c r="O164" s="7" t="str">
        <x:v>両年原典あり・機能差未判定</x:v>
      </x:c>
      <x:c r="P164" s="7" t="str">
        <x:v>2026公式カタログ掲載・現地未確認</x:v>
      </x:c>
      <x:c r="Q164" s="7" t="str">
        <x:v>2026展示予定。既存製品・参考出展・構想等は原典で個別確認</x:v>
      </x:c>
      <x:c r="R164" s="7" t="str">
        <x:v>どの作業を自動化・支援するか、入力と判断・操作の範囲、適用条件と人の残作業、2024からの機能差、採用・受注・効果の実測を確認する。</x:v>
      </x:c>
      <x:c r="S164" s="7" t="str">
        <x:v>EEX-EXH-2026-ba283a239e52d644
EEX-EXH-2024-1632c66ef4d28e78</x:v>
      </x:c>
      <x:c r="T164" s="7" t="str">
        <x:v>EEX-EXH-2026-ba283a239e52d644: https://www.jimtof.org/search/jp/ESdetails?e=jbu03Ik4s00
EEX-EXH-2024-1632c66ef4d28e78: https://www.jimtof.org/2024/search/jp/ESdetails?e=mnvwVRInyM8</x:v>
      </x:c>
      <x:c r="U164" s="7" t="str">
        <x:v>出展説明の関連箇所に基づく一次分類</x:v>
      </x:c>
      <x:c r="V164" s="7"/>
      <x:c r="W164" s="7"/>
      <x:c r="X164" s="7"/>
      <x:c r="Y164" s="7"/>
      <x:c r="Z164" s="7"/>
      <x:c r="AA164" s="7"/>
      <x:c r="AB164" s="7"/>
    </x:row>
    <x:row r="165" ht="170" customHeight="1">
      <x:c r="A165" s="7" t="str">
        <x:v>AC098</x:v>
      </x:c>
      <x:c r="B165" s="20" t="str">
        <x:v>シーメンス株式会社</x:v>
      </x:c>
      <x:c r="C165" s="7" t="str">
        <x:v>Digital Thread：工作機械ツイン・工程内品質保証</x:v>
      </x:c>
      <x:c r="D165" s="7" t="str">
        <x:v>E3006</x:v>
      </x:c>
      <x:c r="E165" s="7" t="str">
        <x:v>設計・製造DX
工場運用DX
自動化</x:v>
      </x:c>
      <x:c r="F165" s="7" t="str">
        <x:v>設計・加工・工程内品質保証の連携</x:v>
      </x:c>
      <x:c r="G165" s="7" t="str">
        <x:v>CAD/CAM/CMM、CNC、工作機械ツインと工程内計測</x:v>
      </x:c>
      <x:c r="H165" s="7" t="str">
        <x:v>設計から加工・品質のデジタルスレッド</x:v>
      </x:c>
      <x:c r="I165" s="7" t="str">
        <x:v>Tokn：NCと機械モデル。物流実例：トートと工場状況（具体センサ・モデル入力は非開示）</x:v>
      </x:c>
      <x:c r="J165" s="7" t="str">
        <x:v>ToknのNC構文・衝突検証はAI判断と未確認。別のHMND 01 Alpha試験は認識・行動をAIで処理する説明</x:v>
      </x:c>
      <x:c r="K165" s="7" t="str">
        <x:v>Toknは仮想加工・訓練。2026/4のドイツ工場では車輪型HMND 01 Alphaがトートのピッキング・搬送・配置を試験</x:v>
      </x:c>
      <x:c r="L165" s="7" t="str">
        <x:v>事前準備：公式：物流実例はIsaac Sim/Labでのシミュレーション・ポリシー学習とJetson Thor等を利用／承認：未記載：物流作業の許可・停止・人の承認。JIMTOFのヒューマノイドと同一機体か未確認／例外対応：未記載：失敗・人との接触リスク・再試行時の介入。成功率の残りの失敗処理は不明</x:v>
      </x:c>
      <x:c r="M165" s="7" t="str">
        <x:v>2024カタログにNX・CNC・Mcenter等。Siemens公式事例にはToknと仮想SINUMERIK ONEによる訓練をCompletion 2024と明記。</x:v>
      </x:c>
      <x:c r="N165" s="7" t="str">
        <x:v>2026はHeller Toknツイン、Renishaw Equator品質保証、ヒューマノイド特別展示を具体記載。</x:v>
      </x:c>
      <x:c r="O165" s="7" t="str">
        <x:v>2024から継続・構成を具体化</x:v>
      </x:c>
      <x:c r="P165" s="7" t="str">
        <x:v>2026公式カタログ掲載・現地未確認</x:v>
      </x:c>
      <x:c r="Q165" s="7" t="str">
        <x:v>2026展示予定。既存製品・参考出展・構想等は原典で個別確認</x:v>
      </x:c>
      <x:c r="R165" s="7" t="str">
        <x:v>ドイツ工場のメーカー実証とJIMTOF展示確定を分ける。Tokn・Equator・ヒューマノイドの実装済み一体連携とは確認できない 現地質問：加工・計測のどの情報が往復するか。Equatorの結果で何を変えるか。ヒューマノイドは何の作業を行うか。</x:v>
      </x:c>
      <x:c r="S165" s="7" t="str">
        <x:v>EEX-EXH-2026-9b991dd8132f51dc
EEX-EXH-2024-558faea07a73f5d8
EDP-16
EDP-17</x:v>
      </x:c>
      <x:c r="T165" s="7" t="str">
        <x:v>EEX-EXH-2026-9b991dd8132f51dc: https://www.jimtof.org/search/jp/ESdetails?e=EBIotJu7lrg
EEX-EXH-2024-558faea07a73f5d8: https://www.jimtof.org/2024/search/jp/ESdetails?e=nYvFR1vpbuE
EDP-16: https://references.siemens.com/en/reference/heller-tokn-digital-twin?id=41137
EDP-17: https://press.siemens.com/jp/ja/pressrelease/pr-20260416</x:v>
      </x:c>
      <x:c r="U165" s="7" t="str">
        <x:v>2024・2026の原典全文を重点比較</x:v>
      </x:c>
      <x:c r="V165" s="7" t="str">
        <x:v>デジタルツインと、別の物流AI実例を分離</x:v>
      </x:c>
      <x:c r="W165" s="7" t="str">
        <x:v>ToknのNC構文・衝突検証はAI判断と未確認。別のHMND 01 Alpha試験は認識・行動をAIで処理する説明</x:v>
      </x:c>
      <x:c r="X165" s="7" t="str">
        <x:v>Toknは仮想加工・訓練。2026/4のドイツ工場では車輪型HMND 01 Alphaがトートのピッキング・搬送・配置を試験</x:v>
      </x:c>
      <x:c r="Y165" s="7" t="str">
        <x:v>公式：物流実例はIsaac Sim/Labでのシミュレーション・ポリシー学習とJetson Thor等を利用</x:v>
      </x:c>
      <x:c r="Z165" s="7" t="str">
        <x:v>未記載：物流作業の許可・停止・人の承認。JIMTOFのヒューマノイドと同一機体か未確認</x:v>
      </x:c>
      <x:c r="AA165" s="7" t="str">
        <x:v>未記載：失敗・人との接触リスク・再試行時の介入。成功率の残りの失敗処理は不明</x:v>
      </x:c>
      <x:c r="AB165" s="7" t="str">
        <x:v>ドイツ工場のメーカー実証とJIMTOF展示確定を分ける。Tokn・Equator・ヒューマノイドの実装済み一体連携とは確認できない</x:v>
      </x:c>
    </x:row>
    <x:row r="166" ht="170" customHeight="1">
      <x:c r="A166" s="7" t="str">
        <x:v>AC099</x:v>
      </x:c>
      <x:c r="B166" s="20" t="str">
        <x:v>JFEエンジニアリング株式会社</x:v>
      </x:c>
      <x:c r="C166" s="7" t="str">
        <x:v>金属積層造形を用いて製作・補修した各種部品</x:v>
      </x:c>
      <x:c r="D166" s="7" t="str">
        <x:v>W4102</x:v>
      </x:c>
      <x:c r="E166" s="7" t="str">
        <x:v>設計・製造DX</x:v>
      </x:c>
      <x:c r="F166" s="7" t="str">
        <x:v>出展説明の関連用途（個別タスクの分解は未完了）</x:v>
      </x:c>
      <x:c r="G166" s="7" t="str">
        <x:v>出展説明に記載。実装位置の個別精査はカードの方式・未確認欄を参照</x:v>
      </x:c>
      <x:c r="H166" s="7" t="str">
        <x:v>原典抜粋：金属3Dプリンターを用いた受託造形サービスを展開するJFEエンジニアリングブースでは、長年培った製缶・機械加工・組立技術と最先端の金属積層造形技術を融合した新しいものづくりをご紹介します。 / 国内最大クラスの造形サイズ（最大φ1,320×H1,150mm）を誇る大型金属3Dプリンターをはじめとする設備群により、大型構造物から高精度部品まで幅広く対応。 / 従来の切削加工では難しかった複雑形状や軽量化構造の実現を可能にします。 / 当社</x:v>
      </x:c>
      <x:c r="I166" s="7" t="str">
        <x:v>個別入力の追加確認が必要</x:v>
      </x:c>
      <x:c r="J166" s="7" t="str">
        <x:v>原典抜粋：金属3Dプリンターを用いた受託造形サービスを展開するJFEエンジニアリングブースでは、長年培った製缶・機械加工・組立技術と最先端の金属積層造形技術を融合した新しいものづくりをご紹介します。 / 国内最大クラスの造形サイズ（最大φ1,320×H1,150mm）を誇る大型金属3Dプリンターをはじめとする設備群により、大型構造物から高精度部品まで幅広く対応。 / 従来の切削加工では難しかった複雑形状や軽量化構造の実現を可能にします。 / 当社</x:v>
      </x:c>
      <x:c r="K166" s="7" t="str">
        <x:v>金属3Dプリンターを用いた受託造形サービスを展開するJFEエンジニアリングブースでは、長年培った製缶・機械加工・組立技術と最先端の金属積層造形技術を融合した新しいものづくりをご紹介します。 / 国内最大クラスの造形サイズ（最大φ1,320×H1,150mm）を誇る大型金属3Dプリンターをはじめとする設備群により、大型構造物から高精度部品まで幅広く対応。 / 従来の切削加工では難しかった複雑形状や軽量化構造の実現を可能にします。 / 当社</x:v>
      </x:c>
      <x:c r="L166" s="7" t="str">
        <x:v>承認・例外対応・停止・復帰の境界は未確認</x:v>
      </x:c>
      <x:c r="M166" s="7" t="str">
        <x:v>同一正規化名称の2024詳細なし。新規出展・技術不存在とは判断しない。</x:v>
      </x:c>
      <x:c r="N166" s="7" t="str">
        <x:v>2026原典抜粋：金属3Dプリンターを用いた受託造形サービスを展開するJFEエンジニアリングブースでは、長年培った製缶・機械加工・組立技術と最先端の金属積層造形技術を融合した新しいものづくりをご紹介します。 / 国内最大クラスの造形サイズ（最大φ1,320×H1,150mm）を誇る大型金属3Dプリンターをはじめとする設備群により、大型構造物から高精度部品まで幅広く対応。 / 従来の切削加工では難しかった複雑形状や軽量化構造の実現を可能にします。 / 当社</x:v>
      </x:c>
      <x:c r="O166" s="7" t="str">
        <x:v>2024個別比較不能</x:v>
      </x:c>
      <x:c r="P166" s="7" t="str">
        <x:v>2026公式カタログ掲載・現地未確認</x:v>
      </x:c>
      <x:c r="Q166" s="7" t="str">
        <x:v>2026展示予定。既存製品・参考出展・構想等は原典で個別確認</x:v>
      </x:c>
      <x:c r="R166" s="7" t="str">
        <x:v>どの作業を自動化・支援するか、入力と判断・操作の範囲、適用条件と人の残作業、2024からの機能差、採用・受注・効果の実測を確認する。</x:v>
      </x:c>
      <x:c r="S166" s="7" t="str">
        <x:v>EEX-EXH-2026-64caad79f2ec2e09</x:v>
      </x:c>
      <x:c r="T166" s="7" t="str">
        <x:v>EEX-EXH-2026-64caad79f2ec2e09: https://www.jimtof.org/search/jp/ESdetails?e=3fQN8AhQ2X0</x:v>
      </x:c>
      <x:c r="U166" s="7" t="str">
        <x:v>出展説明の関連箇所に基づく一次分類</x:v>
      </x:c>
      <x:c r="V166" s="7"/>
      <x:c r="W166" s="7"/>
      <x:c r="X166" s="7"/>
      <x:c r="Y166" s="7"/>
      <x:c r="Z166" s="7"/>
      <x:c r="AA166" s="7"/>
      <x:c r="AB166" s="7"/>
    </x:row>
    <x:row r="167" ht="170" customHeight="1">
      <x:c r="A167" s="7" t="str">
        <x:v>AC100</x:v>
      </x:c>
      <x:c r="B167" s="20" t="str">
        <x:v>株式会社ジェイテクト</x:v>
      </x:c>
      <x:c r="C167" s="7" t="str">
        <x:v>大型CNC円筒研削盤　G5P250G</x:v>
      </x:c>
      <x:c r="D167" s="7" t="str">
        <x:v>E8003</x:v>
      </x:c>
      <x:c r="E167" s="7" t="str">
        <x:v>工場運用DX
自動化</x:v>
      </x:c>
      <x:c r="F167" s="7" t="str">
        <x:v>出展説明の関連用途（個別タスクの分解は未完了）</x:v>
      </x:c>
      <x:c r="G167" s="7" t="str">
        <x:v>出展説明に記載。実装位置の個別精査はカードの方式・未確認欄を参照</x:v>
      </x:c>
      <x:c r="H167" s="7" t="str">
        <x:v>原典抜粋：」をテーマに、自動化、工程集約、生産性向上、生産を止めない工場、生産工程の省エネなどお客様のニーズにお応えするソリューションをご提案いたします。 / 自動化技術で熟練加工を再現し、誰でも簡単に大型ワークの研削を可能にする大型CNC円筒研削盤「G5P250G」。 / 工場ソリューションエリアでは、設備だけでなく、人・情報・エネルギーなどのリソースマネジメントを組み合わせ、「人作業の自動化」「生産を止めない工場」「生産工程の省エネ」のニーズ</x:v>
      </x:c>
      <x:c r="I167" s="7" t="str">
        <x:v>個別入力の追加確認が必要</x:v>
      </x:c>
      <x:c r="J167" s="7" t="str">
        <x:v>原典抜粋：」をテーマに、自動化、工程集約、生産性向上、生産を止めない工場、生産工程の省エネなどお客様のニーズにお応えするソリューションをご提案いたします。 / 自動化技術で熟練加工を再現し、誰でも簡単に大型ワークの研削を可能にする大型CNC円筒研削盤「G5P250G」。 / 工場ソリューションエリアでは、設備だけでなく、人・情報・エネルギーなどのリソースマネジメントを組み合わせ、「人作業の自動化」「生産を止めない工場」「生産工程の省エネ」のニーズ</x:v>
      </x:c>
      <x:c r="K167" s="7" t="str">
        <x:v>」をテーマに、自動化、工程集約、生産性向上、生産を止めない工場、生産工程の省エネなどお客様のニーズにお応えするソリューションをご提案いたします。 / 自動化技術で熟練加工を再現し、誰でも簡単に大型ワークの研削を可能にする大型CNC円筒研削盤「G5P250G」。 / 工場ソリューションエリアでは、設備だけでなく、人・情報・エネルギーなどのリソースマネジメントを組み合わせ、「人作業の自動化」「生産を止めない工場」「生産工程の省エネ」のニーズ</x:v>
      </x:c>
      <x:c r="L167" s="7" t="str">
        <x:v>承認・例外対応・停止・復帰の境界は未確認</x:v>
      </x:c>
      <x:c r="M167" s="7" t="str">
        <x:v>2024原典抜粋：市場環境の変化、労働力不足、カーボンニュートラルの実現など、お客様が直面する課題に対して、現場の困りごとを解決する最適なソリューションをご提案いたします。 汎用機ユーザーの労働力不足、熟練技能継承の課題に対して、らくらく操作で高精度加工を実現するCNC円筒研削盤「G3P100L」。 量産機ユーザーの競争力強化のニーズに対して、省スペースでありながら多様な生産スタイルと品質安定を実現するCNC円筒研削盤「G1P50S」。 製造業の生産性向上のニーズに対して、非稼働時間削減、消費電力削減に貢献するアイテムを展示いたしま</x:v>
      </x:c>
      <x:c r="N167" s="7" t="str">
        <x:v>2026原典抜粋：」をテーマに、自動化、工程集約、生産性向上、生産を止めない工場、生産工程の省エネなどお客様のニーズにお応えするソリューションをご提案いたします。 / 自動化技術で熟練加工を再現し、誰でも簡単に大型ワークの研削を可能にする大型CNC円筒研削盤「G5P250G」。 / 工場ソリューションエリアでは、設備だけでなく、人・情報・エネルギーなどのリソースマネジメントを組み合わせ、「人作業の自動化」「生産を止めない工場」「生産工程の省エネ」のニーズ</x:v>
      </x:c>
      <x:c r="O167" s="7" t="str">
        <x:v>両年原典あり・機能差未判定</x:v>
      </x:c>
      <x:c r="P167" s="7" t="str">
        <x:v>2026公式カタログ掲載・現地未確認</x:v>
      </x:c>
      <x:c r="Q167" s="7" t="str">
        <x:v>2026展示予定。既存製品・参考出展・構想等は原典で個別確認</x:v>
      </x:c>
      <x:c r="R167" s="7" t="str">
        <x:v>どの作業を自動化・支援するか、入力と判断・操作の範囲、適用条件と人の残作業、2024からの機能差、採用・受注・効果の実測を確認する。</x:v>
      </x:c>
      <x:c r="S167" s="7" t="str">
        <x:v>EEX-EXH-2026-18d08a3e4d8ab906
EEX-EXH-2024-7a92881c6963ceba</x:v>
      </x:c>
      <x:c r="T167" s="7" t="str">
        <x:v>EEX-EXH-2026-18d08a3e4d8ab906: https://www.jimtof.org/search/jp/ESdetails?e=cW9RNSMEfso
EEX-EXH-2024-7a92881c6963ceba: https://www.jimtof.org/2024/search/jp/ESdetails?e=mjIyOzHh7nU</x:v>
      </x:c>
      <x:c r="U167" s="7" t="str">
        <x:v>出展説明の関連箇所に基づく一次分類</x:v>
      </x:c>
      <x:c r="V167" s="7"/>
      <x:c r="W167" s="7"/>
      <x:c r="X167" s="7"/>
      <x:c r="Y167" s="7"/>
      <x:c r="Z167" s="7"/>
      <x:c r="AA167" s="7"/>
      <x:c r="AB167" s="7"/>
    </x:row>
    <x:row r="168" ht="170" customHeight="1">
      <x:c r="A168" s="7" t="str">
        <x:v>AC101</x:v>
      </x:c>
      <x:c r="B168" s="20" t="str">
        <x:v>株式会社シギヤ精機製作所</x:v>
      </x:c>
      <x:c r="C168" s="7" t="str">
        <x:v>複合研削に対応するCNC万能研削盤「GSU-20・30P」は、プレーン・アンギュラ・内研を組み合わせた多彩な構成に加え、新たにポリゴン研削機能（CX制</x:v>
      </x:c>
      <x:c r="D168" s="7" t="str">
        <x:v>E7094</x:v>
      </x:c>
      <x:c r="E168" s="7" t="str">
        <x:v>設計・製造DX
自動化</x:v>
      </x:c>
      <x:c r="F168" s="7" t="str">
        <x:v>出展説明の関連用途（個別タスクの分解は未完了）</x:v>
      </x:c>
      <x:c r="G168" s="7" t="str">
        <x:v>出展説明に記載。実装位置の個別精査はカードの方式・未確認欄を参照</x:v>
      </x:c>
      <x:c r="H168" s="7" t="str">
        <x:v>原典抜粋：高精度研削技術と操作性のさらなる進化をテーマに、複雑化・高精度化する加工ニーズへ対応する最新技術をご紹介します。 / 新開発のポリゴン研削機能（C-X制御）を搭載したCNC万能研削盤をはじめ、NC旋回主軸台による複合加工を実現する内面研削盤、さらに直感的な操作性と高度な加工支援を両立した新型対話システム「S3Pro」を展示。 / 高精度・高効率・省段取りを実現するソリューションを通じて、お客様の生産性向上に貢献する最新技術をご提案します</x:v>
      </x:c>
      <x:c r="I168" s="7" t="str">
        <x:v>個別入力の追加確認が必要</x:v>
      </x:c>
      <x:c r="J168" s="7" t="str">
        <x:v>原典抜粋：高精度研削技術と操作性のさらなる進化をテーマに、複雑化・高精度化する加工ニーズへ対応する最新技術をご紹介します。 / 新開発のポリゴン研削機能（C-X制御）を搭載したCNC万能研削盤をはじめ、NC旋回主軸台による複合加工を実現する内面研削盤、さらに直感的な操作性と高度な加工支援を両立した新型対話システム「S3Pro」を展示。 / 高精度・高効率・省段取りを実現するソリューションを通じて、お客様の生産性向上に貢献する最新技術をご提案します</x:v>
      </x:c>
      <x:c r="K168" s="7" t="str">
        <x:v>高精度研削技術と操作性のさらなる進化をテーマに、複雑化・高精度化する加工ニーズへ対応する最新技術をご紹介します。 / 新開発のポリゴン研削機能（C-X制御）を搭載したCNC万能研削盤をはじめ、NC旋回主軸台による複合加工を実現する内面研削盤、さらに直感的な操作性と高度な加工支援を両立した新型対話システム「S3Pro」を展示。 / 高精度・高効率・省段取りを実現するソリューションを通じて、お客様の生産性向上に貢献する最新技術をご提案します</x:v>
      </x:c>
      <x:c r="L168" s="7" t="str">
        <x:v>承認・例外対応・停止・復帰の境界は未確認</x:v>
      </x:c>
      <x:c r="M168" s="7" t="str">
        <x:v>2024原典抜粋：複合研削を実現する万能機GSUシリーズがコンパクトになって登場 従来小物加工の場合、課題であったフロアスペース問題を解決するために開発したGSU-20。 従来のGSU-30シリーズよりフロアスペースを40％以上削減し、多様な現場に応えられるようになりました。 プレーン、アンギュラ、内研を組み合わせて、8通りの取付パターンから選択する事が可能。 高精度、高剛性NC旋回機構を搭載し様々な加工パターンを実現できます。 砥石径は最大Φ305mmで超砥粒にも対応。小型の金型やセラミック・超硬工具における複雑な加工に最適な研削</x:v>
      </x:c>
      <x:c r="N168" s="7" t="str">
        <x:v>2026原典抜粋：高精度研削技術と操作性のさらなる進化をテーマに、複雑化・高精度化する加工ニーズへ対応する最新技術をご紹介します。 / 新開発のポリゴン研削機能（C-X制御）を搭載したCNC万能研削盤をはじめ、NC旋回主軸台による複合加工を実現する内面研削盤、さらに直感的な操作性と高度な加工支援を両立した新型対話システム「S3Pro」を展示。 / 高精度・高効率・省段取りを実現するソリューションを通じて、お客様の生産性向上に貢献する最新技術をご提案します</x:v>
      </x:c>
      <x:c r="O168" s="7" t="str">
        <x:v>両年原典あり・機能差未判定</x:v>
      </x:c>
      <x:c r="P168" s="7" t="str">
        <x:v>2026公式カタログ掲載・現地未確認</x:v>
      </x:c>
      <x:c r="Q168" s="7" t="str">
        <x:v>2026展示予定。既存製品・参考出展・構想等は原典で個別確認</x:v>
      </x:c>
      <x:c r="R168" s="7" t="str">
        <x:v>どの作業を自動化・支援するか、入力と判断・操作の範囲、適用条件と人の残作業、2024からの機能差、採用・受注・効果の実測を確認する。</x:v>
      </x:c>
      <x:c r="S168" s="7" t="str">
        <x:v>EEX-EXH-2026-ec6cc41bae704f0d
EEX-EXH-2024-8048b1d8000db0be</x:v>
      </x:c>
      <x:c r="T168" s="7" t="str">
        <x:v>EEX-EXH-2026-ec6cc41bae704f0d: https://www.jimtof.org/search/jp/ESdetails?e=7L3V3jg3cYg
EEX-EXH-2024-8048b1d8000db0be: https://www.jimtof.org/2024/search/jp/ESdetails?e=hU8LqSDiscs</x:v>
      </x:c>
      <x:c r="U168" s="7" t="str">
        <x:v>出展説明の関連箇所に基づく一次分類</x:v>
      </x:c>
      <x:c r="V168" s="7"/>
      <x:c r="W168" s="7"/>
      <x:c r="X168" s="7"/>
      <x:c r="Y168" s="7"/>
      <x:c r="Z168" s="7"/>
      <x:c r="AA168" s="7"/>
      <x:c r="AB168" s="7"/>
    </x:row>
    <x:row r="169" ht="170" customHeight="1">
      <x:c r="A169" s="7" t="str">
        <x:v>AC102</x:v>
      </x:c>
      <x:c r="B169" s="20" t="str">
        <x:v>シチズンマシナリー株式会社</x:v>
      </x:c>
      <x:c r="C169" s="7" t="str">
        <x:v>主軸台移動型CNC自動旋盤　M32Ⅷ　L32ⅫB5　L20ⅫB5　Ⅼ12Ⅹ　R04</x:v>
      </x:c>
      <x:c r="D169" s="7" t="str">
        <x:v>S2002</x:v>
      </x:c>
      <x:c r="E169" s="7" t="str">
        <x:v>自動化</x:v>
      </x:c>
      <x:c r="F169" s="7" t="str">
        <x:v>出展説明の関連用途（個別タスクの分解は未完了）</x:v>
      </x:c>
      <x:c r="G169" s="7" t="str">
        <x:v>出展説明に記載。実装位置の個別精査はカードの方式・未確認欄を参照</x:v>
      </x:c>
      <x:c r="H169" s="7" t="str">
        <x:v>原典抜粋：」をテーマに、シチズンマシナリーは自動盤の可能性をさらに拡張するソリューションを提案します。 / 今回の展示では、複合加工、マシニング領域への展開、LFV（低周波振動切削）、レーザー加工、ATC、自動計測、FA連携など、多彩な技術を融合。 / 機械単体ではなく、生産現場全体の価値向上を目指した提案を通じて、自動盤でここまでできる――その驚きと可能性を、ぜひ会場でご体感ください。 / 主軸台移動型CNC自動旋盤　M32Ⅷ　L32ⅫB5　L</x:v>
      </x:c>
      <x:c r="I169" s="7" t="str">
        <x:v>個別入力の追加確認が必要</x:v>
      </x:c>
      <x:c r="J169" s="7" t="str">
        <x:v>原典抜粋：」をテーマに、シチズンマシナリーは自動盤の可能性をさらに拡張するソリューションを提案します。 / 今回の展示では、複合加工、マシニング領域への展開、LFV（低周波振動切削）、レーザー加工、ATC、自動計測、FA連携など、多彩な技術を融合。 / 機械単体ではなく、生産現場全体の価値向上を目指した提案を通じて、自動盤でここまでできる――その驚きと可能性を、ぜひ会場でご体感ください。 / 主軸台移動型CNC自動旋盤　M32Ⅷ　L32ⅫB5　L</x:v>
      </x:c>
      <x:c r="K169" s="7" t="str">
        <x:v>」をテーマに、シチズンマシナリーは自動盤の可能性をさらに拡張するソリューションを提案します。 / 今回の展示では、複合加工、マシニング領域への展開、LFV（低周波振動切削）、レーザー加工、ATC、自動計測、FA連携など、多彩な技術を融合。 / 機械単体ではなく、生産現場全体の価値向上を目指した提案を通じて、自動盤でここまでできる――その驚きと可能性を、ぜひ会場でご体感ください。 / 主軸台移動型CNC自動旋盤　M32Ⅷ　L32ⅫB5　L</x:v>
      </x:c>
      <x:c r="L169" s="7" t="str">
        <x:v>承認・例外対応・停止・復帰の境界は未確認</x:v>
      </x:c>
      <x:c r="M169" s="7" t="str">
        <x:v>2024原典抜粋：「Creating new value 今ある価値の、その先へ」をコンセプトに、お客さまの役にたつ機械と、それを使いこなす技術、デジタル技術の提供によって、人と機械の関係にまだ見ぬ価値を想像します。 プレゼンテーションでは、Cincom Miyanoブランドの機械を軸とした、お客さまのさまざまなワークフローに対するシチズンマシナリーのトータルソリューションをご提案。さらに、独自のLFV（低周波振動切削）技術についてご紹介します。 主軸台移動型CNC自動旋盤 M32、L32、L20、L12、A20、R04 主軸台固定</x:v>
      </x:c>
      <x:c r="N169" s="7" t="str">
        <x:v>2026原典抜粋：」をテーマに、シチズンマシナリーは自動盤の可能性をさらに拡張するソリューションを提案します。 / 今回の展示では、複合加工、マシニング領域への展開、LFV（低周波振動切削）、レーザー加工、ATC、自動計測、FA連携など、多彩な技術を融合。 / 機械単体ではなく、生産現場全体の価値向上を目指した提案を通じて、自動盤でここまでできる――その驚きと可能性を、ぜひ会場でご体感ください。 / 主軸台移動型CNC自動旋盤　M32Ⅷ　L32ⅫB5　L</x:v>
      </x:c>
      <x:c r="O169" s="7" t="str">
        <x:v>両年原典あり・機能差未判定</x:v>
      </x:c>
      <x:c r="P169" s="7" t="str">
        <x:v>2026公式カタログ掲載・現地未確認</x:v>
      </x:c>
      <x:c r="Q169" s="7" t="str">
        <x:v>2026展示予定。既存製品・参考出展・構想等は原典で個別確認</x:v>
      </x:c>
      <x:c r="R169" s="7" t="str">
        <x:v>どの作業を自動化・支援するか、入力と判断・操作の範囲、適用条件と人の残作業、2024からの機能差、採用・受注・効果の実測を確認する。</x:v>
      </x:c>
      <x:c r="S169" s="7" t="str">
        <x:v>EEX-EXH-2026-02147c6f37a0a824
EEX-EXH-2024-23c080ca7808117c</x:v>
      </x:c>
      <x:c r="T169" s="7" t="str">
        <x:v>EEX-EXH-2026-02147c6f37a0a824: https://www.jimtof.org/search/jp/ESdetails?e=sqCigr-Fu70
EEX-EXH-2024-23c080ca7808117c: https://www.jimtof.org/2024/search/jp/ESdetails?e=Yym6acTNJ3w</x:v>
      </x:c>
      <x:c r="U169" s="7" t="str">
        <x:v>出展説明の関連箇所に基づく一次分類</x:v>
      </x:c>
      <x:c r="V169" s="7"/>
      <x:c r="W169" s="7"/>
      <x:c r="X169" s="7"/>
      <x:c r="Y169" s="7"/>
      <x:c r="Z169" s="7"/>
      <x:c r="AA169" s="7"/>
      <x:c r="AB169" s="7"/>
    </x:row>
    <x:row r="170" ht="170" customHeight="1">
      <x:c r="A170" s="7" t="str">
        <x:v>AC103</x:v>
      </x:c>
      <x:c r="B170" s="20" t="str">
        <x:v>芝浦機械株式会社</x:v>
      </x:c>
      <x:c r="C170" s="7" t="str">
        <x:v>コンパクトかつ高剛性なテーブル形横中ぐり盤BTD-200QSを出展します。直径200mmのクイルを標準装備し、突き出し加工に優れ、強力な重切削が可能で</x:v>
      </x:c>
      <x:c r="D170" s="7" t="str">
        <x:v>E2031</x:v>
      </x:c>
      <x:c r="E170" s="7" t="str">
        <x:v>工場運用DX
自動化</x:v>
      </x:c>
      <x:c r="F170" s="7" t="str">
        <x:v>出展説明の関連用途（個別タスクの分解は未完了）</x:v>
      </x:c>
      <x:c r="G170" s="7" t="str">
        <x:v>出展説明に記載。実装位置の個別精査はカードの方式・未確認欄を参照</x:v>
      </x:c>
      <x:c r="H170" s="7" t="str">
        <x:v>原典抜粋：機械展示と合わせ、工場/機械の見える化や生産性向上を支援するDXの展示もございます。</x:v>
      </x:c>
      <x:c r="I170" s="7" t="str">
        <x:v>個別入力の追加確認が必要</x:v>
      </x:c>
      <x:c r="J170" s="7" t="str">
        <x:v>原典抜粋：機械展示と合わせ、工場/機械の見える化や生産性向上を支援するDXの展示もございます。</x:v>
      </x:c>
      <x:c r="K170" s="7" t="str">
        <x:v>機械展示と合わせ、工場/機械の見える化や生産性向上を支援するDXの展示もございます。</x:v>
      </x:c>
      <x:c r="L170" s="7" t="str">
        <x:v>承認・例外対応・停止・復帰の境界は未確認</x:v>
      </x:c>
      <x:c r="M170" s="7" t="str">
        <x:v>2024原典抜粋：出展テーマは、「経験に裏打ちされた信頼と技術力で未来を形に」とし、弊社の最新鋭機、並びにシステムを一堂に展示しております。是非、弊社小間にお立ち寄り下さい。皆様の来場をお待ちしております。 JIMTOF2024では、横中ぐりフライス盤（BTH-150.R35）、超精密マシニングセンタ（UVM-450D(5AH)、超精密非球面加工機（ULG-100G(S)）を出展致します。その他、(1)摩擦攪拌接合（FSW）(2)金属３D積層造形技術(3)DX Digital Transformation）の技術展示を致します。</x:v>
      </x:c>
      <x:c r="N170" s="7" t="str">
        <x:v>2026原典抜粋：機械展示と合わせ、工場/機械の見える化や生産性向上を支援するDXの展示もございます。</x:v>
      </x:c>
      <x:c r="O170" s="7" t="str">
        <x:v>両年原典あり・機能差未判定</x:v>
      </x:c>
      <x:c r="P170" s="7" t="str">
        <x:v>2026公式カタログ掲載・現地未確認</x:v>
      </x:c>
      <x:c r="Q170" s="7" t="str">
        <x:v>2026展示予定。既存製品・参考出展・構想等は原典で個別確認</x:v>
      </x:c>
      <x:c r="R170" s="7" t="str">
        <x:v>どの作業を自動化・支援するか、入力と判断・操作の範囲、適用条件と人の残作業、2024からの機能差、採用・受注・効果の実測を確認する。</x:v>
      </x:c>
      <x:c r="S170" s="7" t="str">
        <x:v>EEX-EXH-2026-2d71c6ed52b9c1a3
EEX-EXH-2024-3086b93d4fddd991</x:v>
      </x:c>
      <x:c r="T170" s="7" t="str">
        <x:v>EEX-EXH-2026-2d71c6ed52b9c1a3: https://www.jimtof.org/search/jp/ESdetails?e=-bHzD_rkD3E
EEX-EXH-2024-3086b93d4fddd991: https://www.jimtof.org/2024/search/jp/ESdetails?e=I4mSRSaMTqI</x:v>
      </x:c>
      <x:c r="U170" s="7" t="str">
        <x:v>出展説明の関連箇所に基づく一次分類</x:v>
      </x:c>
      <x:c r="V170" s="7"/>
      <x:c r="W170" s="7"/>
      <x:c r="X170" s="7"/>
      <x:c r="Y170" s="7"/>
      <x:c r="Z170" s="7"/>
      <x:c r="AA170" s="7"/>
      <x:c r="AB170" s="7"/>
    </x:row>
    <x:row r="171" ht="170" customHeight="1">
      <x:c r="A171" s="7" t="str">
        <x:v>AC104</x:v>
      </x:c>
      <x:c r="B171" s="20" t="str">
        <x:v>CIMSOURCE Japan株式会社</x:v>
      </x:c>
      <x:c r="C171" s="7" t="str">
        <x:v>『ToolsUnited』(ツールズユナイテッド)</x:v>
      </x:c>
      <x:c r="D171" s="7" t="str">
        <x:v>W1085</x:v>
      </x:c>
      <x:c r="E171" s="7" t="str">
        <x:v>設計・製造DX
工場運用DX
AI実装・連携基盤</x:v>
      </x:c>
      <x:c r="F171" s="7" t="str">
        <x:v>出展説明の関連用途（個別タスクの分解は未完了）</x:v>
      </x:c>
      <x:c r="G171" s="7" t="str">
        <x:v>出展説明に記載。実装位置の個別精査はカードの方式・未確認欄を参照</x:v>
      </x:c>
      <x:c r="H171" s="7" t="str">
        <x:v>原典抜粋：切削工具のデジタル情報で効率化に貢献する / 工具管理システム(TMS)やCAMへの工具登録を支援、国際規格ISO13399やドイツDIN4000に準拠した工具データおよび図面データ3D STEP,2D DXFファイルを提供する。 / 『ToolsUnited』に掲載されていない、工具においても必要な状況を依頼が出来る『ToolLink』(ツールリンク)、クラウドベースの工具管理システム『ToolPal』(ツールパル)など、貴社の工具の</x:v>
      </x:c>
      <x:c r="I171" s="7" t="str">
        <x:v>個別入力の追加確認が必要</x:v>
      </x:c>
      <x:c r="J171" s="7" t="str">
        <x:v>原典抜粋：切削工具のデジタル情報で効率化に貢献する / 工具管理システム(TMS)やCAMへの工具登録を支援、国際規格ISO13399やドイツDIN4000に準拠した工具データおよび図面データ3D STEP,2D DXFファイルを提供する。 / 『ToolsUnited』に掲載されていない、工具においても必要な状況を依頼が出来る『ToolLink』(ツールリンク)、クラウドベースの工具管理システム『ToolPal』(ツールパル)など、貴社の工具の</x:v>
      </x:c>
      <x:c r="K171" s="7" t="str">
        <x:v>切削工具のデジタル情報で効率化に貢献する / 工具管理システム(TMS)やCAMへの工具登録を支援、国際規格ISO13399やドイツDIN4000に準拠した工具データおよび図面データ3D STEP,2D DXFファイルを提供する。 / 『ToolsUnited』に掲載されていない、工具においても必要な状況を依頼が出来る『ToolLink』(ツールリンク)、クラウドベースの工具管理システム『ToolPal』(ツールパル)など、貴社の工具の</x:v>
      </x:c>
      <x:c r="L171" s="7" t="str">
        <x:v>承認・例外対応・停止・復帰の境界は未確認</x:v>
      </x:c>
      <x:c r="M171" s="7" t="str">
        <x:v>2024原典抜粋：CIMSOURCEはデジタルツールの技術（ソフト）を製造業へ提供しています。 最先端の工具メーカーである三菱マテリアルや京セラ、ユーザーではコマツがお客様です。 CIMSOURCEの規格および技術は金属加工業界のDXのキーとなります。 1992年にStandard Open Base（StOB）を開発し、国際規格ISO13399とDIN4000と調和してきて以来、CIMSOURCEは工具サプライヤーに製品データベースを提供し、世界中の製造現場へ工具データベースを提供しています。 CIMSOURCEの全製品は、工具デ</x:v>
      </x:c>
      <x:c r="N171" s="7" t="str">
        <x:v>2026原典抜粋：切削工具のデジタル情報で効率化に貢献する / 工具管理システム(TMS)やCAMへの工具登録を支援、国際規格ISO13399やドイツDIN4000に準拠した工具データおよび図面データ3D STEP,2D DXFファイルを提供する。 / 『ToolsUnited』に掲載されていない、工具においても必要な状況を依頼が出来る『ToolLink』(ツールリンク)、クラウドベースの工具管理システム『ToolPal』(ツールパル)など、貴社の工具の</x:v>
      </x:c>
      <x:c r="O171" s="7" t="str">
        <x:v>両年原典あり・機能差未判定</x:v>
      </x:c>
      <x:c r="P171" s="7" t="str">
        <x:v>2026公式カタログ掲載・現地未確認</x:v>
      </x:c>
      <x:c r="Q171" s="7" t="str">
        <x:v>2026展示予定。既存製品・参考出展・構想等は原典で個別確認</x:v>
      </x:c>
      <x:c r="R171" s="7" t="str">
        <x:v>どの作業を自動化・支援するか、入力と判断・操作の範囲、適用条件と人の残作業、2024からの機能差、採用・受注・効果の実測を確認する。</x:v>
      </x:c>
      <x:c r="S171" s="7" t="str">
        <x:v>EEX-EXH-2026-01e20e87bdb59892
EEX-EXH-2024-9a19f9a263f0dfca</x:v>
      </x:c>
      <x:c r="T171" s="7" t="str">
        <x:v>EEX-EXH-2026-01e20e87bdb59892: https://www.jimtof.org/search/jp/ESdetails?e=qRD_BxF9DJo
EEX-EXH-2024-9a19f9a263f0dfca: https://www.jimtof.org/2024/search/jp/ESdetails?e=wnB2kPvDLJE</x:v>
      </x:c>
      <x:c r="U171" s="7" t="str">
        <x:v>出展説明の関連箇所に基づく一次分類</x:v>
      </x:c>
      <x:c r="V171" s="7"/>
      <x:c r="W171" s="7"/>
      <x:c r="X171" s="7"/>
      <x:c r="Y171" s="7"/>
      <x:c r="Z171" s="7"/>
      <x:c r="AA171" s="7"/>
      <x:c r="AB171" s="7"/>
    </x:row>
    <x:row r="172" ht="170" customHeight="1">
      <x:c r="A172" s="7" t="str">
        <x:v>AC105</x:v>
      </x:c>
      <x:c r="B172" s="20" t="str">
        <x:v>シュンク・ジャパン株式会社</x:v>
      </x:c>
      <x:c r="C172" s="7" t="str">
        <x:v>バイスオートメーション、ジョーツールチェンジシステム、ワーク＆パレットオートメーション、マグネットチャック、クイックチェンジパレットシステム、電動クラ</x:v>
      </x:c>
      <x:c r="D172" s="7" t="str">
        <x:v>S2024</x:v>
      </x:c>
      <x:c r="E172" s="7" t="str">
        <x:v>自動化</x:v>
      </x:c>
      <x:c r="F172" s="7" t="str">
        <x:v>出展説明の関連用途（個別タスクの分解は未完了）</x:v>
      </x:c>
      <x:c r="G172" s="7" t="str">
        <x:v>出展説明に記載。実装位置の個別精査はカードの方式・未確認欄を参照</x:v>
      </x:c>
      <x:c r="H172" s="7" t="str">
        <x:v>原典抜粋：「マシンテンディング ― SCHUNKが実現する工作機械の自動化」をテーマに、ドイツで培われた最新の自動化技術をご紹介します。 / 工作機械の自動化・省人化・生産性向上に貢献する、SCHUNKならではのトータルソリューションをご提案します。 / バイスオートメーション、ジョーツールチェンジシステム、ワーク＆パレットオートメーション、マグネットチャック、クイックチェンジパレットシステム、電動クランピングシステム、旋盤用チャック、ツールホル</x:v>
      </x:c>
      <x:c r="I172" s="7" t="str">
        <x:v>個別入力の追加確認が必要</x:v>
      </x:c>
      <x:c r="J172" s="7" t="str">
        <x:v>原典抜粋：「マシンテンディング ― SCHUNKが実現する工作機械の自動化」をテーマに、ドイツで培われた最新の自動化技術をご紹介します。 / 工作機械の自動化・省人化・生産性向上に貢献する、SCHUNKならではのトータルソリューションをご提案します。 / バイスオートメーション、ジョーツールチェンジシステム、ワーク＆パレットオートメーション、マグネットチャック、クイックチェンジパレットシステム、電動クランピングシステム、旋盤用チャック、ツールホル</x:v>
      </x:c>
      <x:c r="K172" s="7" t="str">
        <x:v>「マシンテンディング ― SCHUNKが実現する工作機械の自動化」をテーマに、ドイツで培われた最新の自動化技術をご紹介します。 / 工作機械の自動化・省人化・生産性向上に貢献する、SCHUNKならではのトータルソリューションをご提案します。 / バイスオートメーション、ジョーツールチェンジシステム、ワーク＆パレットオートメーション、マグネットチャック、クイックチェンジパレットシステム、電動クランピングシステム、旋盤用チャック、ツールホル</x:v>
      </x:c>
      <x:c r="L172" s="7" t="str">
        <x:v>承認・例外対応・停止・復帰の境界は未確認</x:v>
      </x:c>
      <x:c r="M172" s="7" t="str">
        <x:v>2024原典抜粋：『マシンテンディング（工作機械の自動化）』をテーマに、SCHUNKが提供するあらゆる要件に対応する効率的な自動化ソリューションの実演および自動化に必要な最新のコンポーネントをご紹介します。 『ワーク＆パレットオートメーション R-C2』 セットアップ時間を大幅に短縮しながら、高精度で完全な6面加工を無人で行う唯一のシステム。 ロボットの先端についたR-C2センタークランプバイスにより、収納ラック内のワークを自動クランプ、クランプされたワークは、パレットのように機械内のクイックチェンジパレットシステムにバイスごとロー</x:v>
      </x:c>
      <x:c r="N172" s="7" t="str">
        <x:v>2026原典抜粋：「マシンテンディング ― SCHUNKが実現する工作機械の自動化」をテーマに、ドイツで培われた最新の自動化技術をご紹介します。 / 工作機械の自動化・省人化・生産性向上に貢献する、SCHUNKならではのトータルソリューションをご提案します。 / バイスオートメーション、ジョーツールチェンジシステム、ワーク＆パレットオートメーション、マグネットチャック、クイックチェンジパレットシステム、電動クランピングシステム、旋盤用チャック、ツールホル</x:v>
      </x:c>
      <x:c r="O172" s="7" t="str">
        <x:v>両年原典あり・機能差未判定</x:v>
      </x:c>
      <x:c r="P172" s="7" t="str">
        <x:v>2026公式カタログ掲載・現地未確認</x:v>
      </x:c>
      <x:c r="Q172" s="7" t="str">
        <x:v>2026展示予定。既存製品・参考出展・構想等は原典で個別確認</x:v>
      </x:c>
      <x:c r="R172" s="7" t="str">
        <x:v>どの作業を自動化・支援するか、入力と判断・操作の範囲、適用条件と人の残作業、2024からの機能差、採用・受注・効果の実測を確認する。</x:v>
      </x:c>
      <x:c r="S172" s="7" t="str">
        <x:v>EEX-EXH-2026-a1b1c81b9862bd22
EEX-EXH-2024-e143bde310308500</x:v>
      </x:c>
      <x:c r="T172" s="7" t="str">
        <x:v>EEX-EXH-2026-a1b1c81b9862bd22: https://www.jimtof.org/search/jp/ESdetails?e=2D3NykNxU4o
EEX-EXH-2024-e143bde310308500: https://www.jimtof.org/2024/search/jp/ESdetails?e=XcS9JP3cDXc</x:v>
      </x:c>
      <x:c r="U172" s="7" t="str">
        <x:v>出展説明の関連箇所に基づく一次分類</x:v>
      </x:c>
      <x:c r="V172" s="7"/>
      <x:c r="W172" s="7"/>
      <x:c r="X172" s="7"/>
      <x:c r="Y172" s="7"/>
      <x:c r="Z172" s="7"/>
      <x:c r="AA172" s="7"/>
      <x:c r="AB172" s="7"/>
    </x:row>
    <x:row r="173" ht="170" customHeight="1">
      <x:c r="A173" s="7" t="str">
        <x:v>AC106</x:v>
      </x:c>
      <x:c r="B173" s="20" t="str">
        <x:v>SHODA株式会社</x:v>
      </x:c>
      <x:c r="C173" s="7" t="str">
        <x:v>樹脂加工専用プレミアムNCルータ　PLANET CRYSTAL NCP5000</x:v>
      </x:c>
      <x:c r="D173" s="7" t="str">
        <x:v>S1070</x:v>
      </x:c>
      <x:c r="E173" s="7" t="str">
        <x:v>工場運用DX
自動化</x:v>
      </x:c>
      <x:c r="F173" s="7" t="str">
        <x:v>出展説明の関連用途（個別タスクの分解は未完了）</x:v>
      </x:c>
      <x:c r="G173" s="7" t="str">
        <x:v>出展説明に記載。実装位置の個別精査はカードの方式・未確認欄を参照</x:v>
      </x:c>
      <x:c r="H173" s="7" t="str">
        <x:v>原典抜粋：さらに、NCルータをインターネットに繋いで日々の加工個数や加工コスト、保守状況などを可視化できるIoTサービスも展示。</x:v>
      </x:c>
      <x:c r="I173" s="7" t="str">
        <x:v>個別入力の追加確認が必要</x:v>
      </x:c>
      <x:c r="J173" s="7" t="str">
        <x:v>原典抜粋：さらに、NCルータをインターネットに繋いで日々の加工個数や加工コスト、保守状況などを可視化できるIoTサービスも展示。</x:v>
      </x:c>
      <x:c r="K173" s="7" t="str">
        <x:v>さらに、NCルータをインターネットに繋いで日々の加工個数や加工コスト、保守状況などを可視化できるIoTサービスも展示。</x:v>
      </x:c>
      <x:c r="L173" s="7" t="str">
        <x:v>承認・例外対応・停止・復帰の境界は未確認</x:v>
      </x:c>
      <x:c r="M173" s="7" t="str">
        <x:v>2024原典抜粋：『NCルータ専門メーカーのSHODA』 展示機械のBS101Fは高速加工、ユニバーサルヘッドの特殊な5軸制御の動きが見どころ！ 会場ではアルミ、樹脂、ウレタン、ゴムなど様々な素材を鋸を使って切断する動きをご覧ください。 ハードだけではない、NCルータに付随するソフトの開発をすることでお客様の生産を助けるソフトウェアを展示会で初披露！ JIMTOF2024では機械だけではなくソフト、データの面でも技術力をお見せします！ ぜひ会場でハードとソフトの融合をご覧ください。 ■BS101F ＊早送り速度60m/minでありな</x:v>
      </x:c>
      <x:c r="N173" s="7" t="str">
        <x:v>2026原典抜粋：さらに、NCルータをインターネットに繋いで日々の加工個数や加工コスト、保守状況などを可視化できるIoTサービスも展示。</x:v>
      </x:c>
      <x:c r="O173" s="7" t="str">
        <x:v>両年原典あり・機能差未判定</x:v>
      </x:c>
      <x:c r="P173" s="7" t="str">
        <x:v>2026公式カタログ掲載・現地未確認</x:v>
      </x:c>
      <x:c r="Q173" s="7" t="str">
        <x:v>2026展示予定。既存製品・参考出展・構想等は原典で個別確認</x:v>
      </x:c>
      <x:c r="R173" s="7" t="str">
        <x:v>どの作業を自動化・支援するか、入力と判断・操作の範囲、適用条件と人の残作業、2024からの機能差、採用・受注・効果の実測を確認する。</x:v>
      </x:c>
      <x:c r="S173" s="7" t="str">
        <x:v>EEX-EXH-2026-96430d6788c41c87
EEX-EXH-2024-cc08eb7078f57ea3</x:v>
      </x:c>
      <x:c r="T173" s="7" t="str">
        <x:v>EEX-EXH-2026-96430d6788c41c87: https://www.jimtof.org/search/jp/ESdetails?e=BeXt5Rn6DGg
EEX-EXH-2024-cc08eb7078f57ea3: https://www.jimtof.org/2024/search/jp/ESdetails?e=6sshXwlULlE</x:v>
      </x:c>
      <x:c r="U173" s="7" t="str">
        <x:v>出展説明の関連箇所に基づく一次分類</x:v>
      </x:c>
      <x:c r="V173" s="7"/>
      <x:c r="W173" s="7"/>
      <x:c r="X173" s="7"/>
      <x:c r="Y173" s="7"/>
      <x:c r="Z173" s="7"/>
      <x:c r="AA173" s="7"/>
      <x:c r="AB173" s="7"/>
    </x:row>
    <x:row r="174" ht="170" customHeight="1">
      <x:c r="A174" s="7" t="str">
        <x:v>AC107</x:v>
      </x:c>
      <x:c r="B174" s="20" t="str">
        <x:v>株式会社松楽産業</x:v>
      </x:c>
      <x:c r="C174" s="7" t="str">
        <x:v>同じ2機種でも、見る角度で強みが変わります。</x:v>
      </x:c>
      <x:c r="D174" s="7" t="str">
        <x:v>S3105</x:v>
      </x:c>
      <x:c r="E174" s="7" t="str">
        <x:v>検査・診断・予測AI
自動化</x:v>
      </x:c>
      <x:c r="F174" s="7" t="str">
        <x:v>出展説明の関連用途（個別タスクの分解は未完了）</x:v>
      </x:c>
      <x:c r="G174" s="7" t="str">
        <x:v>出展説明に記載。実装位置の個別精査はカードの方式・未確認欄を参照</x:v>
      </x:c>
      <x:c r="H174" s="7" t="str">
        <x:v>原典抜粋：JIMTOF2026では、カメラ画像処理とAI制御による最新の計数技術を2機種でご紹介します。 / AI学習機能により、両機種とも使うほどに精度が向上します。 / ②2方向ミラー分光画像処理型ビジョンカウンター®：世界初の粒度分布計でゴミ・ホコリを自動除外し、空中落差誤差補正装置と分散バーで排出時の数量誤差を防止。</x:v>
      </x:c>
      <x:c r="I174" s="7" t="str">
        <x:v>個別入力の追加確認が必要</x:v>
      </x:c>
      <x:c r="J174" s="7" t="str">
        <x:v>原典抜粋：JIMTOF2026では、カメラ画像処理とAI制御による最新の計数技術を2機種でご紹介します。 / AI学習機能により、両機種とも使うほどに精度が向上します。 / ②2方向ミラー分光画像処理型ビジョンカウンター®：世界初の粒度分布計でゴミ・ホコリを自動除外し、空中落差誤差補正装置と分散バーで排出時の数量誤差を防止。</x:v>
      </x:c>
      <x:c r="K174" s="7" t="str">
        <x:v>JIMTOF2026では、カメラ画像処理とAI制御による最新の計数技術を2機種でご紹介します。 / AI学習機能により、両機種とも使うほどに精度が向上します。 / ②2方向ミラー分光画像処理型ビジョンカウンター®：世界初の粒度分布計でゴミ・ホコリを自動除外し、空中落差誤差補正装置と分散バーで排出時の数量誤差を防止。</x:v>
      </x:c>
      <x:c r="L174" s="7" t="str">
        <x:v>承認・例外対応・停止・復帰の境界は未確認</x:v>
      </x:c>
      <x:c r="M174" s="7" t="str">
        <x:v>2024原典抜粋：新型カメラ式画像処理型パーツカウンター、VC-200初登場！とうとう待ちに待った、CCDラインスキャンカメラ搭載、シャッタースピード15,000回、AI学習機能搭載のカメラ式画像処理型パーツカウンターが発表されました。 このカウンターは10ミリ上のパーツのカウントを得意としています。 500個カウント時に大量フィーダーで485個カウントしながら、隣では残り15個をカウントしています。つまり、15個カウントしているときには、次の485個をカウントしています。それにより、精度とカウントスピードが高まりました。 パーツカ</x:v>
      </x:c>
      <x:c r="N174" s="7" t="str">
        <x:v>2026原典抜粋：JIMTOF2026では、カメラ画像処理とAI制御による最新の計数技術を2機種でご紹介します。 / AI学習機能により、両機種とも使うほどに精度が向上します。 / ②2方向ミラー分光画像処理型ビジョンカウンター®：世界初の粒度分布計でゴミ・ホコリを自動除外し、空中落差誤差補正装置と分散バーで排出時の数量誤差を防止。</x:v>
      </x:c>
      <x:c r="O174" s="7" t="str">
        <x:v>両年原典あり・機能差未判定</x:v>
      </x:c>
      <x:c r="P174" s="7" t="str">
        <x:v>2026公式カタログ掲載・現地未確認</x:v>
      </x:c>
      <x:c r="Q174" s="7" t="str">
        <x:v>2026展示予定。既存製品・参考出展・構想等は原典で個別確認</x:v>
      </x:c>
      <x:c r="R174" s="7" t="str">
        <x:v>どの作業を自動化・支援するか、入力と判断・操作の範囲、適用条件と人の残作業、2024からの機能差、採用・受注・効果の実測を確認する。</x:v>
      </x:c>
      <x:c r="S174" s="7" t="str">
        <x:v>EEX-EXH-2026-652d399463a4c9e2
EEX-EXH-2024-bff03ee7f8f78f1f</x:v>
      </x:c>
      <x:c r="T174" s="7" t="str">
        <x:v>EEX-EXH-2026-652d399463a4c9e2: https://www.jimtof.org/search/jp/ESdetails?e=L-V39ptNjvw
EEX-EXH-2024-bff03ee7f8f78f1f: https://www.jimtof.org/2024/search/jp/ESdetails?e=wuxmmCYbJCQ</x:v>
      </x:c>
      <x:c r="U174" s="7" t="str">
        <x:v>出展説明の関連箇所に基づく一次分類</x:v>
      </x:c>
      <x:c r="V174" s="7"/>
      <x:c r="W174" s="7"/>
      <x:c r="X174" s="7"/>
      <x:c r="Y174" s="7"/>
      <x:c r="Z174" s="7"/>
      <x:c r="AA174" s="7"/>
      <x:c r="AB174" s="7"/>
    </x:row>
    <x:row r="175" ht="170" customHeight="1">
      <x:c r="A175" s="7" t="str">
        <x:v>AC108</x:v>
      </x:c>
      <x:c r="B175" s="20" t="str">
        <x:v>進桜電機株式会社</x:v>
      </x:c>
      <x:c r="C175" s="7" t="str">
        <x:v>協働ロボット（FANUC CRX・安川電機HC10）を使用したロボットバリ取り・研磨システム、ATC（自動工具交換）スピンドルモーター、アルミダイカス</x:v>
      </x:c>
      <x:c r="D175" s="7" t="str">
        <x:v>S3049</x:v>
      </x:c>
      <x:c r="E175" s="7" t="str">
        <x:v>自動化</x:v>
      </x:c>
      <x:c r="F175" s="7" t="str">
        <x:v>出展説明の関連用途（個別タスクの分解は未完了）</x:v>
      </x:c>
      <x:c r="G175" s="7" t="str">
        <x:v>出展説明に記載。実装位置の個別精査はカードの方式・未確認欄を参照</x:v>
      </x:c>
      <x:c r="H175" s="7" t="str">
        <x:v>原典抜粋：協働ロボット（FANUC CRX・安川電機HC10）を使用したロボットバリ取り・研磨システム、ATC（自動工具交換）スピンドルモーター、アルミダイカストのバリ取り用高剛性スピンドルモーター、高速・高精度ACスピンドルモーター</x:v>
      </x:c>
      <x:c r="I175" s="7" t="str">
        <x:v>個別入力の追加確認が必要</x:v>
      </x:c>
      <x:c r="J175" s="7" t="str">
        <x:v>原典抜粋：協働ロボット（FANUC CRX・安川電機HC10）を使用したロボットバリ取り・研磨システム、ATC（自動工具交換）スピンドルモーター、アルミダイカストのバリ取り用高剛性スピンドルモーター、高速・高精度ACスピンドルモーター</x:v>
      </x:c>
      <x:c r="K175" s="7" t="str">
        <x:v>協働ロボット（FANUC CRX・安川電機HC10）を使用したロボットバリ取り・研磨システム、ATC（自動工具交換）スピンドルモーター、アルミダイカストのバリ取り用高剛性スピンドルモーター、高速・高精度ACスピンドルモーター</x:v>
      </x:c>
      <x:c r="L175" s="7" t="str">
        <x:v>承認・例外対応・停止・復帰の境界は未確認</x:v>
      </x:c>
      <x:c r="M175" s="7" t="str">
        <x:v>2024原典抜粋：ACスピンドルモーターのメーカーです。高速・高精度の設計・製作技術に優れ、専用加工機械、木工、金属・樹脂、FPD関連から医薬・化学・航空宇宙用の超特殊モーターまでニーズに合わせ設計から製造まで一貫生産ができ、モーターの心臓部（コア）であるステータコイルも製造している為、お客様のニーズに合わせたスピンドルモーターの設計・製作が可能な国内では数少ないメーカーです。 近年では住設・自動車関係の産業機械では自動化の需要が多く、自動化生産ライン向けの産業用ロボットや次世代自動車の新規加工設備、半導体ではダイシング・グライディ</x:v>
      </x:c>
      <x:c r="N175" s="7" t="str">
        <x:v>2026原典抜粋：協働ロボット（FANUC CRX・安川電機HC10）を使用したロボットバリ取り・研磨システム、ATC（自動工具交換）スピンドルモーター、アルミダイカストのバリ取り用高剛性スピンドルモーター、高速・高精度ACスピンドルモーター</x:v>
      </x:c>
      <x:c r="O175" s="7" t="str">
        <x:v>両年原典あり・機能差未判定</x:v>
      </x:c>
      <x:c r="P175" s="7" t="str">
        <x:v>2026公式カタログ掲載・現地未確認</x:v>
      </x:c>
      <x:c r="Q175" s="7" t="str">
        <x:v>2026展示予定。既存製品・参考出展・構想等は原典で個別確認</x:v>
      </x:c>
      <x:c r="R175" s="7" t="str">
        <x:v>どの作業を自動化・支援するか、入力と判断・操作の範囲、適用条件と人の残作業、2024からの機能差、採用・受注・効果の実測を確認する。</x:v>
      </x:c>
      <x:c r="S175" s="7" t="str">
        <x:v>EEX-EXH-2026-90247bcf7f6d80c5
EEX-EXH-2024-8bb3b3bec7de9146</x:v>
      </x:c>
      <x:c r="T175" s="7" t="str">
        <x:v>EEX-EXH-2026-90247bcf7f6d80c5: https://www.jimtof.org/search/jp/ESdetails?e=8aXnlzFtkVQ
EEX-EXH-2024-8bb3b3bec7de9146: https://www.jimtof.org/2024/search/jp/ESdetails?e=L-V39ptNjvw</x:v>
      </x:c>
      <x:c r="U175" s="7" t="str">
        <x:v>出展説明の関連箇所に基づく一次分類</x:v>
      </x:c>
      <x:c r="V175" s="7"/>
      <x:c r="W175" s="7"/>
      <x:c r="X175" s="7"/>
      <x:c r="Y175" s="7"/>
      <x:c r="Z175" s="7"/>
      <x:c r="AA175" s="7"/>
      <x:c r="AB175" s="7"/>
    </x:row>
    <x:row r="176" ht="170" customHeight="1">
      <x:c r="A176" s="7" t="str">
        <x:v>AC109</x:v>
      </x:c>
      <x:c r="B176" s="20" t="str">
        <x:v>シンクビジョン株式会社</x:v>
      </x:c>
      <x:c r="C176" s="7" t="str">
        <x:v>工程管理支援システム「cycleon（サイクロン）」</x:v>
      </x:c>
      <x:c r="D176" s="7" t="str">
        <x:v>S3022</x:v>
      </x:c>
      <x:c r="E176" s="7" t="str">
        <x:v>工場運用DX</x:v>
      </x:c>
      <x:c r="F176" s="7" t="str">
        <x:v>出展説明の関連用途（個別タスクの分解は未完了）</x:v>
      </x:c>
      <x:c r="G176" s="7" t="str">
        <x:v>出展説明に記載。実装位置の個別精査はカードの方式・未確認欄を参照</x:v>
      </x:c>
      <x:c r="H176" s="7" t="str">
        <x:v>原典抜粋：工程管理支援システム「cycleon」は、金型製造をはじめとする個別受注生産型の製造現場のために開発した「現場発」のシステムです。 / 実際の金型工場と日々意見を交わしながら開発しているため、突発的な予定変更やトラブルが絶えない多品種・小ロットの現場に、本当に即した柔軟な工程管理を実現します。 / 負荷状況の可視化、自動日程調整、リアルタイムの進捗把握により、「いつ・どの工程に余力があるか」をひと目で確認できます。 / cycleonと</x:v>
      </x:c>
      <x:c r="I176" s="7" t="str">
        <x:v>個別入力の追加確認が必要</x:v>
      </x:c>
      <x:c r="J176" s="7" t="str">
        <x:v>原典抜粋：工程管理支援システム「cycleon」は、金型製造をはじめとする個別受注生産型の製造現場のために開発した「現場発」のシステムです。 / 実際の金型工場と日々意見を交わしながら開発しているため、突発的な予定変更やトラブルが絶えない多品種・小ロットの現場に、本当に即した柔軟な工程管理を実現します。 / 負荷状況の可視化、自動日程調整、リアルタイムの進捗把握により、「いつ・どの工程に余力があるか」をひと目で確認できます。 / cycleonと</x:v>
      </x:c>
      <x:c r="K176" s="7" t="str">
        <x:v>工程管理支援システム「cycleon」は、金型製造をはじめとする個別受注生産型の製造現場のために開発した「現場発」のシステムです。 / 実際の金型工場と日々意見を交わしながら開発しているため、突発的な予定変更やトラブルが絶えない多品種・小ロットの現場に、本当に即した柔軟な工程管理を実現します。 / 負荷状況の可視化、自動日程調整、リアルタイムの進捗把握により、「いつ・どの工程に余力があるか」をひと目で確認できます。 / cycleonと</x:v>
      </x:c>
      <x:c r="L176" s="7" t="str">
        <x:v>承認・例外対応・停止・復帰の境界は未確認</x:v>
      </x:c>
      <x:c r="M176" s="7" t="str">
        <x:v>同一正規化名称の2024詳細なし。新規出展・技術不存在とは判断しない。</x:v>
      </x:c>
      <x:c r="N176" s="7" t="str">
        <x:v>2026原典抜粋：工程管理支援システム「cycleon」は、金型製造をはじめとする個別受注生産型の製造現場のために開発した「現場発」のシステムです。 / 実際の金型工場と日々意見を交わしながら開発しているため、突発的な予定変更やトラブルが絶えない多品種・小ロットの現場に、本当に即した柔軟な工程管理を実現します。 / 負荷状況の可視化、自動日程調整、リアルタイムの進捗把握により、「いつ・どの工程に余力があるか」をひと目で確認できます。 / cycleonと</x:v>
      </x:c>
      <x:c r="O176" s="7" t="str">
        <x:v>2024個別比較不能</x:v>
      </x:c>
      <x:c r="P176" s="7" t="str">
        <x:v>2026公式カタログ掲載・現地未確認</x:v>
      </x:c>
      <x:c r="Q176" s="7" t="str">
        <x:v>2026展示予定。既存製品・参考出展・構想等は原典で個別確認</x:v>
      </x:c>
      <x:c r="R176" s="7" t="str">
        <x:v>どの作業を自動化・支援するか、入力と判断・操作の範囲、適用条件と人の残作業、2024からの機能差、採用・受注・効果の実測を確認する。</x:v>
      </x:c>
      <x:c r="S176" s="7" t="str">
        <x:v>EEX-EXH-2026-618e70ffccfa3638</x:v>
      </x:c>
      <x:c r="T176" s="7" t="str">
        <x:v>EEX-EXH-2026-618e70ffccfa3638: https://www.jimtof.org/search/jp/ESdetails?e=WPabQbHCkho</x:v>
      </x:c>
      <x:c r="U176" s="7" t="str">
        <x:v>出展説明の関連箇所に基づく一次分類</x:v>
      </x:c>
      <x:c r="V176" s="7"/>
      <x:c r="W176" s="7"/>
      <x:c r="X176" s="7"/>
      <x:c r="Y176" s="7"/>
      <x:c r="Z176" s="7"/>
      <x:c r="AA176" s="7"/>
      <x:c r="AB176" s="7"/>
    </x:row>
    <x:row r="177" ht="170" customHeight="1">
      <x:c r="A177" s="7" t="str">
        <x:v>AC110</x:v>
      </x:c>
      <x:c r="B177" s="20" t="str">
        <x:v>新日本工機株式会社</x:v>
      </x:c>
      <x:c r="C177" s="7" t="str">
        <x:v>各業界における取り組み</x:v>
      </x:c>
      <x:c r="D177" s="7" t="str">
        <x:v>E3001</x:v>
      </x:c>
      <x:c r="E177" s="7" t="str">
        <x:v>自動化</x:v>
      </x:c>
      <x:c r="F177" s="7" t="str">
        <x:v>出展説明の関連用途（個別タスクの分解は未完了）</x:v>
      </x:c>
      <x:c r="G177" s="7" t="str">
        <x:v>出展説明に記載。実装位置の個別精査はカードの方式・未確認欄を参照</x:v>
      </x:c>
      <x:c r="H177" s="7" t="str">
        <x:v>原典抜粋：また、こうした技術をお客様仕様にあわせ、自動化・省人化のノウハウを組み込んだ各種実績や新機種シリーズ「NeoV-MⅡ」「HPS-BⅡ」など、進化・深化するSNK・池貝技術の数々を多彩なコンテンツでご覧いただけます。</x:v>
      </x:c>
      <x:c r="I177" s="7" t="str">
        <x:v>個別入力の追加確認が必要</x:v>
      </x:c>
      <x:c r="J177" s="7" t="str">
        <x:v>原典抜粋：また、こうした技術をお客様仕様にあわせ、自動化・省人化のノウハウを組み込んだ各種実績や新機種シリーズ「NeoV-MⅡ」「HPS-BⅡ」など、進化・深化するSNK・池貝技術の数々を多彩なコンテンツでご覧いただけます。</x:v>
      </x:c>
      <x:c r="K177" s="7" t="str">
        <x:v>また、こうした技術をお客様仕様にあわせ、自動化・省人化のノウハウを組み込んだ各種実績や新機種シリーズ「NeoV-MⅡ」「HPS-BⅡ」など、進化・深化するSNK・池貝技術の数々を多彩なコンテンツでご覧いただけます。</x:v>
      </x:c>
      <x:c r="L177" s="7" t="str">
        <x:v>承認・例外対応・停止・復帰の境界は未確認</x:v>
      </x:c>
      <x:c r="M177" s="7" t="str">
        <x:v>2024原典抜粋：SNK では「お客様のものづくりに刺激を与えるソリューション提案を」というコンセプトのもと、門型加工機のエコ性能を高めた最新シリーズ「HF-MⅡ」の実機展示や加工実演をはじめ、大型機との自動化・省人化デモ展示やFMS実例の紹介、各業界における取組の数々など、お客様の課題解決の糸口となるコンテンツを取り揃えています。また、ブース内ではグループである老舗旋盤メーカーの「池貝」や自動車向け旋盤の「日新工機」など、新シリーズの紹介やお客様ニーズに応える専用機各種など、様々なご提案が可能です。 ・門型5面マシニングセンタ「H</x:v>
      </x:c>
      <x:c r="N177" s="7" t="str">
        <x:v>2026原典抜粋：また、こうした技術をお客様仕様にあわせ、自動化・省人化のノウハウを組み込んだ各種実績や新機種シリーズ「NeoV-MⅡ」「HPS-BⅡ」など、進化・深化するSNK・池貝技術の数々を多彩なコンテンツでご覧いただけます。</x:v>
      </x:c>
      <x:c r="O177" s="7" t="str">
        <x:v>両年原典あり・機能差未判定</x:v>
      </x:c>
      <x:c r="P177" s="7" t="str">
        <x:v>2026公式カタログ掲載・現地未確認</x:v>
      </x:c>
      <x:c r="Q177" s="7" t="str">
        <x:v>2026展示予定。既存製品・参考出展・構想等は原典で個別確認</x:v>
      </x:c>
      <x:c r="R177" s="7" t="str">
        <x:v>どの作業を自動化・支援するか、入力と判断・操作の範囲、適用条件と人の残作業、2024からの機能差、採用・受注・効果の実測を確認する。</x:v>
      </x:c>
      <x:c r="S177" s="7" t="str">
        <x:v>EEX-EXH-2026-f1ea599a0042bc55
EEX-EXH-2024-d6c92358d27c7d32</x:v>
      </x:c>
      <x:c r="T177" s="7" t="str">
        <x:v>EEX-EXH-2026-f1ea599a0042bc55: https://www.jimtof.org/search/jp/ESdetails?e=RD73EqDannI
EEX-EXH-2024-d6c92358d27c7d32: https://www.jimtof.org/2024/search/jp/ESdetails?e=TbC314Ifhvc</x:v>
      </x:c>
      <x:c r="U177" s="7" t="str">
        <x:v>出展説明の関連箇所に基づく一次分類</x:v>
      </x:c>
      <x:c r="V177" s="7"/>
      <x:c r="W177" s="7"/>
      <x:c r="X177" s="7"/>
      <x:c r="Y177" s="7"/>
      <x:c r="Z177" s="7"/>
      <x:c r="AA177" s="7"/>
      <x:c r="AB177" s="7"/>
    </x:row>
    <x:row r="178" ht="170" customHeight="1">
      <x:c r="A178" s="7" t="str">
        <x:v>AC111</x:v>
      </x:c>
      <x:c r="B178" s="20" t="str">
        <x:v>シンプルテック株式会社</x:v>
      </x:c>
      <x:c r="C178" s="7" t="str">
        <x:v>NCVIEW Neo</x:v>
      </x:c>
      <x:c r="D178" s="7" t="str">
        <x:v>E2022</x:v>
      </x:c>
      <x:c r="E178" s="7" t="str">
        <x:v>設計・製造DX
自動化</x:v>
      </x:c>
      <x:c r="F178" s="7" t="str">
        <x:v>出展説明の関連用途（個別タスクの分解は未完了）</x:v>
      </x:c>
      <x:c r="G178" s="7" t="str">
        <x:v>出展説明に記載。実装位置の個別精査はカードの方式・未確認欄を参照</x:v>
      </x:c>
      <x:c r="H178" s="7" t="str">
        <x:v>原典抜粋：仮想刃先でノーズR補正対応 2軸旋削シミュレーションソフト</x:v>
      </x:c>
      <x:c r="I178" s="7" t="str">
        <x:v>個別入力の追加確認が必要</x:v>
      </x:c>
      <x:c r="J178" s="7" t="str">
        <x:v>原典抜粋：仮想刃先でノーズR補正対応 2軸旋削シミュレーションソフト</x:v>
      </x:c>
      <x:c r="K178" s="7" t="str">
        <x:v>仮想刃先でノーズR補正対応 2軸旋削シミュレーションソフト</x:v>
      </x:c>
      <x:c r="L178" s="7" t="str">
        <x:v>承認・例外対応・停止・復帰の境界は未確認</x:v>
      </x:c>
      <x:c r="M178" s="7" t="str">
        <x:v>2024原典抜粋：機械加工環境をPCで高速・精密に再現！ NCデータ検証用ソフトウェア『NCVIEW』シリーズ ★無料トライアルでNCVIEWを体験できます★ ・実機にかけるNCデータそのもので検証が可能 ・干渉チェック、マクロデバッグ等の豊富な機能 ・操作性、分かりやすさを重視した設計 ・100％国内自社開発ならではの迅速、的確なサポート ブースにて弊社のセールスエンジニアが実際の動きをデモンストレーションいたします。 ぜひ気軽にお立ち寄りください！ 『NCVIEW Neo』 同時5軸・複合・5面加工にまで対応する、NCVIEWシ</x:v>
      </x:c>
      <x:c r="N178" s="7" t="str">
        <x:v>2026原典抜粋：仮想刃先でノーズR補正対応 2軸旋削シミュレーションソフト</x:v>
      </x:c>
      <x:c r="O178" s="7" t="str">
        <x:v>両年原典あり・機能差未判定</x:v>
      </x:c>
      <x:c r="P178" s="7" t="str">
        <x:v>2026公式カタログ掲載・現地未確認</x:v>
      </x:c>
      <x:c r="Q178" s="7" t="str">
        <x:v>2026展示予定。既存製品・参考出展・構想等は原典で個別確認</x:v>
      </x:c>
      <x:c r="R178" s="7" t="str">
        <x:v>どの作業を自動化・支援するか、入力と判断・操作の範囲、適用条件と人の残作業、2024からの機能差、採用・受注・効果の実測を確認する。</x:v>
      </x:c>
      <x:c r="S178" s="7" t="str">
        <x:v>EEX-EXH-2026-7bf0d464b165a8be
EEX-EXH-2024-56d2f4bf605f29ed</x:v>
      </x:c>
      <x:c r="T178" s="7" t="str">
        <x:v>EEX-EXH-2026-7bf0d464b165a8be: https://www.jimtof.org/search/jp/ESdetails?e=ERhED8Spe2Q
EEX-EXH-2024-56d2f4bf605f29ed: https://www.jimtof.org/2024/search/jp/ESdetails?e=oB77bNfL7hc</x:v>
      </x:c>
      <x:c r="U178" s="7" t="str">
        <x:v>出展説明の関連箇所に基づく一次分類</x:v>
      </x:c>
      <x:c r="V178" s="7"/>
      <x:c r="W178" s="7"/>
      <x:c r="X178" s="7"/>
      <x:c r="Y178" s="7"/>
      <x:c r="Z178" s="7"/>
      <x:c r="AA178" s="7"/>
      <x:c r="AB178" s="7"/>
    </x:row>
    <x:row r="179" ht="170" customHeight="1">
      <x:c r="A179" s="7" t="str">
        <x:v>AC112</x:v>
      </x:c>
      <x:c r="B179" s="20" t="str">
        <x:v>スター精密株式会社</x:v>
      </x:c>
      <x:c r="C179" s="7" t="str">
        <x:v>スイス型ＣＮＣ自動旋盤　ＳＢ－１２ＲＩＩ</x:v>
      </x:c>
      <x:c r="D179" s="7" t="str">
        <x:v>S1003</x:v>
      </x:c>
      <x:c r="E179" s="7" t="str">
        <x:v>工場運用DX
自動化</x:v>
      </x:c>
      <x:c r="F179" s="7" t="str">
        <x:v>出展説明の関連用途（個別タスクの分解は未完了）</x:v>
      </x:c>
      <x:c r="G179" s="7" t="str">
        <x:v>出展説明に記載。実装位置の個別精査はカードの方式・未確認欄を参照</x:v>
      </x:c>
      <x:c r="H179" s="7" t="str">
        <x:v>原典抜粋：今回は「ヒューマノイドロボット」「医療」「ドローン」「自動車」の４分野にフォーカスし、 / スイス型ＣＮＣ自動旋盤　ＳＢ－１２ＲＩＩ / スターモーションコントロールシステム搭載スイス型自動旋盤　ＳＸ－３８Ｒ ｔｙｐｅ Ｂ / スイス型ＣＮＣ自動旋盤　ＳＰ－３２ / スイス型ＣＮＣ自動旋盤　ＳＬ－１０</x:v>
      </x:c>
      <x:c r="I179" s="7" t="str">
        <x:v>個別入力の追加確認が必要</x:v>
      </x:c>
      <x:c r="J179" s="7" t="str">
        <x:v>原典抜粋：今回は「ヒューマノイドロボット」「医療」「ドローン」「自動車」の４分野にフォーカスし、 / スイス型ＣＮＣ自動旋盤　ＳＢ－１２ＲＩＩ / スターモーションコントロールシステム搭載スイス型自動旋盤　ＳＸ－３８Ｒ ｔｙｐｅ Ｂ / スイス型ＣＮＣ自動旋盤　ＳＰ－３２ / スイス型ＣＮＣ自動旋盤　ＳＬ－１０</x:v>
      </x:c>
      <x:c r="K179" s="7" t="str">
        <x:v>今回は「ヒューマノイドロボット」「医療」「ドローン」「自動車」の４分野にフォーカスし、 / スイス型ＣＮＣ自動旋盤　ＳＢ－１２ＲＩＩ / スターモーションコントロールシステム搭載スイス型自動旋盤　ＳＸ－３８Ｒ ｔｙｐｅ Ｂ / スイス型ＣＮＣ自動旋盤　ＳＰ－３２ / スイス型ＣＮＣ自動旋盤　ＳＬ－１０</x:v>
      </x:c>
      <x:c r="L179" s="7" t="str">
        <x:v>承認・例外対応・停止・復帰の境界は未確認</x:v>
      </x:c>
      <x:c r="M179" s="7" t="str">
        <x:v>2024原典抜粋：スター精密の今回の出展テーマは『その技術で医療の未来へ』です。 精密加工への要求が一段と高まる医療分野。 JIMTOF2024では、そんな医療分野に挑む部品サプライヤーの皆さまに向けた、スター精密からの新たな提案を全出展機種による加工実演を交えてご紹介致します。 是非とも弊社ブースにお越しいただき、『世界を変える星となる』ヒントをご覧ください。 ・スイス型CNC自動旋盤 SB-20RII ロングセラーモデルSBシリーズの待望の最新機種。シリーズ伝統の高剛性をベースに、今求められる機能・性能を突き詰めて生まれた最新の</x:v>
      </x:c>
      <x:c r="N179" s="7" t="str">
        <x:v>2026原典抜粋：今回は「ヒューマノイドロボット」「医療」「ドローン」「自動車」の４分野にフォーカスし、 / スイス型ＣＮＣ自動旋盤　ＳＢ－１２ＲＩＩ / スターモーションコントロールシステム搭載スイス型自動旋盤　ＳＸ－３８Ｒ ｔｙｐｅ Ｂ / スイス型ＣＮＣ自動旋盤　ＳＰ－３２ / スイス型ＣＮＣ自動旋盤　ＳＬ－１０</x:v>
      </x:c>
      <x:c r="O179" s="7" t="str">
        <x:v>両年原典あり・機能差未判定</x:v>
      </x:c>
      <x:c r="P179" s="7" t="str">
        <x:v>2026公式カタログ掲載・現地未確認</x:v>
      </x:c>
      <x:c r="Q179" s="7" t="str">
        <x:v>2026展示予定。既存製品・参考出展・構想等は原典で個別確認</x:v>
      </x:c>
      <x:c r="R179" s="7" t="str">
        <x:v>どの作業を自動化・支援するか、入力と判断・操作の範囲、適用条件と人の残作業、2024からの機能差、採用・受注・効果の実測を確認する。</x:v>
      </x:c>
      <x:c r="S179" s="7" t="str">
        <x:v>EEX-EXH-2026-0a5e5a2628606f5f
EEX-EXH-2024-1cce6dcfa72ea15d</x:v>
      </x:c>
      <x:c r="T179" s="7" t="str">
        <x:v>EEX-EXH-2026-0a5e5a2628606f5f: https://www.jimtof.org/search/jp/ESdetails?e=uGFHKigy2ag
EEX-EXH-2024-1cce6dcfa72ea15d: https://www.jimtof.org/2024/search/jp/ESdetails?e=Lko701EYhhQ</x:v>
      </x:c>
      <x:c r="U179" s="7" t="str">
        <x:v>出展説明の関連箇所に基づく一次分類</x:v>
      </x:c>
      <x:c r="V179" s="7"/>
      <x:c r="W179" s="7"/>
      <x:c r="X179" s="7"/>
      <x:c r="Y179" s="7"/>
      <x:c r="Z179" s="7"/>
      <x:c r="AA179" s="7"/>
      <x:c r="AB179" s="7"/>
    </x:row>
    <x:row r="180" ht="170" customHeight="1">
      <x:c r="A180" s="7" t="str">
        <x:v>AC113</x:v>
      </x:c>
      <x:c r="B180" s="20" t="str">
        <x:v>住友精密工業株式会社</x:v>
      </x:c>
      <x:c r="C180" s="7" t="str">
        <x:v>クーラントポンプ構造部品及び製品ラインナップ紹介</x:v>
      </x:c>
      <x:c r="D180" s="7" t="str">
        <x:v>E2021</x:v>
      </x:c>
      <x:c r="E180" s="7" t="str">
        <x:v>自動化</x:v>
      </x:c>
      <x:c r="F180" s="7" t="str">
        <x:v>出展説明の関連用途（個別タスクの分解は未完了）</x:v>
      </x:c>
      <x:c r="G180" s="7" t="str">
        <x:v>出展説明に記載。実装位置の個別精査はカードの方式・未確認欄を参照</x:v>
      </x:c>
      <x:c r="H180" s="7" t="str">
        <x:v>原典抜粋：〜高いシェアを誇る中・高圧クーラントポンプで、加工現場のチョコ停低減と自動化を強力に後押し〜 / 現場の切実な課題であるチョコ停の低減や自動化の促進に寄与するソリューションをご提案いたしますので、ぜひお気軽に当社ブースへお立ち寄りください。</x:v>
      </x:c>
      <x:c r="I180" s="7" t="str">
        <x:v>個別入力の追加確認が必要</x:v>
      </x:c>
      <x:c r="J180" s="7" t="str">
        <x:v>原典抜粋：〜高いシェアを誇る中・高圧クーラントポンプで、加工現場のチョコ停低減と自動化を強力に後押し〜 / 現場の切実な課題であるチョコ停の低減や自動化の促進に寄与するソリューションをご提案いたしますので、ぜひお気軽に当社ブースへお立ち寄りください。</x:v>
      </x:c>
      <x:c r="K180" s="7" t="str">
        <x:v>〜高いシェアを誇る中・高圧クーラントポンプで、加工現場のチョコ停低減と自動化を強力に後押し〜 / 現場の切実な課題であるチョコ停の低減や自動化の促進に寄与するソリューションをご提案いたしますので、ぜひお気軽に当社ブースへお立ち寄りください。</x:v>
      </x:c>
      <x:c r="L180" s="7" t="str">
        <x:v>承認・例外対応・停止・復帰の境界は未確認</x:v>
      </x:c>
      <x:c r="M180" s="7" t="str">
        <x:v>2024原典抜粋：～難削材加工の生産性UPに貢献～ 業界内で高いシェアを誇る高圧クーラントポンプCXシリーズの実機を展示。 ヒットしている訳をアニメーション動画や実機を用いてご紹介。 そして今回の目玉はクリーンタンクレスシステムの実機展示。 クーラント圧1.5～20MPa時に必要なクリーンタンク（または層）を不要とし、工作機1台あたりのクーラント液の総量ならびにメンテナンス費用・工数を低減する2次濾過用インラインシステム。 その他、新製品である超高圧(20MPa)クーラントポンプやセラミック等高硬度材加工用のクーラントポンプをご紹介</x:v>
      </x:c>
      <x:c r="N180" s="7" t="str">
        <x:v>2026原典抜粋：〜高いシェアを誇る中・高圧クーラントポンプで、加工現場のチョコ停低減と自動化を強力に後押し〜 / 現場の切実な課題であるチョコ停の低減や自動化の促進に寄与するソリューションをご提案いたしますので、ぜひお気軽に当社ブースへお立ち寄りください。</x:v>
      </x:c>
      <x:c r="O180" s="7" t="str">
        <x:v>両年原典あり・機能差未判定</x:v>
      </x:c>
      <x:c r="P180" s="7" t="str">
        <x:v>2026公式カタログ掲載・現地未確認</x:v>
      </x:c>
      <x:c r="Q180" s="7" t="str">
        <x:v>2026展示予定。既存製品・参考出展・構想等は原典で個別確認</x:v>
      </x:c>
      <x:c r="R180" s="7" t="str">
        <x:v>どの作業を自動化・支援するか、入力と判断・操作の範囲、適用条件と人の残作業、2024からの機能差、採用・受注・効果の実測を確認する。</x:v>
      </x:c>
      <x:c r="S180" s="7" t="str">
        <x:v>EEX-EXH-2026-a155e7aeaf9b66f3
EEX-EXH-2024-beed3f2fb43fd001</x:v>
      </x:c>
      <x:c r="T180" s="7" t="str">
        <x:v>EEX-EXH-2026-a155e7aeaf9b66f3: https://www.jimtof.org/search/jp/ESdetails?e=RUfUkmbjQf0
EEX-EXH-2024-beed3f2fb43fd001: https://www.jimtof.org/2024/search/jp/ESdetails?e=OgubGeea_Pg</x:v>
      </x:c>
      <x:c r="U180" s="7" t="str">
        <x:v>出展説明の関連箇所に基づく一次分類</x:v>
      </x:c>
      <x:c r="V180" s="7"/>
      <x:c r="W180" s="7"/>
      <x:c r="X180" s="7"/>
      <x:c r="Y180" s="7"/>
      <x:c r="Z180" s="7"/>
      <x:c r="AA180" s="7"/>
      <x:c r="AB180" s="7"/>
    </x:row>
    <x:row r="181" ht="170" customHeight="1">
      <x:c r="A181" s="7" t="str">
        <x:v>AC114</x:v>
      </x:c>
      <x:c r="B181" s="20" t="str">
        <x:v>セイコーインスツル株式会社</x:v>
      </x:c>
      <x:c r="C181" s="7" t="str">
        <x:v>CNC内面研削盤　STGシリーズ</x:v>
      </x:c>
      <x:c r="D181" s="7" t="str">
        <x:v>E7078</x:v>
      </x:c>
      <x:c r="E181" s="7" t="str">
        <x:v>自動化</x:v>
      </x:c>
      <x:c r="F181" s="7" t="str">
        <x:v>出展説明の関連用途（個別タスクの分解は未完了）</x:v>
      </x:c>
      <x:c r="G181" s="7" t="str">
        <x:v>出展説明に記載。実装位置の個別精査はカードの方式・未確認欄を参照</x:v>
      </x:c>
      <x:c r="H181" s="7" t="str">
        <x:v>原典抜粋：また、全自動小型内面研削盤「SG1」を展示します。 / 自動化による生産効率向上に貢献します。 / 小径内面研削加工の高精度化、高能率化、自動化でお困りごとがございましたら、ぜひ弊社ブースへお立ち寄りください。 / ・全自動小型内面研削盤　SG1-IB</x:v>
      </x:c>
      <x:c r="I181" s="7" t="str">
        <x:v>個別入力の追加確認が必要</x:v>
      </x:c>
      <x:c r="J181" s="7" t="str">
        <x:v>原典抜粋：また、全自動小型内面研削盤「SG1」を展示します。 / 自動化による生産効率向上に貢献します。 / 小径内面研削加工の高精度化、高能率化、自動化でお困りごとがございましたら、ぜひ弊社ブースへお立ち寄りください。 / ・全自動小型内面研削盤　SG1-IB</x:v>
      </x:c>
      <x:c r="K181" s="7" t="str">
        <x:v>また、全自動小型内面研削盤「SG1」を展示します。 / 自動化による生産効率向上に貢献します。 / 小径内面研削加工の高精度化、高能率化、自動化でお困りごとがございましたら、ぜひ弊社ブースへお立ち寄りください。 / ・全自動小型内面研削盤　SG1-IB</x:v>
      </x:c>
      <x:c r="L181" s="7" t="str">
        <x:v>承認・例外対応・停止・復帰の境界は未確認</x:v>
      </x:c>
      <x:c r="M181" s="7" t="str">
        <x:v>2024原典抜粋：高精度・高能率の研削加工を追求したコンパクトなSTG-3NXと、6インチチャックを標準搭載し多種多様な製品に対応するSTG-6Nの2つのCNC内面研削盤を展示いたします。また、無人・省人化のための自動化対応など、新たなソリューションもご紹介します。 さらに、高周波スピンドルや高周波ロータリドレッサなど、日本国内の自社で設計・製作した豊富なラインナップの製品も展示しています。 ・CNC内面研削盤 STG-3NX ・CNC内面研削盤 STG-6N ・高周波スピンドル SSPGシリーズ ・高周波スピンドル Ｈシリーズ ・</x:v>
      </x:c>
      <x:c r="N181" s="7" t="str">
        <x:v>2026原典抜粋：また、全自動小型内面研削盤「SG1」を展示します。 / 自動化による生産効率向上に貢献します。 / 小径内面研削加工の高精度化、高能率化、自動化でお困りごとがございましたら、ぜひ弊社ブースへお立ち寄りください。 / ・全自動小型内面研削盤　SG1-IB</x:v>
      </x:c>
      <x:c r="O181" s="7" t="str">
        <x:v>両年原典あり・機能差未判定</x:v>
      </x:c>
      <x:c r="P181" s="7" t="str">
        <x:v>2026公式カタログ掲載・現地未確認</x:v>
      </x:c>
      <x:c r="Q181" s="7" t="str">
        <x:v>2026展示予定。既存製品・参考出展・構想等は原典で個別確認</x:v>
      </x:c>
      <x:c r="R181" s="7" t="str">
        <x:v>どの作業を自動化・支援するか、入力と判断・操作の範囲、適用条件と人の残作業、2024からの機能差、採用・受注・効果の実測を確認する。</x:v>
      </x:c>
      <x:c r="S181" s="7" t="str">
        <x:v>EEX-EXH-2026-a0fa658c78f270cd
EEX-EXH-2024-152ace28cc3ec79b</x:v>
      </x:c>
      <x:c r="T181" s="7" t="str">
        <x:v>EEX-EXH-2026-a0fa658c78f270cd: https://www.jimtof.org/search/jp/ESdetails?e=rlHRPwmg5sk
EEX-EXH-2024-152ace28cc3ec79b: https://www.jimtof.org/2024/search/jp/ESdetails?e=Hmq9QCfmArM</x:v>
      </x:c>
      <x:c r="U181" s="7" t="str">
        <x:v>出展説明の関連箇所に基づく一次分類</x:v>
      </x:c>
      <x:c r="V181" s="7"/>
      <x:c r="W181" s="7"/>
      <x:c r="X181" s="7"/>
      <x:c r="Y181" s="7"/>
      <x:c r="Z181" s="7"/>
      <x:c r="AA181" s="7"/>
      <x:c r="AB181" s="7"/>
    </x:row>
    <x:row r="182" ht="170" customHeight="1">
      <x:c r="A182" s="7" t="str">
        <x:v>AC115</x:v>
      </x:c>
      <x:c r="B182" s="20" t="str">
        <x:v>西部商工株式会社</x:v>
      </x:c>
      <x:c r="C182" s="7" t="str">
        <x:v>適応制御・加工監視システム「ACM（Adaptive Control &amp; Monitoring）」</x:v>
      </x:c>
      <x:c r="D182" s="7" t="str">
        <x:v>S3020</x:v>
      </x:c>
      <x:c r="E182" s="7" t="str">
        <x:v>工場運用DX
自動化</x:v>
      </x:c>
      <x:c r="F182" s="7" t="str">
        <x:v>出展説明の関連用途（個別タスクの分解は未完了）</x:v>
      </x:c>
      <x:c r="G182" s="7" t="str">
        <x:v>出展説明に記載。実装位置の個別精査はカードの方式・未確認欄を参照</x:v>
      </x:c>
      <x:c r="H182" s="7" t="str">
        <x:v>原典抜粋：また、加工状態の監視、適応制御、仮想立ち上げ、工場自動化などのデジタル技術にも取り組んでいます。 / 自動車・EV、航空宇宙、精密部品、歯車、ロボット、産業機器など、幅広い分野のお客様を支援しています。 / 適応制御・加工監視システム「ACM（Adaptive Control &amp; Monitoring）」 / ACMは、加工中の主軸負荷をリアルタイムに監視し、負荷の変化に応じて送り速度を自動調整するシステムです。</x:v>
      </x:c>
      <x:c r="I182" s="7" t="str">
        <x:v>個別入力の追加確認が必要</x:v>
      </x:c>
      <x:c r="J182" s="7" t="str">
        <x:v>原典抜粋：また、加工状態の監視、適応制御、仮想立ち上げ、工場自動化などのデジタル技術にも取り組んでいます。 / 自動車・EV、航空宇宙、精密部品、歯車、ロボット、産業機器など、幅広い分野のお客様を支援しています。 / 適応制御・加工監視システム「ACM（Adaptive Control &amp; Monitoring）」 / ACMは、加工中の主軸負荷をリアルタイムに監視し、負荷の変化に応じて送り速度を自動調整するシステムです。</x:v>
      </x:c>
      <x:c r="K182" s="7" t="str">
        <x:v>また、加工状態の監視、適応制御、仮想立ち上げ、工場自動化などのデジタル技術にも取り組んでいます。 / 自動車・EV、航空宇宙、精密部品、歯車、ロボット、産業機器など、幅広い分野のお客様を支援しています。 / 適応制御・加工監視システム「ACM（Adaptive Control &amp; Monitoring）」 / ACMは、加工中の主軸負荷をリアルタイムに監視し、負荷の変化に応じて送り速度を自動調整するシステムです。</x:v>
      </x:c>
      <x:c r="L182" s="7" t="str">
        <x:v>承認・例外対応・停止・復帰の境界は未確認</x:v>
      </x:c>
      <x:c r="M182" s="7" t="str">
        <x:v>2024原典抜粋：エンジニアリング商社である西部商工は、商社機能を活用して中小企業の現実的なデジタル化ニーズに応えます。当社は新規設備だけでなく、レトロフィットを含めたOT・IT機器やAI技術を駆使し、顧客のニーズに合わせた提案を行います。また、独自の国内外調達ネットワークも当社の強みです。 切削加工のサイクルタイムを最大20％まで短縮するACM： ACMとはAdaptive Control &amp; Monitoringを意味し、切削中のスピンドルの負荷を常時モニタリングし、それを送り速度の調整に活用するシステムです。例えば大きな負荷が</x:v>
      </x:c>
      <x:c r="N182" s="7" t="str">
        <x:v>2026原典抜粋：また、加工状態の監視、適応制御、仮想立ち上げ、工場自動化などのデジタル技術にも取り組んでいます。 / 自動車・EV、航空宇宙、精密部品、歯車、ロボット、産業機器など、幅広い分野のお客様を支援しています。 / 適応制御・加工監視システム「ACM（Adaptive Control &amp; Monitoring）」 / ACMは、加工中の主軸負荷をリアルタイムに監視し、負荷の変化に応じて送り速度を自動調整するシステムです。</x:v>
      </x:c>
      <x:c r="O182" s="7" t="str">
        <x:v>両年原典あり・機能差未判定</x:v>
      </x:c>
      <x:c r="P182" s="7" t="str">
        <x:v>2026公式カタログ掲載・現地未確認</x:v>
      </x:c>
      <x:c r="Q182" s="7" t="str">
        <x:v>2026展示予定。既存製品・参考出展・構想等は原典で個別確認</x:v>
      </x:c>
      <x:c r="R182" s="7" t="str">
        <x:v>どの作業を自動化・支援するか、入力と判断・操作の範囲、適用条件と人の残作業、2024からの機能差、採用・受注・効果の実測を確認する。</x:v>
      </x:c>
      <x:c r="S182" s="7" t="str">
        <x:v>EEX-EXH-2026-107042c6cf64ba96
EEX-EXH-2024-151b23d9e05ccb13</x:v>
      </x:c>
      <x:c r="T182" s="7" t="str">
        <x:v>EEX-EXH-2026-107042c6cf64ba96: https://www.jimtof.org/search/jp/ESdetails?e=OC6R-wdDduM
EEX-EXH-2024-151b23d9e05ccb13: https://www.jimtof.org/2024/search/jp/ESdetails?e=YRTw8XJWi9g</x:v>
      </x:c>
      <x:c r="U182" s="7" t="str">
        <x:v>出展説明の関連箇所に基づく一次分類</x:v>
      </x:c>
      <x:c r="V182" s="7"/>
      <x:c r="W182" s="7"/>
      <x:c r="X182" s="7"/>
      <x:c r="Y182" s="7"/>
      <x:c r="Z182" s="7"/>
      <x:c r="AA182" s="7"/>
      <x:c r="AB182" s="7"/>
    </x:row>
    <x:row r="183" ht="170" customHeight="1">
      <x:c r="A183" s="7" t="str">
        <x:v>AC116</x:v>
      </x:c>
      <x:c r="B183" s="20" t="str">
        <x:v>西部電機株式会社</x:v>
      </x:c>
      <x:c r="C183" s="7" t="str">
        <x:v>超精密仕様ワイヤ放電加工機　M35LP</x:v>
      </x:c>
      <x:c r="D183" s="7" t="str">
        <x:v>E2015</x:v>
      </x:c>
      <x:c r="E183" s="7" t="str">
        <x:v>自動化</x:v>
      </x:c>
      <x:c r="F183" s="7" t="str">
        <x:v>出展説明の関連用途（個別タスクの分解は未完了）</x:v>
      </x:c>
      <x:c r="G183" s="7" t="str">
        <x:v>出展説明に記載。実装位置の個別精査はカードの方式・未確認欄を参照</x:v>
      </x:c>
      <x:c r="H183" s="7" t="str">
        <x:v>原典抜粋：近年需要が拡大している半導体、データセンター、AI関連分野にも対応しており、大型高精度加工において優れたパフォーマンスを発揮します。 / また、「高精度加工」や「自動化・省人化」を実現する先端技術に加え、ワンチャックで切削加工と研削加工を可能にした高精密自由形状内面研削機「SFGシリーズ」のサンプルワークもご用意しております。</x:v>
      </x:c>
      <x:c r="I183" s="7" t="str">
        <x:v>個別入力の追加確認が必要</x:v>
      </x:c>
      <x:c r="J183" s="7" t="str">
        <x:v>原典抜粋：近年需要が拡大している半導体、データセンター、AI関連分野にも対応しており、大型高精度加工において優れたパフォーマンスを発揮します。 / また、「高精度加工」や「自動化・省人化」を実現する先端技術に加え、ワンチャックで切削加工と研削加工を可能にした高精密自由形状内面研削機「SFGシリーズ」のサンプルワークもご用意しております。</x:v>
      </x:c>
      <x:c r="K183" s="7" t="str">
        <x:v>近年需要が拡大している半導体、データセンター、AI関連分野にも対応しており、大型高精度加工において優れたパフォーマンスを発揮します。 / また、「高精度加工」や「自動化・省人化」を実現する先端技術に加え、ワンチャックで切削加工と研削加工を可能にした高精密自由形状内面研削機「SFGシリーズ」のサンプルワークもご用意しております。</x:v>
      </x:c>
      <x:c r="L183" s="7" t="str">
        <x:v>承認・例外対応・停止・復帰の境界は未確認</x:v>
      </x:c>
      <x:c r="M183" s="7" t="str">
        <x:v>2024原典抜粋：当社は、「超精密とメカトロメーションの追究」を企業理念として、「味」のにじむ新製品を日々開発してきました。今回新たな挑戦として、従来のラインナップではシリーズ化が実現できていなかった大型ワイヤ放電加工機の新シリーズ展開を行いました。 JIMTOF2024では、ワイヤ放電加工機「MM75UP」「MM50UP」、高精密自由形状内面研削盤「SFG-35HP」の3機種を出展致します。 新型機「MM75UP」は、CAE解析技術にて機械構造の見直しを行い、従来機と比較し、大幅な機械剛性の向上を図りました。XY軸に高剛性ローラタ</x:v>
      </x:c>
      <x:c r="N183" s="7" t="str">
        <x:v>2026原典抜粋：近年需要が拡大している半導体、データセンター、AI関連分野にも対応しており、大型高精度加工において優れたパフォーマンスを発揮します。 / また、「高精度加工」や「自動化・省人化」を実現する先端技術に加え、ワンチャックで切削加工と研削加工を可能にした高精密自由形状内面研削機「SFGシリーズ」のサンプルワークもご用意しております。</x:v>
      </x:c>
      <x:c r="O183" s="7" t="str">
        <x:v>両年原典あり・機能差未判定</x:v>
      </x:c>
      <x:c r="P183" s="7" t="str">
        <x:v>2026公式カタログ掲載・現地未確認</x:v>
      </x:c>
      <x:c r="Q183" s="7" t="str">
        <x:v>2026展示予定。既存製品・参考出展・構想等は原典で個別確認</x:v>
      </x:c>
      <x:c r="R183" s="7" t="str">
        <x:v>どの作業を自動化・支援するか、入力と判断・操作の範囲、適用条件と人の残作業、2024からの機能差、採用・受注・効果の実測を確認する。</x:v>
      </x:c>
      <x:c r="S183" s="7" t="str">
        <x:v>EEX-EXH-2026-80abc40ff2c32d3f
EEX-EXH-2024-4250b6f68592c4c9</x:v>
      </x:c>
      <x:c r="T183" s="7" t="str">
        <x:v>EEX-EXH-2026-80abc40ff2c32d3f: https://www.jimtof.org/search/jp/ESdetails?e=LqNWsydMu7s
EEX-EXH-2024-4250b6f68592c4c9: https://www.jimtof.org/2024/search/jp/ESdetails?e=E4LazHJRvQA</x:v>
      </x:c>
      <x:c r="U183" s="7" t="str">
        <x:v>出展説明の関連箇所に基づく一次分類</x:v>
      </x:c>
      <x:c r="V183" s="7"/>
      <x:c r="W183" s="7"/>
      <x:c r="X183" s="7"/>
      <x:c r="Y183" s="7"/>
      <x:c r="Z183" s="7"/>
      <x:c r="AA183" s="7"/>
      <x:c r="AB183" s="7"/>
    </x:row>
    <x:row r="184" ht="170" customHeight="1">
      <x:c r="A184" s="7" t="str">
        <x:v>AC117</x:v>
      </x:c>
      <x:c r="B184" s="20" t="str">
        <x:v>株式会社セイロジャパン</x:v>
      </x:c>
      <x:c r="C184" s="7" t="str">
        <x:v>部品加工用CAD/CAM「GO2cam」</x:v>
      </x:c>
      <x:c r="D184" s="7" t="str">
        <x:v>S3010</x:v>
      </x:c>
      <x:c r="E184" s="7" t="str">
        <x:v>設計・製造DX
自動化</x:v>
      </x:c>
      <x:c r="F184" s="7" t="str">
        <x:v>出展説明の関連用途（個別タスクの分解は未完了）</x:v>
      </x:c>
      <x:c r="G184" s="7" t="str">
        <x:v>出展説明に記載。実装位置の個別精査はカードの方式・未確認欄を参照</x:v>
      </x:c>
      <x:c r="H184" s="7" t="str">
        <x:v>原典抜粋：当社ブースでは、「部品加工」と「金型設計・加工」領域に特化したCAD/CAMで最適な解決策をご提案します。 / 【部品加工の課題に（GO2cam）】 / ■部品加工用CAD/CAM「GO2cam」 / GO2camは、現場の加工のばらつきを減らし、 / ■金型設計・加工統合CAD/CAM「Cimatron」 / 金型設計から電極設計、CAMまで、金型製作をひとつに。</x:v>
      </x:c>
      <x:c r="I184" s="7" t="str">
        <x:v>個別入力の追加確認が必要</x:v>
      </x:c>
      <x:c r="J184" s="7" t="str">
        <x:v>原典抜粋：当社ブースでは、「部品加工」と「金型設計・加工」領域に特化したCAD/CAMで最適な解決策をご提案します。 / 【部品加工の課題に（GO2cam）】 / ■部品加工用CAD/CAM「GO2cam」 / GO2camは、現場の加工のばらつきを減らし、 / ■金型設計・加工統合CAD/CAM「Cimatron」 / 金型設計から電極設計、CAMまで、金型製作をひとつに。</x:v>
      </x:c>
      <x:c r="K184" s="7" t="str">
        <x:v>当社ブースでは、「部品加工」と「金型設計・加工」領域に特化したCAD/CAMで最適な解決策をご提案します。 / 【部品加工の課題に（GO2cam）】 / ■部品加工用CAD/CAM「GO2cam」 / GO2camは、現場の加工のばらつきを減らし、 / ■金型設計・加工統合CAD/CAM「Cimatron」 / 金型設計から電極設計、CAMまで、金型製作をひとつに。</x:v>
      </x:c>
      <x:c r="L184" s="7" t="str">
        <x:v>承認・例外対応・停止・復帰の境界は未確認</x:v>
      </x:c>
      <x:c r="M184" s="7" t="str">
        <x:v>2024原典抜粋：弊社はCAD/CAM/CAEシステムや測定機などを取り扱う技術系商社です。 40年以上のノウハウで、お客様の課題を解決します。 販売のみならず、一部の製品に関してはポスト作成、各種カスタマイズ、導入後の運用サポートまで一貫して行い、お客様の成功、DX化を支援しております。 ブースではお客様の課題や要望に合わせ、システムのデモを行っておりますのでぜひお立ち寄りください。 ■機械部品加工用CAD/CAM『GO2cam』 部品加工に特化し、シンプルで分かり易い操作性と、加工ノウハウを共有できるデータベース機能により、NC</x:v>
      </x:c>
      <x:c r="N184" s="7" t="str">
        <x:v>2026原典抜粋：当社ブースでは、「部品加工」と「金型設計・加工」領域に特化したCAD/CAMで最適な解決策をご提案します。 / 【部品加工の課題に（GO2cam）】 / ■部品加工用CAD/CAM「GO2cam」 / GO2camは、現場の加工のばらつきを減らし、 / ■金型設計・加工統合CAD/CAM「Cimatron」 / 金型設計から電極設計、CAMまで、金型製作をひとつに。</x:v>
      </x:c>
      <x:c r="O184" s="7" t="str">
        <x:v>両年原典あり・機能差未判定</x:v>
      </x:c>
      <x:c r="P184" s="7" t="str">
        <x:v>2026公式カタログ掲載・現地未確認</x:v>
      </x:c>
      <x:c r="Q184" s="7" t="str">
        <x:v>2026展示予定。既存製品・参考出展・構想等は原典で個別確認</x:v>
      </x:c>
      <x:c r="R184" s="7" t="str">
        <x:v>どの作業を自動化・支援するか、入力と判断・操作の範囲、適用条件と人の残作業、2024からの機能差、採用・受注・効果の実測を確認する。</x:v>
      </x:c>
      <x:c r="S184" s="7" t="str">
        <x:v>EEX-EXH-2026-7c65eb7290ab9d16
EEX-EXH-2024-11da0f99657ff136</x:v>
      </x:c>
      <x:c r="T184" s="7" t="str">
        <x:v>EEX-EXH-2026-7c65eb7290ab9d16: https://www.jimtof.org/search/jp/ESdetails?e=nz0oSJ7WlKg
EEX-EXH-2024-11da0f99657ff136: https://www.jimtof.org/2024/search/jp/ESdetails?e=iNU-fSpQwMM</x:v>
      </x:c>
      <x:c r="U184" s="7" t="str">
        <x:v>出展説明の関連箇所に基づく一次分類</x:v>
      </x:c>
      <x:c r="V184" s="7"/>
      <x:c r="W184" s="7"/>
      <x:c r="X184" s="7"/>
      <x:c r="Y184" s="7"/>
      <x:c r="Z184" s="7"/>
      <x:c r="AA184" s="7"/>
      <x:c r="AB184" s="7"/>
    </x:row>
    <x:row r="185" ht="170" customHeight="1">
      <x:c r="A185" s="7" t="str">
        <x:v>AC118</x:v>
      </x:c>
      <x:c r="B185" s="20" t="str">
        <x:v>清和ジーテック株式会社</x:v>
      </x:c>
      <x:c r="C185" s="7" t="str">
        <x:v>CNCホブ盤</x:v>
      </x:c>
      <x:c r="D185" s="7" t="str">
        <x:v>E3007</x:v>
      </x:c>
      <x:c r="E185" s="7" t="str">
        <x:v>自動化</x:v>
      </x:c>
      <x:c r="F185" s="7" t="str">
        <x:v>出展説明の関連用途（個別タスクの分解は未完了）</x:v>
      </x:c>
      <x:c r="G185" s="7" t="str">
        <x:v>出展説明に記載。実装位置の個別精査はカードの方式・未確認欄を参照</x:v>
      </x:c>
      <x:c r="H185" s="7" t="str">
        <x:v>原典抜粋：ヒューマノイドロボットに代表されるロボット技術の急激な進化に伴い、そのための歯車加工技術もまた、進化を要求されています。 / その他極小ワーク精密加工に特化した新仕様、及び自動化の提案等、弊社ブース実機にてご確認ください。</x:v>
      </x:c>
      <x:c r="I185" s="7" t="str">
        <x:v>個別入力の追加確認が必要</x:v>
      </x:c>
      <x:c r="J185" s="7" t="str">
        <x:v>原典抜粋：ヒューマノイドロボットに代表されるロボット技術の急激な進化に伴い、そのための歯車加工技術もまた、進化を要求されています。 / その他極小ワーク精密加工に特化した新仕様、及び自動化の提案等、弊社ブース実機にてご確認ください。</x:v>
      </x:c>
      <x:c r="K185" s="7" t="str">
        <x:v>ヒューマノイドロボットに代表されるロボット技術の急激な進化に伴い、そのための歯車加工技術もまた、進化を要求されています。 / その他極小ワーク精密加工に特化した新仕様、及び自動化の提案等、弊社ブース実機にてご確認ください。</x:v>
      </x:c>
      <x:c r="L185" s="7" t="str">
        <x:v>承認・例外対応・停止・復帰の境界は未確認</x:v>
      </x:c>
      <x:c r="M185" s="7" t="str">
        <x:v>2024原典抜粋：EV自動車用部品を筆頭にギヤの高精度化要求が増えてきています。今までと同様の工法では要求精度の満足が難しくなりつつある状況で、弊社としては主力製品であるギヤホーニング盤の更なる改良に取り組んでまいりました。従来型の同期式ギヤホーニング盤にて培った知識と経験、そしてお客様の声により生まれた、新しい同期式ギヤホーニング盤を発表します。弊社ブースでは、新型同期式ギヤホーニング盤の本機展示の他にも、ギヤホーニング前加工や連れ回り式ホーニング盤の活用事例等、様々なケースでの加工工程をご提案いたします。 CNC同期式ギヤホーニ</x:v>
      </x:c>
      <x:c r="N185" s="7" t="str">
        <x:v>2026原典抜粋：ヒューマノイドロボットに代表されるロボット技術の急激な進化に伴い、そのための歯車加工技術もまた、進化を要求されています。 / その他極小ワーク精密加工に特化した新仕様、及び自動化の提案等、弊社ブース実機にてご確認ください。</x:v>
      </x:c>
      <x:c r="O185" s="7" t="str">
        <x:v>両年原典あり・機能差未判定</x:v>
      </x:c>
      <x:c r="P185" s="7" t="str">
        <x:v>2026公式カタログ掲載・現地未確認</x:v>
      </x:c>
      <x:c r="Q185" s="7" t="str">
        <x:v>2026展示予定。既存製品・参考出展・構想等は原典で個別確認</x:v>
      </x:c>
      <x:c r="R185" s="7" t="str">
        <x:v>どの作業を自動化・支援するか、入力と判断・操作の範囲、適用条件と人の残作業、2024からの機能差、採用・受注・効果の実測を確認する。</x:v>
      </x:c>
      <x:c r="S185" s="7" t="str">
        <x:v>EEX-EXH-2026-1046494d602d0d79
EEX-EXH-2024-5b2765869aa75dde</x:v>
      </x:c>
      <x:c r="T185" s="7" t="str">
        <x:v>EEX-EXH-2026-1046494d602d0d79: https://www.jimtof.org/search/jp/ESdetails?e=UZiobfgROkY
EEX-EXH-2024-5b2765869aa75dde: https://www.jimtof.org/2024/search/jp/ESdetails?e=EG5nDinPQuw</x:v>
      </x:c>
      <x:c r="U185" s="7" t="str">
        <x:v>出展説明の関連箇所に基づく一次分類</x:v>
      </x:c>
      <x:c r="V185" s="7"/>
      <x:c r="W185" s="7"/>
      <x:c r="X185" s="7"/>
      <x:c r="Y185" s="7"/>
      <x:c r="Z185" s="7"/>
      <x:c r="AA185" s="7"/>
      <x:c r="AB185" s="7"/>
    </x:row>
    <x:row r="186" ht="170" customHeight="1">
      <x:c r="A186" s="7" t="str">
        <x:v>AC119</x:v>
      </x:c>
      <x:c r="B186" s="20" t="str">
        <x:v>株式会社ゼネテック</x:v>
      </x:c>
      <x:c r="C186" s="7" t="str">
        <x:v>「Mastercam」は、世界No.1の導入実績を誇る3D-CAD/CAMシステムです。部品加工、試作、金型、木工など幅広い分野で活用され、2軸加工か</x:v>
      </x:c>
      <x:c r="D186" s="7" t="str">
        <x:v>E2022</x:v>
      </x:c>
      <x:c r="E186" s="7" t="str">
        <x:v>設計・製造DX
自動化</x:v>
      </x:c>
      <x:c r="F186" s="7" t="str">
        <x:v>出展説明の関連用途（個別タスクの分解は未完了）</x:v>
      </x:c>
      <x:c r="G186" s="7" t="str">
        <x:v>出展説明に記載。実装位置の個別精査はカードの方式・未確認欄を参照</x:v>
      </x:c>
      <x:c r="H186" s="7" t="str">
        <x:v>原典抜粋：ゼネテックは、Mastercamを中心に、加工・シミュレーション・リバースエンジニアリング・システム開発まで、製造現場のデジタル化をワンストップで支援します。 / ブースでは、3Dスキャンした金剛力士立像をCADデータ化し、Mastercamで加工プログラムを作成、ファナック製ロボドリル「D74CS」で64チタン製立像を加工する一連の流れを実演します。 / さらにFlexSimやロボット活用、設備稼働監視などのソリューションも紹介します</x:v>
      </x:c>
      <x:c r="I186" s="7" t="str">
        <x:v>個別入力の追加確認が必要</x:v>
      </x:c>
      <x:c r="J186" s="7" t="str">
        <x:v>原典抜粋：ゼネテックは、Mastercamを中心に、加工・シミュレーション・リバースエンジニアリング・システム開発まで、製造現場のデジタル化をワンストップで支援します。 / ブースでは、3Dスキャンした金剛力士立像をCADデータ化し、Mastercamで加工プログラムを作成、ファナック製ロボドリル「D74CS」で64チタン製立像を加工する一連の流れを実演します。 / さらにFlexSimやロボット活用、設備稼働監視などのソリューションも紹介します</x:v>
      </x:c>
      <x:c r="K186" s="7" t="str">
        <x:v>ゼネテックは、Mastercamを中心に、加工・シミュレーション・リバースエンジニアリング・システム開発まで、製造現場のデジタル化をワンストップで支援します。 / ブースでは、3Dスキャンした金剛力士立像をCADデータ化し、Mastercamで加工プログラムを作成、ファナック製ロボドリル「D74CS」で64チタン製立像を加工する一連の流れを実演します。 / さらにFlexSimやロボット活用、設備稼働監視などのソリューションも紹介します</x:v>
      </x:c>
      <x:c r="L186" s="7" t="str">
        <x:v>承認・例外対応・停止・復帰の境界は未確認</x:v>
      </x:c>
      <x:c r="M186" s="7" t="str">
        <x:v>2024原典抜粋：「ものづくり領域でDXを牽引するゼネテック」をテーマに、製造業のDX実現に貢献するさまざまなシステムを出展します。インストール実績世界No.1の「Mastercam」をメインに、機械メーカー・工具メーカーとの協業による加工サンプルのほか、現在ゼネテックで計画を進めているロボットの稼働監視システムも展示します。さらに、製造・物流現場のシミュレーションを簡単操作で実現する「FlexSim」を用いた最適化検証のデモ実演など、自動化・生産性向上を支援するDX商材を幅広くご紹介します。ぜひ、ゼネテックのブースにお立ち寄りくだ</x:v>
      </x:c>
      <x:c r="N186" s="7" t="str">
        <x:v>2026原典抜粋：ゼネテックは、Mastercamを中心に、加工・シミュレーション・リバースエンジニアリング・システム開発まで、製造現場のデジタル化をワンストップで支援します。 / ブースでは、3Dスキャンした金剛力士立像をCADデータ化し、Mastercamで加工プログラムを作成、ファナック製ロボドリル「D74CS」で64チタン製立像を加工する一連の流れを実演します。 / さらにFlexSimやロボット活用、設備稼働監視などのソリューションも紹介します</x:v>
      </x:c>
      <x:c r="O186" s="7" t="str">
        <x:v>両年原典あり・機能差未判定</x:v>
      </x:c>
      <x:c r="P186" s="7" t="str">
        <x:v>2026公式カタログ掲載・現地未確認</x:v>
      </x:c>
      <x:c r="Q186" s="7" t="str">
        <x:v>2026展示予定。既存製品・参考出展・構想等は原典で個別確認</x:v>
      </x:c>
      <x:c r="R186" s="7" t="str">
        <x:v>どの作業を自動化・支援するか、入力と判断・操作の範囲、適用条件と人の残作業、2024からの機能差、採用・受注・効果の実測を確認する。</x:v>
      </x:c>
      <x:c r="S186" s="7" t="str">
        <x:v>EEX-EXH-2026-3578da576a0d1e12
EEX-EXH-2024-93b1f9e2b121b3c4</x:v>
      </x:c>
      <x:c r="T186" s="7" t="str">
        <x:v>EEX-EXH-2026-3578da576a0d1e12: https://www.jimtof.org/search/jp/ESdetails?e=BLWqVcnax5s
EEX-EXH-2024-93b1f9e2b121b3c4: https://www.jimtof.org/2024/search/jp/ESdetails?e=hjSCtjFksB0</x:v>
      </x:c>
      <x:c r="U186" s="7" t="str">
        <x:v>出展説明の関連箇所に基づく一次分類</x:v>
      </x:c>
      <x:c r="V186" s="7"/>
      <x:c r="W186" s="7"/>
      <x:c r="X186" s="7"/>
      <x:c r="Y186" s="7"/>
      <x:c r="Z186" s="7"/>
      <x:c r="AA186" s="7"/>
      <x:c r="AB186" s="7"/>
    </x:row>
    <x:row r="187" ht="170" customHeight="1">
      <x:c r="A187" s="7" t="str">
        <x:v>AC120</x:v>
      </x:c>
      <x:c r="B187" s="20" t="str">
        <x:v>先生精機株式会社</x:v>
      </x:c>
      <x:c r="C187" s="7" t="str">
        <x:v>プロファイルチャンファー</x:v>
      </x:c>
      <x:c r="D187" s="7" t="str">
        <x:v>S1033</x:v>
      </x:c>
      <x:c r="E187" s="7" t="str">
        <x:v>自動化</x:v>
      </x:c>
      <x:c r="F187" s="7" t="str">
        <x:v>出展説明の関連用途（個別タスクの分解は未完了）</x:v>
      </x:c>
      <x:c r="G187" s="7" t="str">
        <x:v>出展説明に記載。実装位置の個別精査はカードの方式・未確認欄を参照</x:v>
      </x:c>
      <x:c r="H187" s="7" t="str">
        <x:v>原典抜粋：単体設備はもちろん自動化ラインへの組み込みまで、お客様の生産性向上と品質改善をサポートします。 / 「バリ取りを自動化したい」「加工品質を安定させたい」「工程を集約したい」など現場ごとに異なる課題に対し、最適なソリューションをご提案いたします。 / 自動でワークの位相決めを行い、数値制御による高精度な加工を実現します。</x:v>
      </x:c>
      <x:c r="I187" s="7" t="str">
        <x:v>個別入力の追加確認が必要</x:v>
      </x:c>
      <x:c r="J187" s="7" t="str">
        <x:v>原典抜粋：単体設備はもちろん自動化ラインへの組み込みまで、お客様の生産性向上と品質改善をサポートします。 / 「バリ取りを自動化したい」「加工品質を安定させたい」「工程を集約したい」など現場ごとに異なる課題に対し、最適なソリューションをご提案いたします。 / 自動でワークの位相決めを行い、数値制御による高精度な加工を実現します。</x:v>
      </x:c>
      <x:c r="K187" s="7" t="str">
        <x:v>単体設備はもちろん自動化ラインへの組み込みまで、お客様の生産性向上と品質改善をサポートします。 / 「バリ取りを自動化したい」「加工品質を安定させたい」「工程を集約したい」など現場ごとに異なる課題に対し、最適なソリューションをご提案いたします。 / 自動でワークの位相決めを行い、数値制御による高精度な加工を実現します。</x:v>
      </x:c>
      <x:c r="L187" s="7" t="str">
        <x:v>承認・例外対応・停止・復帰の境界は未確認</x:v>
      </x:c>
      <x:c r="M187" s="7" t="str">
        <x:v>2024原典抜粋：当社ブースでは現物倣い方式を採用した面取り機 PLC-201や、数値制御によるスタイラスレス面取り機の展示・デモ加工を実施しております。 PLC-201では現物倣い方式を採用し、当社独自のスタイラスプレートにより、ワーク形状を倣いながらエンドミルによる面取り・バリ取り加工を行います。本方式の採用により、ティーチングや位置決めを不要とし、ワーク寸法等にバラつきがある場合でも一定寸法での加工を可能としております。 スタイラスレス面取り機は、NCタイプの面取り機です。自動位置決めを行い、カッター主軸とワーク回転を同軸数値</x:v>
      </x:c>
      <x:c r="N187" s="7" t="str">
        <x:v>2026原典抜粋：単体設備はもちろん自動化ラインへの組み込みまで、お客様の生産性向上と品質改善をサポートします。 / 「バリ取りを自動化したい」「加工品質を安定させたい」「工程を集約したい」など現場ごとに異なる課題に対し、最適なソリューションをご提案いたします。 / 自動でワークの位相決めを行い、数値制御による高精度な加工を実現します。</x:v>
      </x:c>
      <x:c r="O187" s="7" t="str">
        <x:v>両年原典あり・機能差未判定</x:v>
      </x:c>
      <x:c r="P187" s="7" t="str">
        <x:v>2026公式カタログ掲載・現地未確認</x:v>
      </x:c>
      <x:c r="Q187" s="7" t="str">
        <x:v>2026展示予定。既存製品・参考出展・構想等は原典で個別確認</x:v>
      </x:c>
      <x:c r="R187" s="7" t="str">
        <x:v>どの作業を自動化・支援するか、入力と判断・操作の範囲、適用条件と人の残作業、2024からの機能差、採用・受注・効果の実測を確認する。</x:v>
      </x:c>
      <x:c r="S187" s="7" t="str">
        <x:v>EEX-EXH-2026-c5ea9a742076c7a1
EEX-EXH-2024-4afcb6f075fb25bf</x:v>
      </x:c>
      <x:c r="T187" s="7" t="str">
        <x:v>EEX-EXH-2026-c5ea9a742076c7a1: https://www.jimtof.org/search/jp/ESdetails?e=LbuFdZUa35w
EEX-EXH-2024-4afcb6f075fb25bf: https://www.jimtof.org/2024/search/jp/ESdetails?e=XopUYQIctHo</x:v>
      </x:c>
      <x:c r="U187" s="7" t="str">
        <x:v>出展説明の関連箇所に基づく一次分類</x:v>
      </x:c>
      <x:c r="V187" s="7"/>
      <x:c r="W187" s="7"/>
      <x:c r="X187" s="7"/>
      <x:c r="Y187" s="7"/>
      <x:c r="Z187" s="7"/>
      <x:c r="AA187" s="7"/>
      <x:c r="AB187" s="7"/>
    </x:row>
    <x:row r="188" ht="170" customHeight="1">
      <x:c r="A188" s="7" t="str">
        <x:v>AC121</x:v>
      </x:c>
      <x:c r="B188" s="20" t="str">
        <x:v>双日株式会社</x:v>
      </x:c>
      <x:c r="C188" s="7" t="str">
        <x:v>オフライン型産業用X線CTスキャナー「Neptune」</x:v>
      </x:c>
      <x:c r="D188" s="7" t="str">
        <x:v>S4027</x:v>
      </x:c>
      <x:c r="E188" s="7" t="str">
        <x:v>設計・製造DX</x:v>
      </x:c>
      <x:c r="F188" s="7" t="str">
        <x:v>出展説明の関連用途（個別タスクの分解は未完了）</x:v>
      </x:c>
      <x:c r="G188" s="7" t="str">
        <x:v>出展説明に記載。実装位置の個別精査はカードの方式・未確認欄を参照</x:v>
      </x:c>
      <x:c r="H188" s="7" t="str">
        <x:v>原典抜粋：製品内部の欠陥確認に加え、寸法計測、肉厚評価、組立状態の確認、CADデータとの比較など、外観観察だけでは把握できない情報を取得できます。 / 3D表示、任意断面の確認、寸法計測、肉厚解析、欠陥解析、CAD比較などを、直感的な操作で行えます。</x:v>
      </x:c>
      <x:c r="I188" s="7" t="str">
        <x:v>個別入力の追加確認が必要</x:v>
      </x:c>
      <x:c r="J188" s="7" t="str">
        <x:v>原典抜粋：製品内部の欠陥確認に加え、寸法計測、肉厚評価、組立状態の確認、CADデータとの比較など、外観観察だけでは把握できない情報を取得できます。 / 3D表示、任意断面の確認、寸法計測、肉厚解析、欠陥解析、CAD比較などを、直感的な操作で行えます。</x:v>
      </x:c>
      <x:c r="K188" s="7" t="str">
        <x:v>製品内部の欠陥確認に加え、寸法計測、肉厚評価、組立状態の確認、CADデータとの比較など、外観観察だけでは把握できない情報を取得できます。 / 3D表示、任意断面の確認、寸法計測、肉厚解析、欠陥解析、CAD比較などを、直感的な操作で行えます。</x:v>
      </x:c>
      <x:c r="L188" s="7" t="str">
        <x:v>承認・例外対応・停止・復帰の境界は未確認</x:v>
      </x:c>
      <x:c r="M188" s="7" t="str">
        <x:v>同一正規化名称の2024詳細なし。新規出展・技術不存在とは判断しない。</x:v>
      </x:c>
      <x:c r="N188" s="7" t="str">
        <x:v>2026原典抜粋：製品内部の欠陥確認に加え、寸法計測、肉厚評価、組立状態の確認、CADデータとの比較など、外観観察だけでは把握できない情報を取得できます。 / 3D表示、任意断面の確認、寸法計測、肉厚解析、欠陥解析、CAD比較などを、直感的な操作で行えます。</x:v>
      </x:c>
      <x:c r="O188" s="7" t="str">
        <x:v>2024個別比較不能</x:v>
      </x:c>
      <x:c r="P188" s="7" t="str">
        <x:v>2026公式カタログ掲載・現地未確認</x:v>
      </x:c>
      <x:c r="Q188" s="7" t="str">
        <x:v>2026展示予定。既存製品・参考出展・構想等は原典で個別確認</x:v>
      </x:c>
      <x:c r="R188" s="7" t="str">
        <x:v>どの作業を自動化・支援するか、入力と判断・操作の範囲、適用条件と人の残作業、2024からの機能差、採用・受注・効果の実測を確認する。</x:v>
      </x:c>
      <x:c r="S188" s="7" t="str">
        <x:v>EEX-EXH-2026-94536b46ad30e81c</x:v>
      </x:c>
      <x:c r="T188" s="7" t="str">
        <x:v>EEX-EXH-2026-94536b46ad30e81c: https://www.jimtof.org/search/jp/ESdetails?e=yEoPl5sH6Sg</x:v>
      </x:c>
      <x:c r="U188" s="7" t="str">
        <x:v>出展説明の関連箇所に基づく一次分類</x:v>
      </x:c>
      <x:c r="V188" s="7"/>
      <x:c r="W188" s="7"/>
      <x:c r="X188" s="7"/>
      <x:c r="Y188" s="7"/>
      <x:c r="Z188" s="7"/>
      <x:c r="AA188" s="7"/>
      <x:c r="AB188" s="7"/>
    </x:row>
    <x:row r="189" ht="170" customHeight="1">
      <x:c r="A189" s="7" t="str">
        <x:v>AC122</x:v>
      </x:c>
      <x:c r="B189" s="20" t="str">
        <x:v>双和化成株式会社</x:v>
      </x:c>
      <x:c r="C189" s="7" t="str">
        <x:v>セラミックファイバーブラシ・砥石 「Cristone」「CERATON」</x:v>
      </x:c>
      <x:c r="D189" s="7" t="str">
        <x:v>W4050</x:v>
      </x:c>
      <x:c r="E189" s="7" t="str">
        <x:v>自動化</x:v>
      </x:c>
      <x:c r="F189" s="7" t="str">
        <x:v>出展説明の関連用途（個別タスクの分解は未完了）</x:v>
      </x:c>
      <x:c r="G189" s="7" t="str">
        <x:v>出展説明に記載。実装位置の個別精査はカードの方式・未確認欄を参照</x:v>
      </x:c>
      <x:c r="H189" s="7" t="str">
        <x:v>原典抜粋：JIMTOF2026では、バリ取りや研磨の自動化・効率化を可能にするセラミックファイバーブラシ・砥石製品、さらに金型などの清掃に特化したクリーナー製品を展示いたします。</x:v>
      </x:c>
      <x:c r="I189" s="7" t="str">
        <x:v>個別入力の追加確認が必要</x:v>
      </x:c>
      <x:c r="J189" s="7" t="str">
        <x:v>原典抜粋：JIMTOF2026では、バリ取りや研磨の自動化・効率化を可能にするセラミックファイバーブラシ・砥石製品、さらに金型などの清掃に特化したクリーナー製品を展示いたします。</x:v>
      </x:c>
      <x:c r="K189" s="7" t="str">
        <x:v>JIMTOF2026では、バリ取りや研磨の自動化・効率化を可能にするセラミックファイバーブラシ・砥石製品、さらに金型などの清掃に特化したクリーナー製品を展示いたします。</x:v>
      </x:c>
      <x:c r="L189" s="7" t="str">
        <x:v>承認・例外対応・停止・復帰の境界は未確認</x:v>
      </x:c>
      <x:c r="M189" s="7" t="str">
        <x:v>2024原典抜粋：双和化成は繊維と熱硬化性樹脂の配合品であるFRPに特化した製造企業です。お客様の様々なニーズに合わせ、独自の製造・開発ラインでモノづくりをサポートいたします。 JIMTOF 2024では、バリ取りの自動化と繊細な表面仕上げを実現するセラミックファイバーブラシ・砥石を紹介します。 ナノ結合したセラミックファイバーを使用することで 超微細な表面仕上げと高い曲げ強度を実現したCristoneシリーズ</x:v>
      </x:c>
      <x:c r="N189" s="7" t="str">
        <x:v>2026原典抜粋：JIMTOF2026では、バリ取りや研磨の自動化・効率化を可能にするセラミックファイバーブラシ・砥石製品、さらに金型などの清掃に特化したクリーナー製品を展示いたします。</x:v>
      </x:c>
      <x:c r="O189" s="7" t="str">
        <x:v>両年原典あり・機能差未判定</x:v>
      </x:c>
      <x:c r="P189" s="7" t="str">
        <x:v>2026公式カタログ掲載・現地未確認</x:v>
      </x:c>
      <x:c r="Q189" s="7" t="str">
        <x:v>2026展示予定。既存製品・参考出展・構想等は原典で個別確認</x:v>
      </x:c>
      <x:c r="R189" s="7" t="str">
        <x:v>どの作業を自動化・支援するか、入力と判断・操作の範囲、適用条件と人の残作業、2024からの機能差、採用・受注・効果の実測を確認する。</x:v>
      </x:c>
      <x:c r="S189" s="7" t="str">
        <x:v>EEX-EXH-2026-f4c953df9f4aea17
EEX-EXH-2024-728e4b4a806ec58d</x:v>
      </x:c>
      <x:c r="T189" s="7" t="str">
        <x:v>EEX-EXH-2026-f4c953df9f4aea17: https://www.jimtof.org/search/jp/ESdetails?e=aJBm2hnGsqY
EEX-EXH-2024-728e4b4a806ec58d: https://www.jimtof.org/2024/search/jp/ESdetails?e=iRQKn5kaGi8</x:v>
      </x:c>
      <x:c r="U189" s="7" t="str">
        <x:v>出展説明の関連箇所に基づく一次分類</x:v>
      </x:c>
      <x:c r="V189" s="7"/>
      <x:c r="W189" s="7"/>
      <x:c r="X189" s="7"/>
      <x:c r="Y189" s="7"/>
      <x:c r="Z189" s="7"/>
      <x:c r="AA189" s="7"/>
      <x:c r="AB189" s="7"/>
    </x:row>
    <x:row r="190" ht="170" customHeight="1">
      <x:c r="A190" s="7" t="str">
        <x:v>AC123</x:v>
      </x:c>
      <x:c r="B190" s="20" t="str">
        <x:v>株式会社ソディック</x:v>
      </x:c>
      <x:c r="C190" s="7" t="str">
        <x:v>1）リニアモータ駆動 高速・高性能 ワイヤ放電加工機「ALN600G ⅰGroove + Edition」</x:v>
      </x:c>
      <x:c r="D190" s="7" t="str">
        <x:v>E2017</x:v>
      </x:c>
      <x:c r="E190" s="7" t="str">
        <x:v>自動化</x:v>
      </x:c>
      <x:c r="F190" s="7" t="str">
        <x:v>出展説明の関連用途（個別タスクの分解は未完了）</x:v>
      </x:c>
      <x:c r="G190" s="7" t="str">
        <x:v>出展説明に記載。実装位置の個別精査はカードの方式・未確認欄を参照</x:v>
      </x:c>
      <x:c r="H190" s="7" t="str">
        <x:v>原典抜粋：ブースでは、リニアモータ駆動ワイヤ放電加工機と搬送ロボットを組み合わせた自動化システムをはじめ、形彫り放電加工機や精密切削加工の自動化技術など、生産現場の競争力向上に貢献する最新ソリューションを実演展示します。 / また、初披露となる新型レーザー加工機、自社生産による高品質な消耗品、省力化・効率化を支援するIoTソリューションなど、多彩な製品・技術をご紹介します。</x:v>
      </x:c>
      <x:c r="I190" s="7" t="str">
        <x:v>個別入力の追加確認が必要</x:v>
      </x:c>
      <x:c r="J190" s="7" t="str">
        <x:v>原典抜粋：ブースでは、リニアモータ駆動ワイヤ放電加工機と搬送ロボットを組み合わせた自動化システムをはじめ、形彫り放電加工機や精密切削加工の自動化技術など、生産現場の競争力向上に貢献する最新ソリューションを実演展示します。 / また、初披露となる新型レーザー加工機、自社生産による高品質な消耗品、省力化・効率化を支援するIoTソリューションなど、多彩な製品・技術をご紹介します。</x:v>
      </x:c>
      <x:c r="K190" s="7" t="str">
        <x:v>ブースでは、リニアモータ駆動ワイヤ放電加工機と搬送ロボットを組み合わせた自動化システムをはじめ、形彫り放電加工機や精密切削加工の自動化技術など、生産現場の競争力向上に貢献する最新ソリューションを実演展示します。 / また、初披露となる新型レーザー加工機、自社生産による高品質な消耗品、省力化・効率化を支援するIoTソリューションなど、多彩な製品・技術をご紹介します。</x:v>
      </x:c>
      <x:c r="L190" s="7" t="str">
        <x:v>承認・例外対応・停止・復帰の境界は未確認</x:v>
      </x:c>
      <x:c r="M190" s="7" t="str">
        <x:v>2024原典抜粋：Sodickブースでは、最新の工作機械とその応用技術を多数展示します。 形彫り放電加工機、ワイヤ放電加工機、マシニングセンタ、そして世界初出展となるフェムト秒レーザー機など、高精度を誇る製品をご覧いただけます。また、自動走行ロボットによるワークの自動搬送も実演します。 ソディックの機械群は、自動車分野・電気電子分野に加え、航空・宇宙事業やメディカル分野をターゲットにした高精度かつ高効率な金型・部品加工向けにラインアップを揃えています。当社の強みは、高性能な機械単体だけでなく、自社製の周辺機器やソフトウェアを組み合わ</x:v>
      </x:c>
      <x:c r="N190" s="7" t="str">
        <x:v>2026原典抜粋：ブースでは、リニアモータ駆動ワイヤ放電加工機と搬送ロボットを組み合わせた自動化システムをはじめ、形彫り放電加工機や精密切削加工の自動化技術など、生産現場の競争力向上に貢献する最新ソリューションを実演展示します。 / また、初披露となる新型レーザー加工機、自社生産による高品質な消耗品、省力化・効率化を支援するIoTソリューションなど、多彩な製品・技術をご紹介します。</x:v>
      </x:c>
      <x:c r="O190" s="7" t="str">
        <x:v>両年原典あり・機能差未判定</x:v>
      </x:c>
      <x:c r="P190" s="7" t="str">
        <x:v>2026公式カタログ掲載・現地未確認</x:v>
      </x:c>
      <x:c r="Q190" s="7" t="str">
        <x:v>2026展示予定。既存製品・参考出展・構想等は原典で個別確認</x:v>
      </x:c>
      <x:c r="R190" s="7" t="str">
        <x:v>どの作業を自動化・支援するか、入力と判断・操作の範囲、適用条件と人の残作業、2024からの機能差、採用・受注・効果の実測を確認する。</x:v>
      </x:c>
      <x:c r="S190" s="7" t="str">
        <x:v>EEX-EXH-2026-f434da28b26d8f26
EEX-EXH-2024-7c4887bf05364088</x:v>
      </x:c>
      <x:c r="T190" s="7" t="str">
        <x:v>EEX-EXH-2026-f434da28b26d8f26: https://www.jimtof.org/search/jp/ESdetails?e=k6keXdSLQmQ
EEX-EXH-2024-7c4887bf05364088: https://www.jimtof.org/2024/search/jp/ESdetails?e=VYjGUrtgdX4</x:v>
      </x:c>
      <x:c r="U190" s="7" t="str">
        <x:v>出展説明の関連箇所に基づく一次分類</x:v>
      </x:c>
      <x:c r="V190" s="7"/>
      <x:c r="W190" s="7"/>
      <x:c r="X190" s="7"/>
      <x:c r="Y190" s="7"/>
      <x:c r="Z190" s="7"/>
      <x:c r="AA190" s="7"/>
      <x:c r="AB190" s="7"/>
    </x:row>
    <x:row r="191" ht="170" customHeight="1">
      <x:c r="A191" s="7" t="str">
        <x:v>AC124</x:v>
      </x:c>
      <x:c r="B191" s="20" t="str">
        <x:v>有限会社曽根田工業</x:v>
      </x:c>
      <x:c r="C191" s="7" t="str">
        <x:v>maxVpoint　タングステンヘッドの超硬ボーリングホルダー</x:v>
      </x:c>
      <x:c r="D191" s="7" t="str">
        <x:v>W1050</x:v>
      </x:c>
      <x:c r="E191" s="7" t="str">
        <x:v>工場運用DX</x:v>
      </x:c>
      <x:c r="F191" s="7" t="str">
        <x:v>出展説明の関連用途（個別タスクの分解は未完了）</x:v>
      </x:c>
      <x:c r="G191" s="7" t="str">
        <x:v>出展説明に記載。実装位置の個別精査はカードの方式・未確認欄を参照</x:v>
      </x:c>
      <x:c r="H191" s="7" t="str">
        <x:v>原典抜粋：・DXスマートキャビネット</x:v>
      </x:c>
      <x:c r="I191" s="7" t="str">
        <x:v>個別入力の追加確認が必要</x:v>
      </x:c>
      <x:c r="J191" s="7" t="str">
        <x:v>原典抜粋：・DXスマートキャビネット</x:v>
      </x:c>
      <x:c r="K191" s="7" t="str">
        <x:v>・DXスマートキャビネット</x:v>
      </x:c>
      <x:c r="L191" s="7" t="str">
        <x:v>承認・例外対応・停止・復帰の境界は未確認</x:v>
      </x:c>
      <x:c r="M191" s="7" t="str">
        <x:v>同一正規化名称の2024詳細なし。新規出展・技術不存在とは判断しない。</x:v>
      </x:c>
      <x:c r="N191" s="7" t="str">
        <x:v>2026原典抜粋：・DXスマートキャビネット</x:v>
      </x:c>
      <x:c r="O191" s="7" t="str">
        <x:v>2024個別比較不能</x:v>
      </x:c>
      <x:c r="P191" s="7" t="str">
        <x:v>2026公式カタログ掲載・現地未確認</x:v>
      </x:c>
      <x:c r="Q191" s="7" t="str">
        <x:v>2026展示予定。既存製品・参考出展・構想等は原典で個別確認</x:v>
      </x:c>
      <x:c r="R191" s="7" t="str">
        <x:v>どの作業を自動化・支援するか、入力と判断・操作の範囲、適用条件と人の残作業、2024からの機能差、採用・受注・効果の実測を確認する。</x:v>
      </x:c>
      <x:c r="S191" s="7" t="str">
        <x:v>EEX-EXH-2026-6c09024686b35965</x:v>
      </x:c>
      <x:c r="T191" s="7" t="str">
        <x:v>EEX-EXH-2026-6c09024686b35965: https://www.jimtof.org/search/jp/ESdetails?e=GmcV3KL5k6M</x:v>
      </x:c>
      <x:c r="U191" s="7" t="str">
        <x:v>出展説明の関連箇所に基づく一次分類</x:v>
      </x:c>
      <x:c r="V191" s="7"/>
      <x:c r="W191" s="7"/>
      <x:c r="X191" s="7"/>
      <x:c r="Y191" s="7"/>
      <x:c r="Z191" s="7"/>
      <x:c r="AA191" s="7"/>
      <x:c r="AB191" s="7"/>
    </x:row>
    <x:row r="192" ht="170" customHeight="1">
      <x:c r="A192" s="7" t="str">
        <x:v>AC125</x:v>
      </x:c>
      <x:c r="B192" s="20" t="str">
        <x:v>株式会社第一測範製作所</x:v>
      </x:c>
      <x:c r="C192" s="7" t="str">
        <x:v>空気/電気マイクロメータデジタル表示ユニット『Smp2』、電気マイクロメータ『ダイメトロン』、小径内径測定機『IDM-30EX-S』、タップ穴自動検査</x:v>
      </x:c>
      <x:c r="D192" s="7" t="str">
        <x:v>E7004</x:v>
      </x:c>
      <x:c r="E192" s="7" t="str">
        <x:v>自動化</x:v>
      </x:c>
      <x:c r="F192" s="7" t="str">
        <x:v>出展説明の関連用途（個別タスクの分解は未完了）</x:v>
      </x:c>
      <x:c r="G192" s="7" t="str">
        <x:v>出展説明に記載。実装位置の個別精査はカードの方式・未確認欄を参照</x:v>
      </x:c>
      <x:c r="H192" s="7" t="str">
        <x:v>原典抜粋：アナログからデジタルへ。 / 第一測範製作所（ISSOKU）は、長年培ってきたゲージ・精密測定技術を礎に、センシング、自動測定、デジタル技術を融合し、測定の新たな可能性を提案します。 / 今回の展示では、従来のゲージから最新の測定技術を活用した自動測定・検査まで、幅広い製品・ソリューションをご紹介。 / 「測る・合わせる・つなぐ」をキーワードに、測定を品質保証だけでなく、生産の自動化・省力化、データ活用へつなげます。 / エアマイクロや</x:v>
      </x:c>
      <x:c r="I192" s="7" t="str">
        <x:v>個別入力の追加確認が必要</x:v>
      </x:c>
      <x:c r="J192" s="7" t="str">
        <x:v>原典抜粋：アナログからデジタルへ。 / 第一測範製作所（ISSOKU）は、長年培ってきたゲージ・精密測定技術を礎に、センシング、自動測定、デジタル技術を融合し、測定の新たな可能性を提案します。 / 今回の展示では、従来のゲージから最新の測定技術を活用した自動測定・検査まで、幅広い製品・ソリューションをご紹介。 / 「測る・合わせる・つなぐ」をキーワードに、測定を品質保証だけでなく、生産の自動化・省力化、データ活用へつなげます。 / エアマイクロや</x:v>
      </x:c>
      <x:c r="K192" s="7" t="str">
        <x:v>アナログからデジタルへ。 / 第一測範製作所（ISSOKU）は、長年培ってきたゲージ・精密測定技術を礎に、センシング、自動測定、デジタル技術を融合し、測定の新たな可能性を提案します。 / 今回の展示では、従来のゲージから最新の測定技術を活用した自動測定・検査まで、幅広い製品・ソリューションをご紹介。 / 「測る・合わせる・つなぐ」をキーワードに、測定を品質保証だけでなく、生産の自動化・省力化、データ活用へつなげます。 / エアマイクロや</x:v>
      </x:c>
      <x:c r="L192" s="7" t="str">
        <x:v>承認・例外対応・停止・復帰の境界は未確認</x:v>
      </x:c>
      <x:c r="M192" s="7" t="str">
        <x:v>同一正規化名称の2024詳細なし。新規出展・技術不存在とは判断しない。</x:v>
      </x:c>
      <x:c r="N192" s="7" t="str">
        <x:v>2026原典抜粋：アナログからデジタルへ。 / 第一測範製作所（ISSOKU）は、長年培ってきたゲージ・精密測定技術を礎に、センシング、自動測定、デジタル技術を融合し、測定の新たな可能性を提案します。 / 今回の展示では、従来のゲージから最新の測定技術を活用した自動測定・検査まで、幅広い製品・ソリューションをご紹介。 / 「測る・合わせる・つなぐ」をキーワードに、測定を品質保証だけでなく、生産の自動化・省力化、データ活用へつなげます。 / エアマイクロや</x:v>
      </x:c>
      <x:c r="O192" s="7" t="str">
        <x:v>2024個別比較不能</x:v>
      </x:c>
      <x:c r="P192" s="7" t="str">
        <x:v>2026公式カタログ掲載・現地未確認</x:v>
      </x:c>
      <x:c r="Q192" s="7" t="str">
        <x:v>2026展示予定。既存製品・参考出展・構想等は原典で個別確認</x:v>
      </x:c>
      <x:c r="R192" s="7" t="str">
        <x:v>どの作業を自動化・支援するか、入力と判断・操作の範囲、適用条件と人の残作業、2024からの機能差、採用・受注・効果の実測を確認する。</x:v>
      </x:c>
      <x:c r="S192" s="7" t="str">
        <x:v>EEX-EXH-2026-6a2286521c8a84e7</x:v>
      </x:c>
      <x:c r="T192" s="7" t="str">
        <x:v>EEX-EXH-2026-6a2286521c8a84e7: https://www.jimtof.org/search/jp/ESdetails?e=RFZbEhJ7OQ4</x:v>
      </x:c>
      <x:c r="U192" s="7" t="str">
        <x:v>出展説明の関連箇所に基づく一次分類</x:v>
      </x:c>
      <x:c r="V192" s="7"/>
      <x:c r="W192" s="7"/>
      <x:c r="X192" s="7"/>
      <x:c r="Y192" s="7"/>
      <x:c r="Z192" s="7"/>
      <x:c r="AA192" s="7"/>
      <x:c r="AB192" s="7"/>
    </x:row>
    <x:row r="193" ht="170" customHeight="1">
      <x:c r="A193" s="7" t="str">
        <x:v>AC126</x:v>
      </x:c>
      <x:c r="B193" s="20" t="str">
        <x:v>大同興業株式会社</x:v>
      </x:c>
      <x:c r="C193" s="7" t="str">
        <x:v>DM-400 油圧クランプ仕様、UNI-DEBURRING バリ取り機、Safety Tools Cold Work対応エアグラインダー、AXXAIR</x:v>
      </x:c>
      <x:c r="D193" s="7" t="str">
        <x:v>S1007</x:v>
      </x:c>
      <x:c r="E193" s="7" t="str">
        <x:v>自動化</x:v>
      </x:c>
      <x:c r="F193" s="7" t="str">
        <x:v>出展説明の関連用途（個別タスクの分解は未完了）</x:v>
      </x:c>
      <x:c r="G193" s="7" t="str">
        <x:v>出展説明に記載。実装位置の個別精査はカードの方式・未確認欄を参照</x:v>
      </x:c>
      <x:c r="H193" s="7" t="str">
        <x:v>原典抜粋：金属切断・研削・バリ取りの省力化、安全性向上をテーマに、DM-400、UNI-DEBURRING、Safety Tools、AXXAIR製品などを展示します。 / DM-400 油圧クランプ仕様、UNI-DEBURRING バリ取り機、Safety Tools Cold Work対応エアグラインダー、AXXAIR パイプ切断・開先加工・円周溶接関連機器、ドリル研磨機</x:v>
      </x:c>
      <x:c r="I193" s="7" t="str">
        <x:v>個別入力の追加確認が必要</x:v>
      </x:c>
      <x:c r="J193" s="7" t="str">
        <x:v>原典抜粋：金属切断・研削・バリ取りの省力化、安全性向上をテーマに、DM-400、UNI-DEBURRING、Safety Tools、AXXAIR製品などを展示します。 / DM-400 油圧クランプ仕様、UNI-DEBURRING バリ取り機、Safety Tools Cold Work対応エアグラインダー、AXXAIR パイプ切断・開先加工・円周溶接関連機器、ドリル研磨機</x:v>
      </x:c>
      <x:c r="K193" s="7" t="str">
        <x:v>金属切断・研削・バリ取りの省力化、安全性向上をテーマに、DM-400、UNI-DEBURRING、Safety Tools、AXXAIR製品などを展示します。 / DM-400 油圧クランプ仕様、UNI-DEBURRING バリ取り機、Safety Tools Cold Work対応エアグラインダー、AXXAIR パイプ切断・開先加工・円周溶接関連機器、ドリル研磨機</x:v>
      </x:c>
      <x:c r="L193" s="7" t="str">
        <x:v>承認・例外対応・停止・復帰の境界は未確認</x:v>
      </x:c>
      <x:c r="M193" s="7" t="str">
        <x:v>2024原典抜粋：大同興業では、切る・バリ取る・溶接する をテーマに体験型のブースを展開いたします。 今回の展示会での初披露となる新型切断機DM-400のデモ、また新型のAXXAIR溶接機、その他はベストセラーとなっておりますUNI-DEBURRING小型バリ取り機とポータブル切断機AXXAIRを御体験頂けます。 切断機 DM-400 並びに AXXAIR切断機 溶接機 AXXAIRパイプ溶接機 バリ取り機 UNI-DEBURRING小型ブラシバリ取り機 その他 メタルソー・チップソー展示</x:v>
      </x:c>
      <x:c r="N193" s="7" t="str">
        <x:v>2026原典抜粋：金属切断・研削・バリ取りの省力化、安全性向上をテーマに、DM-400、UNI-DEBURRING、Safety Tools、AXXAIR製品などを展示します。 / DM-400 油圧クランプ仕様、UNI-DEBURRING バリ取り機、Safety Tools Cold Work対応エアグラインダー、AXXAIR パイプ切断・開先加工・円周溶接関連機器、ドリル研磨機</x:v>
      </x:c>
      <x:c r="O193" s="7" t="str">
        <x:v>両年原典あり・機能差未判定</x:v>
      </x:c>
      <x:c r="P193" s="7" t="str">
        <x:v>2026公式カタログ掲載・現地未確認</x:v>
      </x:c>
      <x:c r="Q193" s="7" t="str">
        <x:v>2026展示予定。既存製品・参考出展・構想等は原典で個別確認</x:v>
      </x:c>
      <x:c r="R193" s="7" t="str">
        <x:v>どの作業を自動化・支援するか、入力と判断・操作の範囲、適用条件と人の残作業、2024からの機能差、採用・受注・効果の実測を確認する。</x:v>
      </x:c>
      <x:c r="S193" s="7" t="str">
        <x:v>EEX-EXH-2026-6ffc5e37fa7b33e5
EEX-EXH-2024-44a6e2fe8944bc02</x:v>
      </x:c>
      <x:c r="T193" s="7" t="str">
        <x:v>EEX-EXH-2026-6ffc5e37fa7b33e5: https://www.jimtof.org/search/jp/ESdetails?e=t55m-mwo_zM
EEX-EXH-2024-44a6e2fe8944bc02: https://www.jimtof.org/2024/search/jp/ESdetails?e=XwCpwCtBW5k</x:v>
      </x:c>
      <x:c r="U193" s="7" t="str">
        <x:v>出展説明の関連箇所に基づく一次分類</x:v>
      </x:c>
      <x:c r="V193" s="7"/>
      <x:c r="W193" s="7"/>
      <x:c r="X193" s="7"/>
      <x:c r="Y193" s="7"/>
      <x:c r="Z193" s="7"/>
      <x:c r="AA193" s="7"/>
      <x:c r="AB193" s="7"/>
    </x:row>
    <x:row r="194" ht="170" customHeight="1">
      <x:c r="A194" s="7" t="str">
        <x:v>AC127</x:v>
      </x:c>
      <x:c r="B194" s="20" t="str">
        <x:v>ダイナミックツール株式会社</x:v>
      </x:c>
      <x:c r="C194" s="7" t="str">
        <x:v>【ダイナミックツール社】</x:v>
      </x:c>
      <x:c r="D194" s="7" t="str">
        <x:v>S2009</x:v>
      </x:c>
      <x:c r="E194" s="7" t="str">
        <x:v>自動化</x:v>
      </x:c>
      <x:c r="F194" s="7" t="str">
        <x:v>出展説明の関連用途（個別タスクの分解は未完了）</x:v>
      </x:c>
      <x:c r="G194" s="7" t="str">
        <x:v>出展説明に記載。実装位置の個別精査はカードの方式・未確認欄を参照</x:v>
      </x:c>
      <x:c r="H194" s="7" t="str">
        <x:v>原典抜粋：注目の新製品をはじめ、「掴む」「加工・回転」「自動化・搬送」「環境保全」「クーラント・冷却」の5つのソリューションで、モノづくりの課題を解決します。 / 【自動化・搬送】 / 生産現場に、止まらない“流れと自動化”を。 / 磁気浮上式搬送やバリ取り自動化で、省人化と生産性向上を支援。 / 高圧ノズル、ノズル自動制御、ウルトラファインバブルなどで、加工品質と生産性を高める。 / 熟練工の技を自動化 / リニアモータ式自動ドア</x:v>
      </x:c>
      <x:c r="I194" s="7" t="str">
        <x:v>個別入力の追加確認が必要</x:v>
      </x:c>
      <x:c r="J194" s="7" t="str">
        <x:v>原典抜粋：注目の新製品をはじめ、「掴む」「加工・回転」「自動化・搬送」「環境保全」「クーラント・冷却」の5つのソリューションで、モノづくりの課題を解決します。 / 【自動化・搬送】 / 生産現場に、止まらない“流れと自動化”を。 / 磁気浮上式搬送やバリ取り自動化で、省人化と生産性向上を支援。 / 高圧ノズル、ノズル自動制御、ウルトラファインバブルなどで、加工品質と生産性を高める。 / 熟練工の技を自動化 / リニアモータ式自動ドア</x:v>
      </x:c>
      <x:c r="K194" s="7" t="str">
        <x:v>注目の新製品をはじめ、「掴む」「加工・回転」「自動化・搬送」「環境保全」「クーラント・冷却」の5つのソリューションで、モノづくりの課題を解決します。 / 【自動化・搬送】 / 生産現場に、止まらない“流れと自動化”を。 / 磁気浮上式搬送やバリ取り自動化で、省人化と生産性向上を支援。 / 高圧ノズル、ノズル自動制御、ウルトラファインバブルなどで、加工品質と生産性を高める。 / 熟練工の技を自動化 / リニアモータ式自動ドア</x:v>
      </x:c>
      <x:c r="L194" s="7" t="str">
        <x:v>承認・例外対応・停止・復帰の境界は未確認</x:v>
      </x:c>
      <x:c r="M194" s="7" t="str">
        <x:v>2024原典抜粋：高精度加工・生産性向上・作業環境改善に寄与する機械の周辺設備をラインナップし、展示。 1.チャックは豊富なバリエーションを有し、これまでに培ってきたノウハウでお客様の様々な要望に適した内容で提案が可能。 2.スピンドルはJäger社、MYL社、KESSLER社と異なるメニューを持つ3社を取り扱いし、軽切削から難削材の高トルク加工や研削加工など、幅広い用途のスピンドルを提案。 3.バリ取りの熟練工レベルの自動化を実現する製品。 4.長年にわたり、オイルミスト/油煙/ダストの問題を解決する為に培った経験をいかした環境配</x:v>
      </x:c>
      <x:c r="N194" s="7" t="str">
        <x:v>2026原典抜粋：注目の新製品をはじめ、「掴む」「加工・回転」「自動化・搬送」「環境保全」「クーラント・冷却」の5つのソリューションで、モノづくりの課題を解決します。 / 【自動化・搬送】 / 生産現場に、止まらない“流れと自動化”を。 / 磁気浮上式搬送やバリ取り自動化で、省人化と生産性向上を支援。 / 高圧ノズル、ノズル自動制御、ウルトラファインバブルなどで、加工品質と生産性を高める。 / 熟練工の技を自動化 / リニアモータ式自動ドア</x:v>
      </x:c>
      <x:c r="O194" s="7" t="str">
        <x:v>両年原典あり・機能差未判定</x:v>
      </x:c>
      <x:c r="P194" s="7" t="str">
        <x:v>2026公式カタログ掲載・現地未確認</x:v>
      </x:c>
      <x:c r="Q194" s="7" t="str">
        <x:v>2026展示予定。既存製品・参考出展・構想等は原典で個別確認</x:v>
      </x:c>
      <x:c r="R194" s="7" t="str">
        <x:v>どの作業を自動化・支援するか、入力と判断・操作の範囲、適用条件と人の残作業、2024からの機能差、採用・受注・効果の実測を確認する。</x:v>
      </x:c>
      <x:c r="S194" s="7" t="str">
        <x:v>EEX-EXH-2026-d32daa7543b852bd
EEX-EXH-2024-de51604541a0c776</x:v>
      </x:c>
      <x:c r="T194" s="7" t="str">
        <x:v>EEX-EXH-2026-d32daa7543b852bd: https://www.jimtof.org/search/jp/ESdetails?e=wAurYrCTgOs
EEX-EXH-2024-de51604541a0c776: https://www.jimtof.org/2024/search/jp/ESdetails?e=bRKaw8mtvM4</x:v>
      </x:c>
      <x:c r="U194" s="7" t="str">
        <x:v>出展説明の関連箇所に基づく一次分類</x:v>
      </x:c>
      <x:c r="V194" s="7"/>
      <x:c r="W194" s="7"/>
      <x:c r="X194" s="7"/>
      <x:c r="Y194" s="7"/>
      <x:c r="Z194" s="7"/>
      <x:c r="AA194" s="7"/>
      <x:c r="AB194" s="7"/>
    </x:row>
    <x:row r="195" ht="170" customHeight="1">
      <x:c r="A195" s="7" t="str">
        <x:v>AC129</x:v>
      </x:c>
      <x:c r="B195" s="20" t="str">
        <x:v>株式会社太陽工機</x:v>
      </x:c>
      <x:c r="C195" s="7" t="str">
        <x:v>立形複合研削盤　TKV 85 with PH Cell 500</x:v>
      </x:c>
      <x:c r="D195" s="7" t="str">
        <x:v>E8007</x:v>
      </x:c>
      <x:c r="E195" s="7" t="str">
        <x:v>工場運用DX
自動化</x:v>
      </x:c>
      <x:c r="F195" s="7" t="str">
        <x:v>出展説明の関連用途（個別タスクの分解は未完了）</x:v>
      </x:c>
      <x:c r="G195" s="7" t="str">
        <x:v>出展説明に記載。実装位置の個別精査はカードの方式・未確認欄を参照</x:v>
      </x:c>
      <x:c r="H195" s="7" t="str">
        <x:v>原典抜粋：中・大型ワーク向けの高精度研削加工に求められる「工程集約」「自動化」「品質安定性」「省エネ性」「DX対応」といった多面的な要求に応えるため、構造・制御・周辺設備の全領域を再設計した最新世代の立形研削盤TKV 85とDMG MORI 製自動化システム PH Cell 500を接続し、世界中でご使用いただける研削盤自動化ソリューションを展示します。 / 自動化システムにはDMG MORI 製 PH Cell 500を搭載。</x:v>
      </x:c>
      <x:c r="I195" s="7" t="str">
        <x:v>個別入力の追加確認が必要</x:v>
      </x:c>
      <x:c r="J195" s="7" t="str">
        <x:v>原典抜粋：中・大型ワーク向けの高精度研削加工に求められる「工程集約」「自動化」「品質安定性」「省エネ性」「DX対応」といった多面的な要求に応えるため、構造・制御・周辺設備の全領域を再設計した最新世代の立形研削盤TKV 85とDMG MORI 製自動化システム PH Cell 500を接続し、世界中でご使用いただける研削盤自動化ソリューションを展示します。 / 自動化システムにはDMG MORI 製 PH Cell 500を搭載。</x:v>
      </x:c>
      <x:c r="K195" s="7" t="str">
        <x:v>中・大型ワーク向けの高精度研削加工に求められる「工程集約」「自動化」「品質安定性」「省エネ性」「DX対応」といった多面的な要求に応えるため、構造・制御・周辺設備の全領域を再設計した最新世代の立形研削盤TKV 85とDMG MORI 製自動化システム PH Cell 500を接続し、世界中でご使用いただける研削盤自動化ソリューションを展示します。 / 自動化システムにはDMG MORI 製 PH Cell 500を搭載。</x:v>
      </x:c>
      <x:c r="L195" s="7" t="str">
        <x:v>承認・例外対応・停止・復帰の境界は未確認</x:v>
      </x:c>
      <x:c r="M195" s="7" t="str">
        <x:v>2024原典抜粋：立形複合研削盤を極めた当社から、立形複合研削盤シリーズをラインナップ。 汎用タイプから高剛性・高出力タイプなど2台を出展します。 高い加工精度、段取りの容易性を特長とする太陽工機の立形研削盤は、 工作機械の心臓部品を加工するマザーマシンとして、また自動化への適応性の高さから 量産部品加工用研削盤として、産業界から揺るぎない信頼をいただいています。 立形複合研削盤 Vertical Mate85 内径、外径、端面の高精度複合加工をワンチャッキングで可能にする汎用立形複合研削盤 （speed MASTER、ERGOli</x:v>
      </x:c>
      <x:c r="N195" s="7" t="str">
        <x:v>2026原典抜粋：中・大型ワーク向けの高精度研削加工に求められる「工程集約」「自動化」「品質安定性」「省エネ性」「DX対応」といった多面的な要求に応えるため、構造・制御・周辺設備の全領域を再設計した最新世代の立形研削盤TKV 85とDMG MORI 製自動化システム PH Cell 500を接続し、世界中でご使用いただける研削盤自動化ソリューションを展示します。 / 自動化システムにはDMG MORI 製 PH Cell 500を搭載。</x:v>
      </x:c>
      <x:c r="O195" s="7" t="str">
        <x:v>両年原典あり・機能差未判定</x:v>
      </x:c>
      <x:c r="P195" s="7" t="str">
        <x:v>2026公式カタログ掲載・現地未確認</x:v>
      </x:c>
      <x:c r="Q195" s="7" t="str">
        <x:v>2026展示予定。既存製品・参考出展・構想等は原典で個別確認</x:v>
      </x:c>
      <x:c r="R195" s="7" t="str">
        <x:v>どの作業を自動化・支援するか、入力と判断・操作の範囲、適用条件と人の残作業、2024からの機能差、採用・受注・効果の実測を確認する。</x:v>
      </x:c>
      <x:c r="S195" s="7" t="str">
        <x:v>EEX-EXH-2026-68590f09050a3b5c
EEX-EXH-2024-b28a39cc3914c1b2</x:v>
      </x:c>
      <x:c r="T195" s="7" t="str">
        <x:v>EEX-EXH-2026-68590f09050a3b5c: https://www.jimtof.org/search/jp/ESdetails?e=p0lGaSOw5EY
EEX-EXH-2024-b28a39cc3914c1b2: https://www.jimtof.org/2024/search/jp/ESdetails?e=sEqCHpjquj8</x:v>
      </x:c>
      <x:c r="U195" s="7" t="str">
        <x:v>出展説明の関連箇所に基づく一次分類</x:v>
      </x:c>
      <x:c r="V195" s="7"/>
      <x:c r="W195" s="7"/>
      <x:c r="X195" s="7"/>
      <x:c r="Y195" s="7"/>
      <x:c r="Z195" s="7"/>
      <x:c r="AA195" s="7"/>
      <x:c r="AB195" s="7"/>
    </x:row>
    <x:row r="196" ht="170" customHeight="1">
      <x:c r="A196" s="7" t="str">
        <x:v>AC130</x:v>
      </x:c>
      <x:c r="B196" s="20" t="str">
        <x:v>高島産業株式会社</x:v>
      </x:c>
      <x:c r="C196" s="7" t="str">
        <x:v>出展製品：小型加工機[MULTIPRO6]</x:v>
      </x:c>
      <x:c r="D196" s="7" t="str">
        <x:v>S1010</x:v>
      </x:c>
      <x:c r="E196" s="7" t="str">
        <x:v>自動化</x:v>
      </x:c>
      <x:c r="F196" s="7" t="str">
        <x:v>出展説明の関連用途（個別タスクの分解は未完了）</x:v>
      </x:c>
      <x:c r="G196" s="7" t="str">
        <x:v>出展説明に記載。実装位置の個別精査はカードの方式・未確認欄を参照</x:v>
      </x:c>
      <x:c r="H196" s="7" t="str">
        <x:v>原典抜粋：◆ロボットを活用した小型マシニングセンタ MULTIPROのご紹介</x:v>
      </x:c>
      <x:c r="I196" s="7" t="str">
        <x:v>個別入力の追加確認が必要</x:v>
      </x:c>
      <x:c r="J196" s="7" t="str">
        <x:v>原典抜粋：◆ロボットを活用した小型マシニングセンタ MULTIPROのご紹介</x:v>
      </x:c>
      <x:c r="K196" s="7" t="str">
        <x:v>◆ロボットを活用した小型マシニングセンタ MULTIPROのご紹介</x:v>
      </x:c>
      <x:c r="L196" s="7" t="str">
        <x:v>承認・例外対応・停止・復帰の境界は未確認</x:v>
      </x:c>
      <x:c r="M196" s="7" t="str">
        <x:v>2024原典抜粋：＜＜ 特 徴 ＞＞ ◆こだわり抜いたコンパクト感で環境にやさしい小型加工機【MULTIPRO6】 ◆設置スペース問題の解決に最適 【小型化工機MULTIPRO】は大型加工機のような設置スペースや環境(床の耐荷重など)を必要とせず、 空きスペースを活用し生産現場を展開することが可能です! ◆環境問題・ SDGｓに貢献 【 Co2排出量を大幅に削減】 小型加工機【MULTIPRO】は電力削減で環境問題Co2削減に大きく貢献できます ◆高剛性 小型加工機【MULTIPRO】は、金属加工用に必要な剛性を持ち合わせています </x:v>
      </x:c>
      <x:c r="N196" s="7" t="str">
        <x:v>2026原典抜粋：◆ロボットを活用した小型マシニングセンタ MULTIPROのご紹介</x:v>
      </x:c>
      <x:c r="O196" s="7" t="str">
        <x:v>両年原典あり・機能差未判定</x:v>
      </x:c>
      <x:c r="P196" s="7" t="str">
        <x:v>2026公式カタログ掲載・現地未確認</x:v>
      </x:c>
      <x:c r="Q196" s="7" t="str">
        <x:v>2026展示予定。既存製品・参考出展・構想等は原典で個別確認</x:v>
      </x:c>
      <x:c r="R196" s="7" t="str">
        <x:v>どの作業を自動化・支援するか、入力と判断・操作の範囲、適用条件と人の残作業、2024からの機能差、採用・受注・効果の実測を確認する。</x:v>
      </x:c>
      <x:c r="S196" s="7" t="str">
        <x:v>EEX-EXH-2026-51b26370956d2831
EEX-EXH-2024-559a33544428dc53</x:v>
      </x:c>
      <x:c r="T196" s="7" t="str">
        <x:v>EEX-EXH-2026-51b26370956d2831: https://www.jimtof.org/search/jp/ESdetails?e=CkrmvOrMu0I
EEX-EXH-2024-559a33544428dc53: https://www.jimtof.org/2024/search/jp/ESdetails?e=el8kFNP5Yj0</x:v>
      </x:c>
      <x:c r="U196" s="7" t="str">
        <x:v>出展説明の関連箇所に基づく一次分類</x:v>
      </x:c>
      <x:c r="V196" s="7"/>
      <x:c r="W196" s="7"/>
      <x:c r="X196" s="7"/>
      <x:c r="Y196" s="7"/>
      <x:c r="Z196" s="7"/>
      <x:c r="AA196" s="7"/>
      <x:c r="AB196" s="7"/>
    </x:row>
    <x:row r="197" ht="170" customHeight="1">
      <x:c r="A197" s="7" t="str">
        <x:v>AC131</x:v>
      </x:c>
      <x:c r="B197" s="20" t="str">
        <x:v>タクテックス株式会社</x:v>
      </x:c>
      <x:c r="C197" s="7" t="str">
        <x:v>CAM Assist for SolidCAM／SolidShop</x:v>
      </x:c>
      <x:c r="D197" s="7" t="str">
        <x:v>S1016</x:v>
      </x:c>
      <x:c r="E197" s="7" t="str">
        <x:v>加工準備・業務AI
設計・製造DX
工場運用DX
自動化</x:v>
      </x:c>
      <x:c r="F197" s="7" t="str">
        <x:v>CAMプログラミング支援・設備情報接続</x:v>
      </x:c>
      <x:c r="G197" s="7" t="str">
        <x:v>SolidCAM上のCAM Assist、設備接続のSolidShop</x:v>
      </x:c>
      <x:c r="H197" s="7" t="str">
        <x:v>形状→CAMプログラミング支援／設備の稼働情報</x:v>
      </x:c>
      <x:c r="I197" s="7" t="str">
        <x:v>部品形状、組立済み工具とホルダ、材種、保持、機械、方向・回避領域</x:v>
      </x:c>
      <x:c r="J197" s="7" t="str">
        <x:v>加工性を評価し、3軸・3+2軸の加工戦略・工具経路・条件案を生成</x:v>
      </x:c>
      <x:c r="K197" s="7" t="str">
        <x:v>SolidCAM内に編集可能な加工オペレーションを生成。シミュレーション・検証・NC出力は既存フロー</x:v>
      </x:c>
      <x:c r="L197" s="7" t="str">
        <x:v>事前準備：公式：工具・材料・保持・機械、加工方向と回避範囲を設定／承認：公式：生成案を確認・編集し、工程順序を変更して採用。最終加工の制御権はプログラマー／例外対応：公式：非対応形状等を加工性評価で表示。その他の例外処理は未確認</x:v>
      </x:c>
      <x:c r="M197" s="7" t="str">
        <x:v>2024はSolidCAM、iMachining、SolidProbeと実機・プローブ連携。</x:v>
      </x:c>
      <x:c r="N197" s="7" t="str">
        <x:v>2026は形状からのAI CAM支援、生成AIセミナー、SolidShopによる設備接続を追加掲載。</x:v>
      </x:c>
      <x:c r="O197" s="7" t="str">
        <x:v>担当タスクの追加記載</x:v>
      </x:c>
      <x:c r="P197" s="7" t="str">
        <x:v>2026公式カタログ掲載・現地未確認</x:v>
      </x:c>
      <x:c r="Q197" s="7" t="str">
        <x:v>2026展示予定。既存製品・参考出展・構想等は原典で個別確認</x:v>
      </x:c>
      <x:c r="R197" s="7" t="str">
        <x:v>当面3軸・3+2軸ミル。複雑な同時5軸・旋削等の範囲と国内版は要確認。通信が必要 現地質問は追補の確認表を参照。</x:v>
      </x:c>
      <x:c r="S197" s="7" t="str">
        <x:v>EEX-EXH-2026-0436fc7b61f51a8e
EEX-EXH-2024-eb84f3b7fa9cf6db
EDP-07
EDP-08
ERF-04</x:v>
      </x:c>
      <x:c r="T197" s="7" t="str">
        <x:v>EEX-EXH-2026-0436fc7b61f51a8e: https://www.jimtof.org/search/jp/ESdetails?e=2TVzwvOqLxI
EEX-EXH-2024-eb84f3b7fa9cf6db: https://www.jimtof.org/2024/search/jp/ESdetails?e=p_i9WuUhNRg
EDP-07: https://www.cloudnc.com/ja/solidcam
EDP-08: https://help.solidcam.com/topics/solutions/cloudnc-cam-assist.htm
ERF-04: https://help.solidcam.com/topics/solutions/cloudnc-cam-assist.htm</x:v>
      </x:c>
      <x:c r="U197" s="7" t="str">
        <x:v>2024・2026の原典全文を重点比較</x:v>
      </x:c>
      <x:c r="V197" s="7" t="str">
        <x:v>形状・加工制約から工程と経路を生成</x:v>
      </x:c>
      <x:c r="W197" s="7" t="str">
        <x:v>加工性を評価し、3軸・3+2軸の加工戦略・工具経路・条件案を生成</x:v>
      </x:c>
      <x:c r="X197" s="7" t="str">
        <x:v>SolidCAM内に編集可能な加工オペレーションを生成。シミュレーション・検証・NC出力は既存フロー</x:v>
      </x:c>
      <x:c r="Y197" s="7" t="str">
        <x:v>公式：工具・材料・保持・機械、加工方向と回避範囲を設定</x:v>
      </x:c>
      <x:c r="Z197" s="7" t="str">
        <x:v>公式：生成案を確認・編集し、工程順序を変更して採用。最終加工の制御権はプログラマー</x:v>
      </x:c>
      <x:c r="AA197" s="7" t="str">
        <x:v>公式：非対応形状等を加工性評価で表示。その他の例外処理は未確認</x:v>
      </x:c>
      <x:c r="AB197" s="7" t="str">
        <x:v>当面3軸・3+2軸ミル。複雑な同時5軸・旋削等の範囲と国内版は要確認。通信が必要</x:v>
      </x:c>
    </x:row>
    <x:row r="198" ht="170" customHeight="1">
      <x:c r="A198" s="7" t="str">
        <x:v>AC132</x:v>
      </x:c>
      <x:c r="B198" s="20" t="str">
        <x:v>株式会社タンガロイ</x:v>
      </x:c>
      <x:c r="C198" s="7" t="str">
        <x:v>旋削加工用：AddMultiTurn, TungTurnJet, BoreMeister, TungBoreMini, TungCut, AddFor</x:v>
      </x:c>
      <x:c r="D198" s="7" t="str">
        <x:v>W1090</x:v>
      </x:c>
      <x:c r="E198" s="7" t="str">
        <x:v>自動化</x:v>
      </x:c>
      <x:c r="F198" s="7" t="str">
        <x:v>出展説明の関連用途（個別タスクの分解は未完了）</x:v>
      </x:c>
      <x:c r="G198" s="7" t="str">
        <x:v>出展説明に記載。実装位置の個別精査はカードの方式・未確認欄を参照</x:v>
      </x:c>
      <x:c r="H198" s="7" t="str">
        <x:v>原典抜粋：さらに、自動化・省人化に対応したシステムや、多様化する加工ニーズに応える最新工具も展示します。</x:v>
      </x:c>
      <x:c r="I198" s="7" t="str">
        <x:v>個別入力の追加確認が必要</x:v>
      </x:c>
      <x:c r="J198" s="7" t="str">
        <x:v>原典抜粋：さらに、自動化・省人化に対応したシステムや、多様化する加工ニーズに応える最新工具も展示します。</x:v>
      </x:c>
      <x:c r="K198" s="7" t="str">
        <x:v>さらに、自動化・省人化に対応したシステムや、多様化する加工ニーズに応える最新工具も展示します。</x:v>
      </x:c>
      <x:c r="L198" s="7" t="str">
        <x:v>承認・例外対応・停止・復帰の境界は未確認</x:v>
      </x:c>
      <x:c r="M198" s="7" t="str">
        <x:v>2024原典抜粋：「未来を共に創造する信頼のパートナー」 タンガロイは、お客様の未来を共に創造する信頼のパートナーです。 私たちはお客様の課題を深く理解し、最適な解決策を提供するために共に考え、支援します。 最新技術と環境適合製品を駆使し、広範な製品ポートフォリオで様々な課題に対応することでお客様の生産性向上をサポートします。 JIMTOF会場では、皆様の課題解決につながる工具が発見できます。ぜひ、弊社のブースにお立ち寄りいただき、革新的な技術と製品を直接ご覧ください。 電気価格のみならず、あらゆる物の価格が高騰する現在、製造コスト</x:v>
      </x:c>
      <x:c r="N198" s="7" t="str">
        <x:v>2026原典抜粋：さらに、自動化・省人化に対応したシステムや、多様化する加工ニーズに応える最新工具も展示します。</x:v>
      </x:c>
      <x:c r="O198" s="7" t="str">
        <x:v>両年原典あり・機能差未判定</x:v>
      </x:c>
      <x:c r="P198" s="7" t="str">
        <x:v>2026公式カタログ掲載・現地未確認</x:v>
      </x:c>
      <x:c r="Q198" s="7" t="str">
        <x:v>2026展示予定。既存製品・参考出展・構想等は原典で個別確認</x:v>
      </x:c>
      <x:c r="R198" s="7" t="str">
        <x:v>どの作業を自動化・支援するか、入力と判断・操作の範囲、適用条件と人の残作業、2024からの機能差、採用・受注・効果の実測を確認する。</x:v>
      </x:c>
      <x:c r="S198" s="7" t="str">
        <x:v>EEX-EXH-2026-b1217429663a31e7
EEX-EXH-2024-fad88568a77814de</x:v>
      </x:c>
      <x:c r="T198" s="7" t="str">
        <x:v>EEX-EXH-2026-b1217429663a31e7: https://www.jimtof.org/search/jp/ESdetails?e=VUyVyFPIn2Q
EEX-EXH-2024-fad88568a77814de: https://www.jimtof.org/2024/search/jp/ESdetails?e=vm3yerTfsk0</x:v>
      </x:c>
      <x:c r="U198" s="7" t="str">
        <x:v>出展説明の関連箇所に基づく一次分類</x:v>
      </x:c>
      <x:c r="V198" s="7"/>
      <x:c r="W198" s="7"/>
      <x:c r="X198" s="7"/>
      <x:c r="Y198" s="7"/>
      <x:c r="Z198" s="7"/>
      <x:c r="AA198" s="7"/>
      <x:c r="AB198" s="7"/>
    </x:row>
    <x:row r="199" ht="170" customHeight="1">
      <x:c r="A199" s="7" t="str">
        <x:v>AC133</x:v>
      </x:c>
      <x:c r="B199" s="20" t="str">
        <x:v>株式会社チップトン</x:v>
      </x:c>
      <x:c r="C199" s="7" t="str">
        <x:v>遠心バレル研磨機「HS8V-10G」(2L×4槽タイプ)</x:v>
      </x:c>
      <x:c r="D199" s="7" t="str">
        <x:v>W4040</x:v>
      </x:c>
      <x:c r="E199" s="7" t="str">
        <x:v>設計・製造DX
自動化</x:v>
      </x:c>
      <x:c r="F199" s="7" t="str">
        <x:v>出展説明の関連用途（個別タスクの分解は未完了）</x:v>
      </x:c>
      <x:c r="G199" s="7" t="str">
        <x:v>出展説明に記載。実装位置の個別精査はカードの方式・未確認欄を参照</x:v>
      </x:c>
      <x:c r="H199" s="7" t="str">
        <x:v>原典抜粋：水の飛散がなく、インライン化・自動化にも適したオンリーワンの振動バレルをご覧ください。 / ワーク装入・研磨・選別・洗浄・乾燥までをつなぐ全自動ラインの構築により、バレル研磨工程の無人化にも対応します。</x:v>
      </x:c>
      <x:c r="I199" s="7" t="str">
        <x:v>個別入力の追加確認が必要</x:v>
      </x:c>
      <x:c r="J199" s="7" t="str">
        <x:v>原典抜粋：水の飛散がなく、インライン化・自動化にも適したオンリーワンの振動バレルをご覧ください。 / ワーク装入・研磨・選別・洗浄・乾燥までをつなぐ全自動ラインの構築により、バレル研磨工程の無人化にも対応します。</x:v>
      </x:c>
      <x:c r="K199" s="7" t="str">
        <x:v>水の飛散がなく、インライン化・自動化にも適したオンリーワンの振動バレルをご覧ください。 / ワーク装入・研磨・選別・洗浄・乾燥までをつなぐ全自動ラインの構築により、バレル研磨工程の無人化にも対応します。</x:v>
      </x:c>
      <x:c r="L199" s="7" t="str">
        <x:v>承認・例外対応・停止・復帰の境界は未確認</x:v>
      </x:c>
      <x:c r="M199" s="7" t="str">
        <x:v>2024原典抜粋：最新のバレル研磨機と研磨石、それにバレルシミュレーションの受託解析サービスを展示します。 研磨機「Ｍｉｇｈｔｙ・Ｍｉｌｄ🄬」は５０ｍｍ以下の小さな精密部品の研磨に向いています。新発明の低速高圧流動により、従来の遠心バレルと比較して、加工時間を１／３に短縮しながら加工傷を８０％以上減少させることが可能です。 研磨機「ドラッグフィニッシュ」は５０ｍｍ以上の大きな部品の研磨に向いています。数個から数十個のワークをひとつずつチャックして研磨するので、大きな部品でも加工傷なく研磨することができます。 研磨石「Ｅシリーズ」は小</x:v>
      </x:c>
      <x:c r="N199" s="7" t="str">
        <x:v>2026原典抜粋：水の飛散がなく、インライン化・自動化にも適したオンリーワンの振動バレルをご覧ください。 / ワーク装入・研磨・選別・洗浄・乾燥までをつなぐ全自動ラインの構築により、バレル研磨工程の無人化にも対応します。</x:v>
      </x:c>
      <x:c r="O199" s="7" t="str">
        <x:v>両年原典あり・機能差未判定</x:v>
      </x:c>
      <x:c r="P199" s="7" t="str">
        <x:v>2026公式カタログ掲載・現地未確認</x:v>
      </x:c>
      <x:c r="Q199" s="7" t="str">
        <x:v>2026展示予定。既存製品・参考出展・構想等は原典で個別確認</x:v>
      </x:c>
      <x:c r="R199" s="7" t="str">
        <x:v>どの作業を自動化・支援するか、入力と判断・操作の範囲、適用条件と人の残作業、2024からの機能差、採用・受注・効果の実測を確認する。</x:v>
      </x:c>
      <x:c r="S199" s="7" t="str">
        <x:v>EEX-EXH-2026-c187ee9769dcb716
EEX-EXH-2024-f3a474fce21abcfe</x:v>
      </x:c>
      <x:c r="T199" s="7" t="str">
        <x:v>EEX-EXH-2026-c187ee9769dcb716: https://www.jimtof.org/search/jp/ESdetails?e=nBcJqlTC_OU
EEX-EXH-2024-f3a474fce21abcfe: https://www.jimtof.org/2024/search/jp/ESdetails?e=RQkXWhWkKEs</x:v>
      </x:c>
      <x:c r="U199" s="7" t="str">
        <x:v>出展説明の関連箇所に基づく一次分類</x:v>
      </x:c>
      <x:c r="V199" s="7"/>
      <x:c r="W199" s="7"/>
      <x:c r="X199" s="7"/>
      <x:c r="Y199" s="7"/>
      <x:c r="Z199" s="7"/>
      <x:c r="AA199" s="7"/>
      <x:c r="AB199" s="7"/>
    </x:row>
    <x:row r="200" ht="170" customHeight="1">
      <x:c r="A200" s="7" t="str">
        <x:v>AC134</x:v>
      </x:c>
      <x:c r="B200" s="20" t="str">
        <x:v>中部クリーン株式会社</x:v>
      </x:c>
      <x:c r="C200" s="7" t="str">
        <x:v>『クーラント液自動希釈供給装置 FKM型』</x:v>
      </x:c>
      <x:c r="D200" s="7" t="str">
        <x:v>S4041</x:v>
      </x:c>
      <x:c r="E200" s="7" t="str">
        <x:v>自動化</x:v>
      </x:c>
      <x:c r="F200" s="7" t="str">
        <x:v>出展説明の関連用途（個別タスクの分解は未完了）</x:v>
      </x:c>
      <x:c r="G200" s="7" t="str">
        <x:v>出展説明に記載。実装位置の個別精査はカードの方式・未確認欄を参照</x:v>
      </x:c>
      <x:c r="H200" s="7" t="str">
        <x:v>原典抜粋：『クーラント液自動希釈供給装置 FKM型』 / 弊社のクーラント液自動希釈供給装置FKM型は一定濃度での希釈と、適切な液量までの補給を自動で行います。 / クーラント希釈の自動化で原液の過剰使用を防ぐほか、補給動作は信頼性の高いレベルセンサでクーラント消費を検知し、工作機械ごとに供給の開始から完了まで確実に制御し、タンクから溢れる事故の心配がなく安全と安心を実現しています。 / FKM型は原液ドラム缶のセット以外はすべて自動で行うため、</x:v>
      </x:c>
      <x:c r="I200" s="7" t="str">
        <x:v>個別入力の追加確認が必要</x:v>
      </x:c>
      <x:c r="J200" s="7" t="str">
        <x:v>原典抜粋：『クーラント液自動希釈供給装置 FKM型』 / 弊社のクーラント液自動希釈供給装置FKM型は一定濃度での希釈と、適切な液量までの補給を自動で行います。 / クーラント希釈の自動化で原液の過剰使用を防ぐほか、補給動作は信頼性の高いレベルセンサでクーラント消費を検知し、工作機械ごとに供給の開始から完了まで確実に制御し、タンクから溢れる事故の心配がなく安全と安心を実現しています。 / FKM型は原液ドラム缶のセット以外はすべて自動で行うため、</x:v>
      </x:c>
      <x:c r="K200" s="7" t="str">
        <x:v>『クーラント液自動希釈供給装置 FKM型』 / 弊社のクーラント液自動希釈供給装置FKM型は一定濃度での希釈と、適切な液量までの補給を自動で行います。 / クーラント希釈の自動化で原液の過剰使用を防ぐほか、補給動作は信頼性の高いレベルセンサでクーラント消費を検知し、工作機械ごとに供給の開始から完了まで確実に制御し、タンクから溢れる事故の心配がなく安全と安心を実現しています。 / FKM型は原液ドラム缶のセット以外はすべて自動で行うため、</x:v>
      </x:c>
      <x:c r="L200" s="7" t="str">
        <x:v>承認・例外対応・停止・復帰の境界は未確認</x:v>
      </x:c>
      <x:c r="M200" s="7" t="str">
        <x:v>同一正規化名称の2024詳細なし。新規出展・技術不存在とは判断しない。</x:v>
      </x:c>
      <x:c r="N200" s="7" t="str">
        <x:v>2026原典抜粋：『クーラント液自動希釈供給装置 FKM型』 / 弊社のクーラント液自動希釈供給装置FKM型は一定濃度での希釈と、適切な液量までの補給を自動で行います。 / クーラント希釈の自動化で原液の過剰使用を防ぐほか、補給動作は信頼性の高いレベルセンサでクーラント消費を検知し、工作機械ごとに供給の開始から完了まで確実に制御し、タンクから溢れる事故の心配がなく安全と安心を実現しています。 / FKM型は原液ドラム缶のセット以外はすべて自動で行うため、</x:v>
      </x:c>
      <x:c r="O200" s="7" t="str">
        <x:v>2024個別比較不能</x:v>
      </x:c>
      <x:c r="P200" s="7" t="str">
        <x:v>2026公式カタログ掲載・現地未確認</x:v>
      </x:c>
      <x:c r="Q200" s="7" t="str">
        <x:v>2026展示予定。既存製品・参考出展・構想等は原典で個別確認</x:v>
      </x:c>
      <x:c r="R200" s="7" t="str">
        <x:v>どの作業を自動化・支援するか、入力と判断・操作の範囲、適用条件と人の残作業、2024からの機能差、採用・受注・効果の実測を確認する。</x:v>
      </x:c>
      <x:c r="S200" s="7" t="str">
        <x:v>EEX-EXH-2026-7b9e75a5fbf145a4</x:v>
      </x:c>
      <x:c r="T200" s="7" t="str">
        <x:v>EEX-EXH-2026-7b9e75a5fbf145a4: https://www.jimtof.org/search/jp/ESdetails?e=R-pw3NRfUvI</x:v>
      </x:c>
      <x:c r="U200" s="7" t="str">
        <x:v>出展説明の関連箇所に基づく一次分類</x:v>
      </x:c>
      <x:c r="V200" s="7"/>
      <x:c r="W200" s="7"/>
      <x:c r="X200" s="7"/>
      <x:c r="Y200" s="7"/>
      <x:c r="Z200" s="7"/>
      <x:c r="AA200" s="7"/>
      <x:c r="AB200" s="7"/>
    </x:row>
    <x:row r="201" ht="170" customHeight="1">
      <x:c r="A201" s="7" t="str">
        <x:v>AC136</x:v>
      </x:c>
      <x:c r="B201" s="20" t="str">
        <x:v>有限会社ツールディスカバリー</x:v>
      </x:c>
      <x:c r="C201" s="7" t="str">
        <x:v>切削加工条件カリキュレーター</x:v>
      </x:c>
      <x:c r="D201" s="7" t="str">
        <x:v>W1069</x:v>
      </x:c>
      <x:c r="E201" s="7" t="str">
        <x:v>加工準備・業務AI</x:v>
      </x:c>
      <x:c r="F201" s="7" t="str">
        <x:v>切削条件の目安を算出・共有</x:v>
      </x:c>
      <x:c r="G201" s="7" t="str">
        <x:v>スマートフォンで利用する条件カリキュレーター</x:v>
      </x:c>
      <x:c r="H201" s="7" t="str">
        <x:v>工具・被削材・加工方法→条件の目安</x:v>
      </x:c>
      <x:c r="I201" s="7" t="str">
        <x:v>スマホで選ぶ工具・被削材・加工方法</x:v>
      </x:c>
      <x:c r="J201" s="7" t="str">
        <x:v>AIで最適化した条件の目安と説明。学習・算定モデルや制約は未公開</x:v>
      </x:c>
      <x:c r="K201" s="7" t="str">
        <x:v>切削条件を表示し共有。機械への条件書込み・NC作成は記載なし</x:v>
      </x:c>
      <x:c r="L201" s="7" t="str">
        <x:v>事前準備：公式出展説明：作業者が3項目を選ぶ／承認：分析：目安を実加工へ採用する判断は別。承認画面・検証方法は未記載／例外対応：未記載：未対応材種・工具や、推奨が成立しない加工条件の警告</x:v>
      </x:c>
      <x:c r="M201" s="7" t="str">
        <x:v>同一名称の2024詳細なし。法人同一性を含む別名照合は未実施。</x:v>
      </x:c>
      <x:c r="N201" s="7" t="str">
        <x:v>スマホで工具・被削材・加工方法を選び、AI最適化した切削条件の目安を出して共有する。</x:v>
      </x:c>
      <x:c r="O201" s="7" t="str">
        <x:v>2024個別比較不能</x:v>
      </x:c>
      <x:c r="P201" s="7" t="str">
        <x:v>2026公式カタログ掲載・現地未確認</x:v>
      </x:c>
      <x:c r="Q201" s="7" t="str">
        <x:v>2026展示予定。既存製品・参考出展・構想等は原典で個別確認</x:v>
      </x:c>
      <x:c r="R201" s="7" t="str">
        <x:v>10/18のW1069公式合同掲載でも条件目安・共有まで。AIの算定、考慮制約、実加工の確認手順は未公開。補足技術資料未確認を保持 現地質問は追補の確認表を参照。</x:v>
      </x:c>
      <x:c r="S201" s="7" t="str">
        <x:v>EEX-EXH-2026-d383a51fea03ae6e
ERF-12</x:v>
      </x:c>
      <x:c r="T201" s="7" t="str">
        <x:v>EEX-EXH-2026-d383a51fea03ae6e: https://www.jimtof.org/search/jp/ESdetails?e=2N7pXq5Aehs
ERF-12: https://www.jimtof.org/search/jp/ExhibitorDetails?b=W1069</x:v>
      </x:c>
      <x:c r="U201" s="7" t="str">
        <x:v>2026の原典全文を重点整理・2024同名原典なし</x:v>
      </x:c>
      <x:c r="V201" s="7" t="str">
        <x:v>切削条件の助言・AI算定の内訳未公開</x:v>
      </x:c>
      <x:c r="W201" s="7" t="str">
        <x:v>AIで最適化した条件の目安と説明。学習・算定モデルや制約は未公開</x:v>
      </x:c>
      <x:c r="X201" s="7" t="str">
        <x:v>切削条件を表示し共有。機械への条件書込み・NC作成は記載なし</x:v>
      </x:c>
      <x:c r="Y201" s="7" t="str">
        <x:v>公式出展説明：作業者が3項目を選ぶ</x:v>
      </x:c>
      <x:c r="Z201" s="7" t="str">
        <x:v>分析：目安を実加工へ採用する判断は別。承認画面・検証方法は未記載</x:v>
      </x:c>
      <x:c r="AA201" s="7" t="str">
        <x:v>未記載：未対応材種・工具や、推奨が成立しない加工条件の警告</x:v>
      </x:c>
      <x:c r="AB201" s="7" t="str">
        <x:v>10/18のW1069公式合同掲載でも条件目安・共有まで。AIの算定、考慮制約、実加工の確認手順は未公開。補足技術資料未確認を保持</x:v>
      </x:c>
    </x:row>
    <x:row r="202" ht="170" customHeight="1">
      <x:c r="A202" s="7" t="str">
        <x:v>AC137</x:v>
      </x:c>
      <x:c r="B202" s="20" t="str">
        <x:v>ツールドインターナショナル株式会社</x:v>
      </x:c>
      <x:c r="C202" s="7" t="str">
        <x:v>7leaders</x:v>
      </x:c>
      <x:c r="D202" s="7" t="str">
        <x:v>W1101</x:v>
      </x:c>
      <x:c r="E202" s="7" t="str">
        <x:v>自動化</x:v>
      </x:c>
      <x:c r="F202" s="7" t="str">
        <x:v>出展説明の関連用途（個別タスクの分解は未完了）</x:v>
      </x:c>
      <x:c r="G202" s="7" t="str">
        <x:v>出展説明に記載。実装位置の個別精査はカードの方式・未確認欄を参照</x:v>
      </x:c>
      <x:c r="H202" s="7" t="str">
        <x:v>原典抜粋：◆ロボット化・自動化ラインに最適！画期的な工具ソリューション / ◆自動車大手の量産ラインも採用！切粉を除去する最新クーラントテクノロジー / 自動化・省人化・生産性向上に貢献します。</x:v>
      </x:c>
      <x:c r="I202" s="7" t="str">
        <x:v>個別入力の追加確認が必要</x:v>
      </x:c>
      <x:c r="J202" s="7" t="str">
        <x:v>原典抜粋：◆ロボット化・自動化ラインに最適！画期的な工具ソリューション / ◆自動車大手の量産ラインも採用！切粉を除去する最新クーラントテクノロジー / 自動化・省人化・生産性向上に貢献します。</x:v>
      </x:c>
      <x:c r="K202" s="7" t="str">
        <x:v>◆ロボット化・自動化ラインに最適！画期的な工具ソリューション / ◆自動車大手の量産ラインも採用！切粉を除去する最新クーラントテクノロジー / 自動化・省人化・生産性向上に貢献します。</x:v>
      </x:c>
      <x:c r="L202" s="7" t="str">
        <x:v>承認・例外対応・停止・復帰の境界は未確認</x:v>
      </x:c>
      <x:c r="M202" s="7" t="str">
        <x:v>2024原典抜粋：工具を変える、工具de変える ～Be a game changer！～ こんな工具あるんだ！？知る人ぞ知る、多種多様な切削工具がここに！ 改善・革新につながるイノベーティブな切削工具。 それはまるでジャングルの生き物たちのように個性的。 そんなジャングルの中で新種を発見するかのごとく 個性的なブースで誰よりも先に価値ある新商品を発見してみませんか？ 『現場により良い変化をもたらすイノベーティブな工具』が 『現場を変える、明日を変える』 目指すのは現場の生産性向上！ ツールドインターナショナルでは、 特許工具やコスト</x:v>
      </x:c>
      <x:c r="N202" s="7" t="str">
        <x:v>2026原典抜粋：◆ロボット化・自動化ラインに最適！画期的な工具ソリューション / ◆自動車大手の量産ラインも採用！切粉を除去する最新クーラントテクノロジー / 自動化・省人化・生産性向上に貢献します。</x:v>
      </x:c>
      <x:c r="O202" s="7" t="str">
        <x:v>両年原典あり・機能差未判定</x:v>
      </x:c>
      <x:c r="P202" s="7" t="str">
        <x:v>2026公式カタログ掲載・現地未確認</x:v>
      </x:c>
      <x:c r="Q202" s="7" t="str">
        <x:v>2026展示予定。既存製品・参考出展・構想等は原典で個別確認</x:v>
      </x:c>
      <x:c r="R202" s="7" t="str">
        <x:v>どの作業を自動化・支援するか、入力と判断・操作の範囲、適用条件と人の残作業、2024からの機能差、採用・受注・効果の実測を確認する。</x:v>
      </x:c>
      <x:c r="S202" s="7" t="str">
        <x:v>EEX-EXH-2026-fa987a1ed1bcec86
EEX-EXH-2024-236dc7e9806653fa</x:v>
      </x:c>
      <x:c r="T202" s="7" t="str">
        <x:v>EEX-EXH-2026-fa987a1ed1bcec86: https://www.jimtof.org/search/jp/ESdetails?e=UcTucUP9Fb4
EEX-EXH-2024-236dc7e9806653fa: https://www.jimtof.org/2024/search/jp/ESdetails?e=IqIZPMUJlDY</x:v>
      </x:c>
      <x:c r="U202" s="7" t="str">
        <x:v>出展説明の関連箇所に基づく一次分類</x:v>
      </x:c>
      <x:c r="V202" s="7"/>
      <x:c r="W202" s="7"/>
      <x:c r="X202" s="7"/>
      <x:c r="Y202" s="7"/>
      <x:c r="Z202" s="7"/>
      <x:c r="AA202" s="7"/>
      <x:c r="AB202" s="7"/>
    </x:row>
    <x:row r="203" ht="170" customHeight="1">
      <x:c r="A203" s="7" t="str">
        <x:v>AC138</x:v>
      </x:c>
      <x:c r="B203" s="20" t="str">
        <x:v>ZOLLER Japan株式会社</x:v>
      </x:c>
      <x:c r="C203" s="7" t="str">
        <x:v>genius</x:v>
      </x:c>
      <x:c r="D203" s="7" t="str">
        <x:v>S1002</x:v>
      </x:c>
      <x:c r="E203" s="7" t="str">
        <x:v>工場運用DX
自動化</x:v>
      </x:c>
      <x:c r="F203" s="7" t="str">
        <x:v>出展説明の関連用途（個別タスクの分解は未完了）</x:v>
      </x:c>
      <x:c r="G203" s="7" t="str">
        <x:v>出展説明に記載。実装位置の個別精査はカードの方式・未確認欄を参照</x:v>
      </x:c>
      <x:c r="H203" s="7" t="str">
        <x:v>原典抜粋：急騰する切削工具を如何に管理し、コストダウンするか、を主なテーマとした製品展示を行う。 / 「管理」する意味は様々だが、工具測定機、ツールプリセッター、ツールバランサーの高精度と高機能、工具管理システムの仕組み等により、最適な「管理」を提案する。 / genius / venturion / smile / toolBalancer / pomBasic / toolOrganizer / zidCode</x:v>
      </x:c>
      <x:c r="I203" s="7" t="str">
        <x:v>個別入力の追加確認が必要</x:v>
      </x:c>
      <x:c r="J203" s="7" t="str">
        <x:v>原典抜粋：急騰する切削工具を如何に管理し、コストダウンするか、を主なテーマとした製品展示を行う。 / 「管理」する意味は様々だが、工具測定機、ツールプリセッター、ツールバランサーの高精度と高機能、工具管理システムの仕組み等により、最適な「管理」を提案する。 / genius / venturion / smile / toolBalancer / pomBasic / toolOrganizer / zidCode</x:v>
      </x:c>
      <x:c r="K203" s="7" t="str">
        <x:v>急騰する切削工具を如何に管理し、コストダウンするか、を主なテーマとした製品展示を行う。 / 「管理」する意味は様々だが、工具測定機、ツールプリセッター、ツールバランサーの高精度と高機能、工具管理システムの仕組み等により、最適な「管理」を提案する。 / genius / venturion / smile / toolBalancer / pomBasic / toolOrganizer / zidCode</x:v>
      </x:c>
      <x:c r="L203" s="7" t="str">
        <x:v>承認・例外対応・停止・復帰の境界は未確認</x:v>
      </x:c>
      <x:c r="M203" s="7" t="str">
        <x:v>同一正規化名称の2024詳細なし。新規出展・技術不存在とは判断しない。</x:v>
      </x:c>
      <x:c r="N203" s="7" t="str">
        <x:v>2026原典抜粋：急騰する切削工具を如何に管理し、コストダウンするか、を主なテーマとした製品展示を行う。 / 「管理」する意味は様々だが、工具測定機、ツールプリセッター、ツールバランサーの高精度と高機能、工具管理システムの仕組み等により、最適な「管理」を提案する。 / genius / venturion / smile / toolBalancer / pomBasic / toolOrganizer / zidCode</x:v>
      </x:c>
      <x:c r="O203" s="7" t="str">
        <x:v>2024個別比較不能</x:v>
      </x:c>
      <x:c r="P203" s="7" t="str">
        <x:v>2026公式カタログ掲載・現地未確認</x:v>
      </x:c>
      <x:c r="Q203" s="7" t="str">
        <x:v>2026展示予定。既存製品・参考出展・構想等は原典で個別確認</x:v>
      </x:c>
      <x:c r="R203" s="7" t="str">
        <x:v>どの作業を自動化・支援するか、入力と判断・操作の範囲、適用条件と人の残作業、2024からの機能差、採用・受注・効果の実測を確認する。</x:v>
      </x:c>
      <x:c r="S203" s="7" t="str">
        <x:v>EEX-EXH-2026-3828f130cd66f8e7</x:v>
      </x:c>
      <x:c r="T203" s="7" t="str">
        <x:v>EEX-EXH-2026-3828f130cd66f8e7: https://www.jimtof.org/search/jp/ESdetails?e=jOy4EwAr6xI</x:v>
      </x:c>
      <x:c r="U203" s="7" t="str">
        <x:v>出展説明の関連箇所に基づく一次分類</x:v>
      </x:c>
      <x:c r="V203" s="7"/>
      <x:c r="W203" s="7"/>
      <x:c r="X203" s="7"/>
      <x:c r="Y203" s="7"/>
      <x:c r="Z203" s="7"/>
      <x:c r="AA203" s="7"/>
      <x:c r="AB203" s="7"/>
    </x:row>
    <x:row r="204" ht="170" customHeight="1">
      <x:c r="A204" s="7" t="str">
        <x:v>AC139</x:v>
      </x:c>
      <x:c r="B204" s="20" t="str">
        <x:v>株式会社ツガミ</x:v>
      </x:c>
      <x:c r="C204" s="7" t="str">
        <x:v>CNC精密自動旋盤　B0207</x:v>
      </x:c>
      <x:c r="D204" s="7" t="str">
        <x:v>S1004</x:v>
      </x:c>
      <x:c r="E204" s="7" t="str">
        <x:v>自動化</x:v>
      </x:c>
      <x:c r="F204" s="7" t="str">
        <x:v>出展説明の関連用途（個別タスクの分解は未完了）</x:v>
      </x:c>
      <x:c r="G204" s="7" t="str">
        <x:v>出展説明に記載。実装位置の個別精査はカードの方式・未確認欄を参照</x:v>
      </x:c>
      <x:c r="H204" s="7" t="str">
        <x:v>原典抜粋：CNC精密自動旋盤B0207は実績豊富なB020シリーズにB軸刃物台を搭載したモデルである。 / CNC精密自動旋盤BW389ZJはØ38 クラスの独立対向くし刃機であり、高剛性と重切削性能を備え、独立刃物台で大径素材の高能率加工を実現。 / また、自動化システムを搭載した機種も展示する。 / CNC精密自動旋盤B0205-VRには、複数品種の仕分けやワークロット管理が可能で、省スペースなワークストッカを搭載。 / ターニングセンタTM</x:v>
      </x:c>
      <x:c r="I204" s="7" t="str">
        <x:v>個別入力の追加確認が必要</x:v>
      </x:c>
      <x:c r="J204" s="7" t="str">
        <x:v>原典抜粋：CNC精密自動旋盤B0207は実績豊富なB020シリーズにB軸刃物台を搭載したモデルである。 / CNC精密自動旋盤BW389ZJはØ38 クラスの独立対向くし刃機であり、高剛性と重切削性能を備え、独立刃物台で大径素材の高能率加工を実現。 / また、自動化システムを搭載した機種も展示する。 / CNC精密自動旋盤B0205-VRには、複数品種の仕分けやワークロット管理が可能で、省スペースなワークストッカを搭載。 / ターニングセンタTM</x:v>
      </x:c>
      <x:c r="K204" s="7" t="str">
        <x:v>CNC精密自動旋盤B0207は実績豊富なB020シリーズにB軸刃物台を搭載したモデルである。 / CNC精密自動旋盤BW389ZJはØ38 クラスの独立対向くし刃機であり、高剛性と重切削性能を備え、独立刃物台で大径素材の高能率加工を実現。 / また、自動化システムを搭載した機種も展示する。 / CNC精密自動旋盤B0205-VRには、複数品種の仕分けやワークロット管理が可能で、省スペースなワークストッカを搭載。 / ターニングセンタTM</x:v>
      </x:c>
      <x:c r="L204" s="7" t="str">
        <x:v>承認・例外対応・停止・復帰の境界は未確認</x:v>
      </x:c>
      <x:c r="M204" s="7" t="str">
        <x:v>2024原典抜粋：当社のブースでは新機種のB0205-VR、M10JL10、VA3S、VA4-Ⅱ、FMA3H-V、G22を含む計12台の主力製品を展示する。 CNC精密自動旋盤 B0205-VRは豊富な実績を持つB0-Vシリーズを改良し、加工能力と使い勝手を向上。 CNC旋盤 M10JL10は10インチクラス旋盤シリーズのロングストロークタイプ。最大1,000mmの長尺ワーク加工に対応可能。 立形高速マシニングセンタ VA3Sはコンパクト・生産性を追求し、サーボ駆動ツールマガジンを用いたダイレクト式ATCの採用により、工具交換時間の</x:v>
      </x:c>
      <x:c r="N204" s="7" t="str">
        <x:v>2026原典抜粋：CNC精密自動旋盤B0207は実績豊富なB020シリーズにB軸刃物台を搭載したモデルである。 / CNC精密自動旋盤BW389ZJはØ38 クラスの独立対向くし刃機であり、高剛性と重切削性能を備え、独立刃物台で大径素材の高能率加工を実現。 / また、自動化システムを搭載した機種も展示する。 / CNC精密自動旋盤B0205-VRには、複数品種の仕分けやワークロット管理が可能で、省スペースなワークストッカを搭載。 / ターニングセンタTM</x:v>
      </x:c>
      <x:c r="O204" s="7" t="str">
        <x:v>両年原典あり・機能差未判定</x:v>
      </x:c>
      <x:c r="P204" s="7" t="str">
        <x:v>2026公式カタログ掲載・現地未確認</x:v>
      </x:c>
      <x:c r="Q204" s="7" t="str">
        <x:v>2026展示予定。既存製品・参考出展・構想等は原典で個別確認</x:v>
      </x:c>
      <x:c r="R204" s="7" t="str">
        <x:v>どの作業を自動化・支援するか、入力と判断・操作の範囲、適用条件と人の残作業、2024からの機能差、採用・受注・効果の実測を確認する。</x:v>
      </x:c>
      <x:c r="S204" s="7" t="str">
        <x:v>EEX-EXH-2026-32c10384bbcaec00
EEX-EXH-2024-10616a1e9396f3d8</x:v>
      </x:c>
      <x:c r="T204" s="7" t="str">
        <x:v>EEX-EXH-2026-32c10384bbcaec00: https://www.jimtof.org/search/jp/ESdetails?e=fKOIqkxqaBI
EEX-EXH-2024-10616a1e9396f3d8: https://www.jimtof.org/2024/search/jp/ESdetails?e=5KpFSEqJrhg</x:v>
      </x:c>
      <x:c r="U204" s="7" t="str">
        <x:v>出展説明の関連箇所に基づく一次分類</x:v>
      </x:c>
      <x:c r="V204" s="7"/>
      <x:c r="W204" s="7"/>
      <x:c r="X204" s="7"/>
      <x:c r="Y204" s="7"/>
      <x:c r="Z204" s="7"/>
      <x:c r="AA204" s="7"/>
      <x:c r="AB204" s="7"/>
    </x:row>
    <x:row r="205" ht="170" customHeight="1">
      <x:c r="A205" s="7" t="str">
        <x:v>AC140</x:v>
      </x:c>
      <x:c r="B205" s="20" t="str">
        <x:v>筑波エンジニアリング株式会社</x:v>
      </x:c>
      <x:c r="C205" s="7" t="str">
        <x:v>今回の展示会では、加工機（ロボドリル）とロボットをワイヤレス接続した / 協働ロボットによるワーク搬送システムをご紹介いたします。 / ロボットが加工</x:v>
      </x:c>
      <x:c r="D205" s="7" t="str">
        <x:v>S3098</x:v>
      </x:c>
      <x:c r="E205" s="7" t="str">
        <x:v>自動化</x:v>
      </x:c>
      <x:c r="F205" s="7" t="str">
        <x:v>出展説明の関連用途（個別タスクの分解は未完了）</x:v>
      </x:c>
      <x:c r="G205" s="7" t="str">
        <x:v>出展説明に記載。実装位置の個別精査はカードの方式・未確認欄を参照</x:v>
      </x:c>
      <x:c r="H205" s="7" t="str">
        <x:v>原典抜粋：今回の展示会では、加工機（ロボドリル）とロボットをワイヤレス接続した / 協働ロボットによるワーク搬送システムをご紹介いたします。 / ロボットが加工機の扉の開閉も行うため / 自動扉のない既存の加工機にもそのまま導入できるのが特長です。</x:v>
      </x:c>
      <x:c r="I205" s="7" t="str">
        <x:v>個別入力の追加確認が必要</x:v>
      </x:c>
      <x:c r="J205" s="7" t="str">
        <x:v>原典抜粋：今回の展示会では、加工機（ロボドリル）とロボットをワイヤレス接続した / 協働ロボットによるワーク搬送システムをご紹介いたします。 / ロボットが加工機の扉の開閉も行うため / 自動扉のない既存の加工機にもそのまま導入できるのが特長です。</x:v>
      </x:c>
      <x:c r="K205" s="7" t="str">
        <x:v>今回の展示会では、加工機（ロボドリル）とロボットをワイヤレス接続した / 協働ロボットによるワーク搬送システムをご紹介いたします。 / ロボットが加工機の扉の開閉も行うため / 自動扉のない既存の加工機にもそのまま導入できるのが特長です。</x:v>
      </x:c>
      <x:c r="L205" s="7" t="str">
        <x:v>承認・例外対応・停止・復帰の境界は未確認</x:v>
      </x:c>
      <x:c r="M205" s="7" t="str">
        <x:v>2024原典抜粋： </x:v>
      </x:c>
      <x:c r="N205" s="7" t="str">
        <x:v>2026原典抜粋：今回の展示会では、加工機（ロボドリル）とロボットをワイヤレス接続した / 協働ロボットによるワーク搬送システムをご紹介いたします。 / ロボットが加工機の扉の開閉も行うため / 自動扉のない既存の加工機にもそのまま導入できるのが特長です。</x:v>
      </x:c>
      <x:c r="O205" s="7" t="str">
        <x:v>両年原典あり・機能差未判定</x:v>
      </x:c>
      <x:c r="P205" s="7" t="str">
        <x:v>2026公式カタログ掲載・現地未確認</x:v>
      </x:c>
      <x:c r="Q205" s="7" t="str">
        <x:v>2026展示予定。既存製品・参考出展・構想等は原典で個別確認</x:v>
      </x:c>
      <x:c r="R205" s="7" t="str">
        <x:v>どの作業を自動化・支援するか、入力と判断・操作の範囲、適用条件と人の残作業、2024からの機能差、採用・受注・効果の実測を確認する。</x:v>
      </x:c>
      <x:c r="S205" s="7" t="str">
        <x:v>EEX-EXH-2026-d2a941b3c53a5d69
EEX-EXH-2024-9ffa09697672a703</x:v>
      </x:c>
      <x:c r="T205" s="7" t="str">
        <x:v>EEX-EXH-2026-d2a941b3c53a5d69: https://www.jimtof.org/search/jp/ESdetails?e=2n2W_oYqO3w
EEX-EXH-2024-9ffa09697672a703: https://www.jimtof.org/2024/search/jp/ESdetails?e=I7MZeXOMYvw</x:v>
      </x:c>
      <x:c r="U205" s="7" t="str">
        <x:v>出展説明の関連箇所に基づく一次分類</x:v>
      </x:c>
      <x:c r="V205" s="7"/>
      <x:c r="W205" s="7"/>
      <x:c r="X205" s="7"/>
      <x:c r="Y205" s="7"/>
      <x:c r="Z205" s="7"/>
      <x:c r="AA205" s="7"/>
      <x:c r="AB205" s="7"/>
    </x:row>
    <x:row r="206" ht="170" customHeight="1">
      <x:c r="A206" s="7" t="str">
        <x:v>AC141</x:v>
      </x:c>
      <x:c r="B206" s="20" t="str">
        <x:v>津田駒工業株式会社</x:v>
      </x:c>
      <x:c r="C206" s="7" t="str">
        <x:v>ブロックビルド方式のNC円テーブル</x:v>
      </x:c>
      <x:c r="D206" s="7" t="str">
        <x:v>W2035</x:v>
      </x:c>
      <x:c r="E206" s="7" t="str">
        <x:v>自動化</x:v>
      </x:c>
      <x:c r="F206" s="7" t="str">
        <x:v>出展説明の関連用途（個別タスクの分解は未完了）</x:v>
      </x:c>
      <x:c r="G206" s="7" t="str">
        <x:v>出展説明に記載。実装位置の個別精査はカードの方式・未確認欄を参照</x:v>
      </x:c>
      <x:c r="H206" s="7" t="str">
        <x:v>原典抜粋：また、「AWC₋自動ワーク交換装置　スカラー仕様」を初出展。 / ・自動ワーク交換装置AWC　スカラー仕様</x:v>
      </x:c>
      <x:c r="I206" s="7" t="str">
        <x:v>個別入力の追加確認が必要</x:v>
      </x:c>
      <x:c r="J206" s="7" t="str">
        <x:v>原典抜粋：また、「AWC₋自動ワーク交換装置　スカラー仕様」を初出展。 / ・自動ワーク交換装置AWC　スカラー仕様</x:v>
      </x:c>
      <x:c r="K206" s="7" t="str">
        <x:v>また、「AWC₋自動ワーク交換装置　スカラー仕様」を初出展。 / ・自動ワーク交換装置AWC　スカラー仕様</x:v>
      </x:c>
      <x:c r="L206" s="7" t="str">
        <x:v>承認・例外対応・停止・復帰の境界は未確認</x:v>
      </x:c>
      <x:c r="M206" s="7" t="str">
        <x:v>2024原典抜粋：最高回転数3000min-1のNC傾斜円テーブル【TDB-200】を小型マシニングセンターに搭載し実演致します。 従来型ツダコマNC円テーブル同様の高精度割出加工に加え、旋削加工にも対応。マシニング+旋盤機能を機械1台に集約し、 省力・省人化ニーズにお応えします。 また、昨今の自動化ニーズを満たすためのソリューションとして、加工→バリ取り→検査までの一連の流れにロボットとNC円テーブル を導入した、ツダコマならではの自動化システムをご提案致します。 さらに、ギヤの面取り・バリ取りについて苦慮されているお客様の声に応</x:v>
      </x:c>
      <x:c r="N206" s="7" t="str">
        <x:v>2026原典抜粋：また、「AWC₋自動ワーク交換装置　スカラー仕様」を初出展。 / ・自動ワーク交換装置AWC　スカラー仕様</x:v>
      </x:c>
      <x:c r="O206" s="7" t="str">
        <x:v>両年原典あり・機能差未判定</x:v>
      </x:c>
      <x:c r="P206" s="7" t="str">
        <x:v>2026公式カタログ掲載・現地未確認</x:v>
      </x:c>
      <x:c r="Q206" s="7" t="str">
        <x:v>2026展示予定。既存製品・参考出展・構想等は原典で個別確認</x:v>
      </x:c>
      <x:c r="R206" s="7" t="str">
        <x:v>どの作業を自動化・支援するか、入力と判断・操作の範囲、適用条件と人の残作業、2024からの機能差、採用・受注・効果の実測を確認する。</x:v>
      </x:c>
      <x:c r="S206" s="7" t="str">
        <x:v>EEX-EXH-2026-a5adb522f7d7861d
EEX-EXH-2024-d2fdbc5680cd32aa</x:v>
      </x:c>
      <x:c r="T206" s="7" t="str">
        <x:v>EEX-EXH-2026-a5adb522f7d7861d: https://www.jimtof.org/search/jp/ESdetails?e=U6GMfQNeW4w
EEX-EXH-2024-d2fdbc5680cd32aa: https://www.jimtof.org/2024/search/jp/ESdetails?e=2nZCuJcfrTg</x:v>
      </x:c>
      <x:c r="U206" s="7" t="str">
        <x:v>出展説明の関連箇所に基づく一次分類</x:v>
      </x:c>
      <x:c r="V206" s="7"/>
      <x:c r="W206" s="7"/>
      <x:c r="X206" s="7"/>
      <x:c r="Y206" s="7"/>
      <x:c r="Z206" s="7"/>
      <x:c r="AA206" s="7"/>
      <x:c r="AB206" s="7"/>
    </x:row>
    <x:row r="207" ht="170" customHeight="1">
      <x:c r="A207" s="7" t="str">
        <x:v>AC142</x:v>
      </x:c>
      <x:c r="B207" s="20" t="str">
        <x:v>TPR大阪精密機械株式会社</x:v>
      </x:c>
      <x:c r="C207" s="7" t="str">
        <x:v>出展する2台のCNC高精度歯車測定機が、次世代の検査工程を実演します。</x:v>
      </x:c>
      <x:c r="D207" s="7" t="str">
        <x:v>E7033</x:v>
      </x:c>
      <x:c r="E207" s="7" t="str">
        <x:v>自動化</x:v>
      </x:c>
      <x:c r="F207" s="7" t="str">
        <x:v>出展説明の関連用途（個別タスクの分解は未完了）</x:v>
      </x:c>
      <x:c r="G207" s="7" t="str">
        <x:v>出展説明に記載。実装位置の個別精査はカードの方式・未確認欄を参照</x:v>
      </x:c>
      <x:c r="H207" s="7" t="str">
        <x:v>原典抜粋：コンセプトモデルである「自動化DDSF」では、ロボット搬送とセンシング技術の融合による完全無人化検査の未来像を提示。 / 1台目の「自動化DDSF」は、協働ロボットによるワーク自動着脱、カメラ判別、レーザー測定を統合した完全無人化測定システムです。 / 2台目の「多機能DDSF」は、歯車測定・歯面性状・幾何偏差（真円度・同軸度等）測定およびスタイラス自動交換機能を1台に集約した工程集約型モデルです。</x:v>
      </x:c>
      <x:c r="I207" s="7" t="str">
        <x:v>個別入力の追加確認が必要</x:v>
      </x:c>
      <x:c r="J207" s="7" t="str">
        <x:v>原典抜粋：コンセプトモデルである「自動化DDSF」では、ロボット搬送とセンシング技術の融合による完全無人化検査の未来像を提示。 / 1台目の「自動化DDSF」は、協働ロボットによるワーク自動着脱、カメラ判別、レーザー測定を統合した完全無人化測定システムです。 / 2台目の「多機能DDSF」は、歯車測定・歯面性状・幾何偏差（真円度・同軸度等）測定およびスタイラス自動交換機能を1台に集約した工程集約型モデルです。</x:v>
      </x:c>
      <x:c r="K207" s="7" t="str">
        <x:v>コンセプトモデルである「自動化DDSF」では、ロボット搬送とセンシング技術の融合による完全無人化検査の未来像を提示。 / 1台目の「自動化DDSF」は、協働ロボットによるワーク自動着脱、カメラ判別、レーザー測定を統合した完全無人化測定システムです。 / 2台目の「多機能DDSF」は、歯車測定・歯面性状・幾何偏差（真円度・同軸度等）測定およびスタイラス自動交換機能を1台に集約した工程集約型モデルです。</x:v>
      </x:c>
      <x:c r="L207" s="7" t="str">
        <x:v>承認・例外対応・停止・復帰の境界は未確認</x:v>
      </x:c>
      <x:c r="M207" s="7" t="str">
        <x:v>2024原典抜粋：自動化をテーマとしたCLP-35DDSFではカメラを利用したワークの自動識別・位相合わせ機能のデモンストレーションを行い、生産工程の自動化や省人化へ向け，量産ワークを自動で脱着して歯車測定するシステム（一例）を提案します。 多機能をテーマとして進化したCLP-35DDSFでは、高精度な幾何測定および歯面性状測定を実現する新しい測定ソフトウェアや機能をご紹介します。操作パネルを簡略化し、ユーザーフレンドリーなオペレーションを体験いただけます。また操作パネルとソフトウェアのデザインを統一し、ユーザーが直感的に操作できる</x:v>
      </x:c>
      <x:c r="N207" s="7" t="str">
        <x:v>2026原典抜粋：コンセプトモデルである「自動化DDSF」では、ロボット搬送とセンシング技術の融合による完全無人化検査の未来像を提示。 / 1台目の「自動化DDSF」は、協働ロボットによるワーク自動着脱、カメラ判別、レーザー測定を統合した完全無人化測定システムです。 / 2台目の「多機能DDSF」は、歯車測定・歯面性状・幾何偏差（真円度・同軸度等）測定およびスタイラス自動交換機能を1台に集約した工程集約型モデルです。</x:v>
      </x:c>
      <x:c r="O207" s="7" t="str">
        <x:v>両年原典あり・機能差未判定</x:v>
      </x:c>
      <x:c r="P207" s="7" t="str">
        <x:v>2026公式カタログ掲載・現地未確認</x:v>
      </x:c>
      <x:c r="Q207" s="7" t="str">
        <x:v>2026展示予定。既存製品・参考出展・構想等は原典で個別確認</x:v>
      </x:c>
      <x:c r="R207" s="7" t="str">
        <x:v>どの作業を自動化・支援するか、入力と判断・操作の範囲、適用条件と人の残作業、2024からの機能差、採用・受注・効果の実測を確認する。</x:v>
      </x:c>
      <x:c r="S207" s="7" t="str">
        <x:v>EEX-EXH-2026-8baabeaaaa69de49
EEX-EXH-2024-24cc91be704df67c</x:v>
      </x:c>
      <x:c r="T207" s="7" t="str">
        <x:v>EEX-EXH-2026-8baabeaaaa69de49: https://www.jimtof.org/search/jp/ESdetails?e=IUcHIycMLaI
EEX-EXH-2024-24cc91be704df67c: https://www.jimtof.org/2024/search/jp/ESdetails?e=zdOnlQ-GKHc</x:v>
      </x:c>
      <x:c r="U207" s="7" t="str">
        <x:v>出展説明の関連箇所に基づく一次分類</x:v>
      </x:c>
      <x:c r="V207" s="7"/>
      <x:c r="W207" s="7"/>
      <x:c r="X207" s="7"/>
      <x:c r="Y207" s="7"/>
      <x:c r="Z207" s="7"/>
      <x:c r="AA207" s="7"/>
      <x:c r="AB207" s="7"/>
    </x:row>
    <x:row r="208" ht="170" customHeight="1">
      <x:c r="A208" s="7" t="str">
        <x:v>AC143</x:v>
      </x:c>
      <x:c r="B208" s="20" t="str">
        <x:v>THK株式会社</x:v>
      </x:c>
      <x:c r="C208" s="7" t="str">
        <x:v>【高精度化・高速化・省人化】機械要素部品</x:v>
      </x:c>
      <x:c r="D208" s="7" t="str">
        <x:v>W2018</x:v>
      </x:c>
      <x:c r="E208" s="7" t="str">
        <x:v>自動化</x:v>
      </x:c>
      <x:c r="F208" s="7" t="str">
        <x:v>出展説明の関連用途（個別タスクの分解は未完了）</x:v>
      </x:c>
      <x:c r="G208" s="7" t="str">
        <x:v>出展説明に記載。実装位置の個別精査はカードの方式・未確認欄を参照</x:v>
      </x:c>
      <x:c r="H208" s="7" t="str">
        <x:v>原典抜粋：・人と一緒に働くヒト型ロボット「NEXTAGE」</x:v>
      </x:c>
      <x:c r="I208" s="7" t="str">
        <x:v>個別入力の追加確認が必要</x:v>
      </x:c>
      <x:c r="J208" s="7" t="str">
        <x:v>原典抜粋：・人と一緒に働くヒト型ロボット「NEXTAGE」</x:v>
      </x:c>
      <x:c r="K208" s="7" t="str">
        <x:v>・人と一緒に働くヒト型ロボット「NEXTAGE」</x:v>
      </x:c>
      <x:c r="L208" s="7" t="str">
        <x:v>承認・例外対応・停止・復帰の境界は未確認</x:v>
      </x:c>
      <x:c r="M208" s="7" t="str">
        <x:v>2024原典抜粋：私たちTHKは、直線運動案内（Linear Motion Guide-LMガイド）を世界で初めて製品化し、要素部品からモジュール製品、FAソリューションまでご提案するものづくり企業です。「ものづくりサービス業」をビジョンに掲げ、独創的な発想と蓄積したノウハウ、独自技術により開発した製品サービスで、お客様のものづくりに関する課題解決と生産性向上に貢献します。 今回は「最先端の自働化～あらゆる動きを技術とサービスでサポート～」をブーステーマに、工作機械の高性能化を実現する要素部品をはじめ、調達・設計・組立工程の負荷軽減</x:v>
      </x:c>
      <x:c r="N208" s="7" t="str">
        <x:v>2026原典抜粋：・人と一緒に働くヒト型ロボット「NEXTAGE」</x:v>
      </x:c>
      <x:c r="O208" s="7" t="str">
        <x:v>両年原典あり・機能差未判定</x:v>
      </x:c>
      <x:c r="P208" s="7" t="str">
        <x:v>2026公式カタログ掲載・現地未確認</x:v>
      </x:c>
      <x:c r="Q208" s="7" t="str">
        <x:v>2026展示予定。既存製品・参考出展・構想等は原典で個別確認</x:v>
      </x:c>
      <x:c r="R208" s="7" t="str">
        <x:v>どの作業を自動化・支援するか、入力と判断・操作の範囲、適用条件と人の残作業、2024からの機能差、採用・受注・効果の実測を確認する。</x:v>
      </x:c>
      <x:c r="S208" s="7" t="str">
        <x:v>EEX-EXH-2026-45c22ca4a91150f4
EEX-EXH-2024-bb78fa3798d657cd</x:v>
      </x:c>
      <x:c r="T208" s="7" t="str">
        <x:v>EEX-EXH-2026-45c22ca4a91150f4: https://www.jimtof.org/search/jp/ESdetails?e=z-lVfqtvgVM
EEX-EXH-2024-bb78fa3798d657cd: https://www.jimtof.org/2024/search/jp/ESdetails?e=25HOX5M84N0</x:v>
      </x:c>
      <x:c r="U208" s="7" t="str">
        <x:v>出展説明の関連箇所に基づく一次分類</x:v>
      </x:c>
      <x:c r="V208" s="7"/>
      <x:c r="W208" s="7"/>
      <x:c r="X208" s="7"/>
      <x:c r="Y208" s="7"/>
      <x:c r="Z208" s="7"/>
      <x:c r="AA208" s="7"/>
      <x:c r="AB208" s="7"/>
    </x:row>
    <x:row r="209" ht="170" customHeight="1">
      <x:c r="A209" s="7" t="str">
        <x:v>AC145</x:v>
      </x:c>
      <x:c r="B209" s="20" t="str">
        <x:v>有限会社デュブリン・ジャパン・リミテッド</x:v>
      </x:c>
      <x:c r="C209" s="7" t="str">
        <x:v>工作機械向けロータリーユニオンおよび産業用スリップリングの最新技術を展示します。</x:v>
      </x:c>
      <x:c r="D209" s="7" t="str">
        <x:v>WA024</x:v>
      </x:c>
      <x:c r="E209" s="7" t="str">
        <x:v>自動化
AI実装・連携基盤</x:v>
      </x:c>
      <x:c r="F209" s="7" t="str">
        <x:v>出展説明の関連用途（個別タスクの分解は未完了）</x:v>
      </x:c>
      <x:c r="G209" s="7" t="str">
        <x:v>出展説明に記載。実装位置の個別精査はカードの方式・未確認欄を参照</x:v>
      </x:c>
      <x:c r="H209" s="7" t="str">
        <x:v>原典抜粋：使用する流体を自動的に感知し、最適なシール状態へ切り替える独自技術です。 / 工作機械、自動化設備、ロボット、回転テーブルなど幅広い用途に対応します。 / スリップリングでは、電力・信号・産業用ネットワーク・高速データ通信に対応した各種製品を展示し、自動化設備や回転機器における安定したデータ伝送ソリューションをご提案します。</x:v>
      </x:c>
      <x:c r="I209" s="7" t="str">
        <x:v>個別入力の追加確認が必要</x:v>
      </x:c>
      <x:c r="J209" s="7" t="str">
        <x:v>原典抜粋：使用する流体を自動的に感知し、最適なシール状態へ切り替える独自技術です。 / 工作機械、自動化設備、ロボット、回転テーブルなど幅広い用途に対応します。 / スリップリングでは、電力・信号・産業用ネットワーク・高速データ通信に対応した各種製品を展示し、自動化設備や回転機器における安定したデータ伝送ソリューションをご提案します。</x:v>
      </x:c>
      <x:c r="K209" s="7" t="str">
        <x:v>使用する流体を自動的に感知し、最適なシール状態へ切り替える独自技術です。 / 工作機械、自動化設備、ロボット、回転テーブルなど幅広い用途に対応します。 / スリップリングでは、電力・信号・産業用ネットワーク・高速データ通信に対応した各種製品を展示し、自動化設備や回転機器における安定したデータ伝送ソリューションをご提案します。</x:v>
      </x:c>
      <x:c r="L209" s="7" t="str">
        <x:v>承認・例外対応・停止・復帰の境界は未確認</x:v>
      </x:c>
      <x:c r="M209" s="7" t="str">
        <x:v>2024原典抜粋：・AutoSense®： メカニカルシールは、流体を自動的に感知し最適のシールを適用します。 潤滑性流体に対してはシール面が接触しシール性を発揮する一方、非潤滑性流体や流体なしの場合はシール面に微小のスキマを持たせた非接触状態を維持し、シール面を保護します。 ・SpindleShield®： メカニカルシールは時間の経過とともに摩耗し、保守担当者が観察するのが困難になる可能性があります。 Deublinのテクノロジーは、スピンドルの向きに依存しない方法で回転ユニオンに統合されており、機械の他の部分への漏れを防ぐため</x:v>
      </x:c>
      <x:c r="N209" s="7" t="str">
        <x:v>2026原典抜粋：使用する流体を自動的に感知し、最適なシール状態へ切り替える独自技術です。 / 工作機械、自動化設備、ロボット、回転テーブルなど幅広い用途に対応します。 / スリップリングでは、電力・信号・産業用ネットワーク・高速データ通信に対応した各種製品を展示し、自動化設備や回転機器における安定したデータ伝送ソリューションをご提案します。</x:v>
      </x:c>
      <x:c r="O209" s="7" t="str">
        <x:v>両年原典あり・機能差未判定</x:v>
      </x:c>
      <x:c r="P209" s="7" t="str">
        <x:v>2026公式カタログ掲載・現地未確認</x:v>
      </x:c>
      <x:c r="Q209" s="7" t="str">
        <x:v>2026展示予定。既存製品・参考出展・構想等は原典で個別確認</x:v>
      </x:c>
      <x:c r="R209" s="7" t="str">
        <x:v>どの作業を自動化・支援するか、入力と判断・操作の範囲、適用条件と人の残作業、2024からの機能差、採用・受注・効果の実測を確認する。</x:v>
      </x:c>
      <x:c r="S209" s="7" t="str">
        <x:v>EEX-EXH-2026-c9f3df91b8488aae
EEX-EXH-2024-c7e56519e3bd21bf</x:v>
      </x:c>
      <x:c r="T209" s="7" t="str">
        <x:v>EEX-EXH-2026-c9f3df91b8488aae: https://www.jimtof.org/search/jp/ESdetails?e=PjO1_W-zmqI
EEX-EXH-2024-c7e56519e3bd21bf: https://www.jimtof.org/2024/search/jp/ESdetails?e=8ealehgmk8o</x:v>
      </x:c>
      <x:c r="U209" s="7" t="str">
        <x:v>出展説明の関連箇所に基づく一次分類</x:v>
      </x:c>
      <x:c r="V209" s="7"/>
      <x:c r="W209" s="7"/>
      <x:c r="X209" s="7"/>
      <x:c r="Y209" s="7"/>
      <x:c r="Z209" s="7"/>
      <x:c r="AA209" s="7"/>
      <x:c r="AB209" s="7"/>
    </x:row>
    <x:row r="210" ht="170" customHeight="1">
      <x:c r="A210" s="7" t="str">
        <x:v>AC146</x:v>
      </x:c>
      <x:c r="B210" s="20" t="str">
        <x:v>東京エレクトロンデバイス株式会社</x:v>
      </x:c>
      <x:c r="C210" s="7" t="str">
        <x:v>3D形状認識・教示不要の面取り／皿もみ</x:v>
      </x:c>
      <x:c r="D210" s="7" t="str">
        <x:v>E7073</x:v>
      </x:c>
      <x:c r="E210" s="7" t="str">
        <x:v>自動化
自律化</x:v>
      </x:c>
      <x:c r="F210" s="7" t="str">
        <x:v>不定形ワークの面取り・皿もみ・バリ取り</x:v>
      </x:c>
      <x:c r="G210" s="7" t="str">
        <x:v>ロボット加工セル。東京エンジニアリングE7073内</x:v>
      </x:c>
      <x:c r="H210" s="7" t="str">
        <x:v>レーザースキャン→形状認識→軌道生成→加工</x:v>
      </x:c>
      <x:c r="I210" s="7" t="str">
        <x:v>レーザースキャンの3D形状。ローダーは穴あき不定形板材の段積み</x:v>
      </x:c>
      <x:c r="J210" s="7" t="str">
        <x:v>形状から加工軌道を生成。ローダーは穴位置を避けるピック位置を決める</x:v>
      </x:c>
      <x:c r="K210" s="7" t="str">
        <x:v>面取り・皿もみ・バリ取り、1枚ずつ供給と加工後搬出を連携実演予定</x:v>
      </x:c>
      <x:c r="L210" s="7" t="str">
        <x:v>事前準備：公式：CADやパタン教示を不要と説明。加工条件・形状制約の設定者は未公開／承認：未記載：生成軌道の干渉確認・加工許可・品質承認の手順／例外対応：未記載：反り・二枚取り・誤認識・工具摩耗・取り残し時の扱い</x:v>
      </x:c>
      <x:c r="M210" s="7" t="str">
        <x:v>同一名称の2024詳細なし。名称変更・他ブースの照合は未完了。</x:v>
      </x:c>
      <x:c r="N210" s="7" t="str">
        <x:v>レーザースキャンで未教示の不定形ワークを認識し、加工軌道を生成して面取り・皿もみ等を行う予定。</x:v>
      </x:c>
      <x:c r="O210" s="7" t="str">
        <x:v>2024個別比較不能</x:v>
      </x:c>
      <x:c r="P210" s="7" t="str">
        <x:v>東京エンジニアリングE7073内で展示予定（企業公式告知で確認）</x:v>
      </x:c>
      <x:c r="Q210" s="7" t="str">
        <x:v>2026展示予定。既存製品・参考出展・構想等は原典で個別確認</x:v>
      </x:c>
      <x:c r="R210" s="7" t="str">
        <x:v>独自3D形状認識という説明。機械学習／生成AIの利用は未確認。教示不要と未知形状無制限は同義ではない 現地質問：未登録形状の許容範囲、取り残し・反り・誤認識、干渉検証、刃具摩耗と加工後検査の扱いは。</x:v>
      </x:c>
      <x:c r="S210" s="7" t="str">
        <x:v>EEX-EXH-2026-8c08de1ffed47316
EEX-WTED</x:v>
      </x:c>
      <x:c r="T210" s="7" t="str">
        <x:v>EEX-EXH-2026-8c08de1ffed47316: https://www.jimtof.org/search/jp/ESdetails?e=c4cChQniAm8
EEX-WTED: https://www.inrevium.com/news-event/event/p7331/</x:v>
      </x:c>
      <x:c r="U210" s="7" t="str">
        <x:v>2026の原典全文を重点整理・2024同名原典なし</x:v>
      </x:c>
      <x:c r="V210" s="7" t="str">
        <x:v>認識・軌道生成から加工・AI方式は未確認</x:v>
      </x:c>
      <x:c r="W210" s="7" t="str">
        <x:v>形状から加工軌道を生成。ローダーは穴位置を避けるピック位置を決める</x:v>
      </x:c>
      <x:c r="X210" s="7" t="str">
        <x:v>面取り・皿もみ・バリ取り、1枚ずつ供給と加工後搬出を連携実演予定</x:v>
      </x:c>
      <x:c r="Y210" s="7" t="str">
        <x:v>公式：CADやパタン教示を不要と説明。加工条件・形状制約の設定者は未公開</x:v>
      </x:c>
      <x:c r="Z210" s="7" t="str">
        <x:v>未記載：生成軌道の干渉確認・加工許可・品質承認の手順</x:v>
      </x:c>
      <x:c r="AA210" s="7" t="str">
        <x:v>未記載：反り・二枚取り・誤認識・工具摩耗・取り残し時の扱い</x:v>
      </x:c>
      <x:c r="AB210" s="7" t="str">
        <x:v>独自3D形状認識という説明。機械学習／生成AIの利用は未確認。教示不要と未知形状無制限は同義ではない</x:v>
      </x:c>
    </x:row>
    <x:row r="211" ht="170" customHeight="1">
      <x:c r="A211" s="7" t="str">
        <x:v>AC148</x:v>
      </x:c>
      <x:c r="B211" s="20" t="str">
        <x:v>東京貿易テクノシステム株式会社</x:v>
      </x:c>
      <x:c r="C211" s="7" t="str">
        <x:v>【出展物】</x:v>
      </x:c>
      <x:c r="D211" s="7" t="str">
        <x:v>E7038</x:v>
      </x:c>
      <x:c r="E211" s="7" t="str">
        <x:v>設計・製造DX
工場運用DX
自動化</x:v>
      </x:c>
      <x:c r="F211" s="7" t="str">
        <x:v>出展説明の関連用途（個別タスクの分解は未完了）</x:v>
      </x:c>
      <x:c r="G211" s="7" t="str">
        <x:v>出展説明に記載。実装位置の個別精査はカードの方式・未確認欄を参照</x:v>
      </x:c>
      <x:c r="H211" s="7" t="str">
        <x:v>原典抜粋：❷モバイル自動計測 システム名：Absolute Arm+Cobot / ❷品質保証DX システム名：Leica Absolute Tracker、Absolute Arm、門型三次元測定機他</x:v>
      </x:c>
      <x:c r="I211" s="7" t="str">
        <x:v>個別入力の追加確認が必要</x:v>
      </x:c>
      <x:c r="J211" s="7" t="str">
        <x:v>原典抜粋：❷モバイル自動計測 システム名：Absolute Arm+Cobot / ❷品質保証DX システム名：Leica Absolute Tracker、Absolute Arm、門型三次元測定機他</x:v>
      </x:c>
      <x:c r="K211" s="7" t="str">
        <x:v>❷モバイル自動計測 システム名：Absolute Arm+Cobot / ❷品質保証DX システム名：Leica Absolute Tracker、Absolute Arm、門型三次元測定機他</x:v>
      </x:c>
      <x:c r="L211" s="7" t="str">
        <x:v>承認・例外対応・停止・復帰の境界は未確認</x:v>
      </x:c>
      <x:c r="M211" s="7" t="str">
        <x:v>2024原典抜粋：３D測定システム及び自動化システムを使ったソリューションのご提案、また 測定機、あるいは生産設備などから得られるデータを活用し、次世代のシステムインテグレータとしてお客様が革新的、継続的な生産性の向上を実現するためのソリューションをブースにてご紹介させていただきます。 AbsoluteArm（アーム式三次元測定機） Absolute Tracker（レーザートラッカー） SmartScan（カメラ式三次元測定機） AQROS-Scan（ハンディスキャナ） MatchID（ひずみ・応力測定）</x:v>
      </x:c>
      <x:c r="N211" s="7" t="str">
        <x:v>2026原典抜粋：❷モバイル自動計測 システム名：Absolute Arm+Cobot / ❷品質保証DX システム名：Leica Absolute Tracker、Absolute Arm、門型三次元測定機他</x:v>
      </x:c>
      <x:c r="O211" s="7" t="str">
        <x:v>両年原典あり・機能差未判定</x:v>
      </x:c>
      <x:c r="P211" s="7" t="str">
        <x:v>2026公式カタログ掲載・現地未確認</x:v>
      </x:c>
      <x:c r="Q211" s="7" t="str">
        <x:v>2026展示予定。既存製品・参考出展・構想等は原典で個別確認</x:v>
      </x:c>
      <x:c r="R211" s="7" t="str">
        <x:v>どの作業を自動化・支援するか、入力と判断・操作の範囲、適用条件と人の残作業、2024からの機能差、採用・受注・効果の実測を確認する。</x:v>
      </x:c>
      <x:c r="S211" s="7" t="str">
        <x:v>EEX-EXH-2026-d7b599b5d3045611
EEX-EXH-2024-5cbad6b0326d2bee</x:v>
      </x:c>
      <x:c r="T211" s="7" t="str">
        <x:v>EEX-EXH-2026-d7b599b5d3045611: https://www.jimtof.org/search/jp/ESdetails?e=q65eJorv2LU
EEX-EXH-2024-5cbad6b0326d2bee: https://www.jimtof.org/2024/search/jp/ESdetails?e=RD73EqDannI</x:v>
      </x:c>
      <x:c r="U211" s="7" t="str">
        <x:v>出展説明の関連箇所に基づく一次分類</x:v>
      </x:c>
      <x:c r="V211" s="7"/>
      <x:c r="W211" s="7"/>
      <x:c r="X211" s="7"/>
      <x:c r="Y211" s="7"/>
      <x:c r="Z211" s="7"/>
      <x:c r="AA211" s="7"/>
      <x:c r="AB211" s="7"/>
    </x:row>
    <x:row r="212" ht="170" customHeight="1">
      <x:c r="A212" s="7" t="str">
        <x:v>AC149</x:v>
      </x:c>
      <x:c r="B212" s="20" t="str">
        <x:v>株式会社東振テクニカル</x:v>
      </x:c>
      <x:c r="C212" s="7" t="str">
        <x:v>長尺研削高精度自動化システム</x:v>
      </x:c>
      <x:c r="D212" s="7" t="str">
        <x:v>E7037</x:v>
      </x:c>
      <x:c r="E212" s="7" t="str">
        <x:v>自動化</x:v>
      </x:c>
      <x:c r="F212" s="7" t="str">
        <x:v>出展説明の関連用途（個別タスクの分解は未完了）</x:v>
      </x:c>
      <x:c r="G212" s="7" t="str">
        <x:v>出展説明に記載。実装位置の個別精査はカードの方式・未確認欄を参照</x:v>
      </x:c>
      <x:c r="H212" s="7" t="str">
        <x:v>原典抜粋：長尺ワーク研削の困りごとを解決する「長尺研削高精度自動化システム」の展示ならびに、 / ●長尺研削高精度自動化システム</x:v>
      </x:c>
      <x:c r="I212" s="7" t="str">
        <x:v>個別入力の追加確認が必要</x:v>
      </x:c>
      <x:c r="J212" s="7" t="str">
        <x:v>原典抜粋：長尺ワーク研削の困りごとを解決する「長尺研削高精度自動化システム」の展示ならびに、 / ●長尺研削高精度自動化システム</x:v>
      </x:c>
      <x:c r="K212" s="7" t="str">
        <x:v>長尺ワーク研削の困りごとを解決する「長尺研削高精度自動化システム」の展示ならびに、 / ●長尺研削高精度自動化システム</x:v>
      </x:c>
      <x:c r="L212" s="7" t="str">
        <x:v>承認・例外対応・停止・復帰の境界は未確認</x:v>
      </x:c>
      <x:c r="M212" s="7" t="str">
        <x:v>2024原典抜粋：【心なし研削盤】 今回のテーマは「スルフィード研削VSインフィード研削」 加工時間だけなく人の関わる作業時間を含めたトータル評価で勝負。働き方が変化する中で、 ベアリングのローラー専門メーカーの東振精機で培った技術と東振センタレスの基本コンセプト 「トータルグラインディングシステム」でお客様のお困りごとに対し、研削に関わる全ての 技術・周辺装置含め、ご提案いたします。研削にお困りの時は、是非、改善に心を通す「Tohshin」に‼ 【ベーンポンプ】 求められているのは「静かさ」です。 人にやさしい静かな環境づくりのた</x:v>
      </x:c>
      <x:c r="N212" s="7" t="str">
        <x:v>2026原典抜粋：長尺ワーク研削の困りごとを解決する「長尺研削高精度自動化システム」の展示ならびに、 / ●長尺研削高精度自動化システム</x:v>
      </x:c>
      <x:c r="O212" s="7" t="str">
        <x:v>両年原典あり・機能差未判定</x:v>
      </x:c>
      <x:c r="P212" s="7" t="str">
        <x:v>2026公式カタログ掲載・現地未確認</x:v>
      </x:c>
      <x:c r="Q212" s="7" t="str">
        <x:v>2026展示予定。既存製品・参考出展・構想等は原典で個別確認</x:v>
      </x:c>
      <x:c r="R212" s="7" t="str">
        <x:v>どの作業を自動化・支援するか、入力と判断・操作の範囲、適用条件と人の残作業、2024からの機能差、採用・受注・効果の実測を確認する。</x:v>
      </x:c>
      <x:c r="S212" s="7" t="str">
        <x:v>EEX-EXH-2026-990d4d4c729ff139
EEX-EXH-2024-149d3b9849bdab67</x:v>
      </x:c>
      <x:c r="T212" s="7" t="str">
        <x:v>EEX-EXH-2026-990d4d4c729ff139: https://www.jimtof.org/search/jp/ESdetails?e=GFSwCXSxe9o
EEX-EXH-2024-149d3b9849bdab67: https://www.jimtof.org/2024/search/jp/ESdetails?e=B5KWBHhTvfk</x:v>
      </x:c>
      <x:c r="U212" s="7" t="str">
        <x:v>出展説明の関連箇所に基づく一次分類</x:v>
      </x:c>
      <x:c r="V212" s="7"/>
      <x:c r="W212" s="7"/>
      <x:c r="X212" s="7"/>
      <x:c r="Y212" s="7"/>
      <x:c r="Z212" s="7"/>
      <x:c r="AA212" s="7"/>
      <x:c r="AB212" s="7"/>
    </x:row>
    <x:row r="213" ht="170" customHeight="1">
      <x:c r="A213" s="7" t="str">
        <x:v>AC150</x:v>
      </x:c>
      <x:c r="B213" s="20" t="str">
        <x:v>株式会社東陽</x:v>
      </x:c>
      <x:c r="C213" s="7" t="str">
        <x:v>西研｜深穴加工工具「クレアボーラー」</x:v>
      </x:c>
      <x:c r="D213" s="7" t="str">
        <x:v>S2016</x:v>
      </x:c>
      <x:c r="E213" s="7" t="str">
        <x:v>自動化</x:v>
      </x:c>
      <x:c r="F213" s="7" t="str">
        <x:v>出展説明の関連用途（個別タスクの分解は未完了）</x:v>
      </x:c>
      <x:c r="G213" s="7" t="str">
        <x:v>出展説明に記載。実装位置の個別精査はカードの方式・未確認欄を参照</x:v>
      </x:c>
      <x:c r="H213" s="7" t="str">
        <x:v>原典抜粋：深穴加工の品質向上から自動化、液管理、環境改善まで、工場改善につながる８つのテーマを展示。 / 自動化・省人化・内製化を支援</x:v>
      </x:c>
      <x:c r="I213" s="7" t="str">
        <x:v>個別入力の追加確認が必要</x:v>
      </x:c>
      <x:c r="J213" s="7" t="str">
        <x:v>原典抜粋：深穴加工の品質向上から自動化、液管理、環境改善まで、工場改善につながる８つのテーマを展示。 / 自動化・省人化・内製化を支援</x:v>
      </x:c>
      <x:c r="K213" s="7" t="str">
        <x:v>深穴加工の品質向上から自動化、液管理、環境改善まで、工場改善につながる８つのテーマを展示。 / 自動化・省人化・内製化を支援</x:v>
      </x:c>
      <x:c r="L213" s="7" t="str">
        <x:v>承認・例外対応・停止・復帰の境界は未確認</x:v>
      </x:c>
      <x:c r="M213" s="7" t="str">
        <x:v>2024原典抜粋：カーボンニュートラル関連と自動化製品を出展します。 花王製の新しい金属部品洗浄剤「ステイブライト」を展示します。洗浄とコーティングを同時に行うことで、洗浄工程のCO2削減を実現します。 CO2吸収・油脂洗浄・除菌・消臭が可能な多機能水溶液、セブンコーポレーションの「SEA'S7」を展示します。 グーテンベルク社製の「高速×高精度×高強度」現場を変革する3Ｄプリンターを展示します。 EPSON ROBOTSより手作業工程を低コストで自動化を実現するロボット＋カメラを展示いたします。 ■花王株式会社 防錆洗浄剤 「ステ</x:v>
      </x:c>
      <x:c r="N213" s="7" t="str">
        <x:v>2026原典抜粋：深穴加工の品質向上から自動化、液管理、環境改善まで、工場改善につながる８つのテーマを展示。 / 自動化・省人化・内製化を支援</x:v>
      </x:c>
      <x:c r="O213" s="7" t="str">
        <x:v>両年原典あり・機能差未判定</x:v>
      </x:c>
      <x:c r="P213" s="7" t="str">
        <x:v>2026公式カタログ掲載・現地未確認</x:v>
      </x:c>
      <x:c r="Q213" s="7" t="str">
        <x:v>2026展示予定。既存製品・参考出展・構想等は原典で個別確認</x:v>
      </x:c>
      <x:c r="R213" s="7" t="str">
        <x:v>どの作業を自動化・支援するか、入力と判断・操作の範囲、適用条件と人の残作業、2024からの機能差、採用・受注・効果の実測を確認する。</x:v>
      </x:c>
      <x:c r="S213" s="7" t="str">
        <x:v>EEX-EXH-2026-3a8078c51f45a046
EEX-EXH-2024-ef070b6914636897</x:v>
      </x:c>
      <x:c r="T213" s="7" t="str">
        <x:v>EEX-EXH-2026-3a8078c51f45a046: https://www.jimtof.org/search/jp/ESdetails?e=E_004g97THo
EEX-EXH-2024-ef070b6914636897: https://www.jimtof.org/2024/search/jp/ESdetails?e=lVCjvOcCBOA</x:v>
      </x:c>
      <x:c r="U213" s="7" t="str">
        <x:v>出展説明の関連箇所に基づく一次分類</x:v>
      </x:c>
      <x:c r="V213" s="7"/>
      <x:c r="W213" s="7"/>
      <x:c r="X213" s="7"/>
      <x:c r="Y213" s="7"/>
      <x:c r="Z213" s="7"/>
      <x:c r="AA213" s="7"/>
      <x:c r="AB213" s="7"/>
    </x:row>
    <x:row r="214" ht="170" customHeight="1">
      <x:c r="A214" s="7" t="str">
        <x:v>AC151</x:v>
      </x:c>
      <x:c r="B214" s="20" t="str">
        <x:v>東洋精機工業株式会社</x:v>
      </x:c>
      <x:c r="C214" s="7" t="str">
        <x:v>中小企業向け無人化自動システム</x:v>
      </x:c>
      <x:c r="D214" s="7" t="str">
        <x:v>E3019</x:v>
      </x:c>
      <x:c r="E214" s="7" t="str">
        <x:v>自動化</x:v>
      </x:c>
      <x:c r="F214" s="7" t="str">
        <x:v>出展説明の関連用途（個別タスクの分解は未完了）</x:v>
      </x:c>
      <x:c r="G214" s="7" t="str">
        <x:v>出展説明に記載。実装位置の個別精査はカードの方式・未確認欄を参照</x:v>
      </x:c>
      <x:c r="H214" s="7" t="str">
        <x:v>原典抜粋：中小企業をターゲットにした、自動段取り替えによる多品種少量生産の無人運転システムをメインに / NCインデックスによる多面加工治具を交換式にして2種類のワークをロボットで段取り替え / 自社製の測定器と洗浄機で加工後のワーク洗浄から精度測定まで自動で行います。 / 2個同時加工ができ、横形40番タイプのTHMC420は自動搬送に対応します。 / 弊社は加工機だけでなく、付帯装置も含めたセットアップメーカーとして自動化・省力化の提案を /</x:v>
      </x:c>
      <x:c r="I214" s="7" t="str">
        <x:v>個別入力の追加確認が必要</x:v>
      </x:c>
      <x:c r="J214" s="7" t="str">
        <x:v>原典抜粋：中小企業をターゲットにした、自動段取り替えによる多品種少量生産の無人運転システムをメインに / NCインデックスによる多面加工治具を交換式にして2種類のワークをロボットで段取り替え / 自社製の測定器と洗浄機で加工後のワーク洗浄から精度測定まで自動で行います。 / 2個同時加工ができ、横形40番タイプのTHMC420は自動搬送に対応します。 / 弊社は加工機だけでなく、付帯装置も含めたセットアップメーカーとして自動化・省力化の提案を /</x:v>
      </x:c>
      <x:c r="K214" s="7" t="str">
        <x:v>中小企業をターゲットにした、自動段取り替えによる多品種少量生産の無人運転システムをメインに / NCインデックスによる多面加工治具を交換式にして2種類のワークをロボットで段取り替え / 自社製の測定器と洗浄機で加工後のワーク洗浄から精度測定まで自動で行います。 / 2個同時加工ができ、横形40番タイプのTHMC420は自動搬送に対応します。 / 弊社は加工機だけでなく、付帯装置も含めたセットアップメーカーとして自動化・省力化の提案を /</x:v>
      </x:c>
      <x:c r="L214" s="7" t="str">
        <x:v>承認・例外対応・停止・復帰の境界は未確認</x:v>
      </x:c>
      <x:c r="M214" s="7" t="str">
        <x:v>2024原典抜粋：TVT332をベースに、インバータケースやバッテリケースなどの中型アルミワークに特化した機械を展示する。TVT332Sのテーブル積載重量を500kgにした機械には2軸インデックスを搭載して多面加工のデモを、Y軸を500mmストロークに拡大したTVT332には協働ロボットを付けて自動無人運転のデモを、X軸を1000mmストロークに拡大したTVT332は30本マガジンを両側に搭載した60本仕様としてコンセプト展示をする。#40横型マシニングセンタTHMC420はロボットによる自動無人運転システムを提案する。2軸マシニン</x:v>
      </x:c>
      <x:c r="N214" s="7" t="str">
        <x:v>2026原典抜粋：中小企業をターゲットにした、自動段取り替えによる多品種少量生産の無人運転システムをメインに / NCインデックスによる多面加工治具を交換式にして2種類のワークをロボットで段取り替え / 自社製の測定器と洗浄機で加工後のワーク洗浄から精度測定まで自動で行います。 / 2個同時加工ができ、横形40番タイプのTHMC420は自動搬送に対応します。 / 弊社は加工機だけでなく、付帯装置も含めたセットアップメーカーとして自動化・省力化の提案を /</x:v>
      </x:c>
      <x:c r="O214" s="7" t="str">
        <x:v>両年原典あり・機能差未判定</x:v>
      </x:c>
      <x:c r="P214" s="7" t="str">
        <x:v>2026公式カタログ掲載・現地未確認</x:v>
      </x:c>
      <x:c r="Q214" s="7" t="str">
        <x:v>2026展示予定。既存製品・参考出展・構想等は原典で個別確認</x:v>
      </x:c>
      <x:c r="R214" s="7" t="str">
        <x:v>どの作業を自動化・支援するか、入力と判断・操作の範囲、適用条件と人の残作業、2024からの機能差、採用・受注・効果の実測を確認する。</x:v>
      </x:c>
      <x:c r="S214" s="7" t="str">
        <x:v>EEX-EXH-2026-0edd272934baf18c
EEX-EXH-2024-b813d93a11901422</x:v>
      </x:c>
      <x:c r="T214" s="7" t="str">
        <x:v>EEX-EXH-2026-0edd272934baf18c: https://www.jimtof.org/search/jp/ESdetails?e=4IGD6jExai0
EEX-EXH-2024-b813d93a11901422: https://www.jimtof.org/2024/search/jp/ESdetails?e=4gAS80Eu958</x:v>
      </x:c>
      <x:c r="U214" s="7" t="str">
        <x:v>出展説明の関連箇所に基づく一次分類</x:v>
      </x:c>
      <x:c r="V214" s="7"/>
      <x:c r="W214" s="7"/>
      <x:c r="X214" s="7"/>
      <x:c r="Y214" s="7"/>
      <x:c r="Z214" s="7"/>
      <x:c r="AA214" s="7"/>
      <x:c r="AB214" s="7"/>
    </x:row>
    <x:row r="215" ht="170" customHeight="1">
      <x:c r="A215" s="7" t="str">
        <x:v>AC152</x:v>
      </x:c>
      <x:c r="B215" s="20" t="str">
        <x:v>トーチョーマーキングシステムズ株式会社</x:v>
      </x:c>
      <x:c r="C215" s="7" t="str">
        <x:v>電磁式ドット刻印機「MarkinBOX MB3シリーズ」、ポータブル刻印機「Patmark2」、レーザーマーカー「HubLASER」など、最新のマーキ</x:v>
      </x:c>
      <x:c r="D215" s="7" t="str">
        <x:v>W1036</x:v>
      </x:c>
      <x:c r="E215" s="7" t="str">
        <x:v>自動化</x:v>
      </x:c>
      <x:c r="F215" s="7" t="str">
        <x:v>出展説明の関連用途（個別タスクの分解は未完了）</x:v>
      </x:c>
      <x:c r="G215" s="7" t="str">
        <x:v>出展説明に記載。実装位置の個別精査はカードの方式・未確認欄を参照</x:v>
      </x:c>
      <x:c r="H215" s="7" t="str">
        <x:v>原典抜粋：刻印の自動化、省人化、品質向上をご検討の方は、ぜひ会場で実際の性能をご体感ください。 / 実機によるマーキングデモンストレーションを通じて、高品質な刻印、省人化・自動化、トレーサビリティに対応したマーキングソリューションをご紹介します。</x:v>
      </x:c>
      <x:c r="I215" s="7" t="str">
        <x:v>個別入力の追加確認が必要</x:v>
      </x:c>
      <x:c r="J215" s="7" t="str">
        <x:v>原典抜粋：刻印の自動化、省人化、品質向上をご検討の方は、ぜひ会場で実際の性能をご体感ください。 / 実機によるマーキングデモンストレーションを通じて、高品質な刻印、省人化・自動化、トレーサビリティに対応したマーキングソリューションをご紹介します。</x:v>
      </x:c>
      <x:c r="K215" s="7" t="str">
        <x:v>刻印の自動化、省人化、品質向上をご検討の方は、ぜひ会場で実際の性能をご体感ください。 / 実機によるマーキングデモンストレーションを通じて、高品質な刻印、省人化・自動化、トレーサビリティに対応したマーキングソリューションをご紹介します。</x:v>
      </x:c>
      <x:c r="L215" s="7" t="str">
        <x:v>承認・例外対応・停止・復帰の境界は未確認</x:v>
      </x:c>
      <x:c r="M215" s="7" t="str">
        <x:v>2024原典抜粋：当社は、金属などに製造番号やＱＲコードをマーキングする機械の 開発、製造をしている日本で数少ない刻印機メーカーです。自社ブランドのドットマーカーやレーザーマーカーを、自動車や航空機、 各種機械部品などの幅広い産業でご使用いただいています。 自社ブランドのMarkinBOXシリーズに今回は待望の後継機が誕生し、さらに高度で使いやすく仕上がった新製品を発表いたします。 コードレスドットマーカーPatmarkシリーズにも新製品が登場し、今までにないスタイルでマーキング作業が行えます。 レーザーマーカーも展示しており実際の</x:v>
      </x:c>
      <x:c r="N215" s="7" t="str">
        <x:v>2026原典抜粋：刻印の自動化、省人化、品質向上をご検討の方は、ぜひ会場で実際の性能をご体感ください。 / 実機によるマーキングデモンストレーションを通じて、高品質な刻印、省人化・自動化、トレーサビリティに対応したマーキングソリューションをご紹介します。</x:v>
      </x:c>
      <x:c r="O215" s="7" t="str">
        <x:v>両年原典あり・機能差未判定</x:v>
      </x:c>
      <x:c r="P215" s="7" t="str">
        <x:v>2026公式カタログ掲載・現地未確認</x:v>
      </x:c>
      <x:c r="Q215" s="7" t="str">
        <x:v>2026展示予定。既存製品・参考出展・構想等は原典で個別確認</x:v>
      </x:c>
      <x:c r="R215" s="7" t="str">
        <x:v>どの作業を自動化・支援するか、入力と判断・操作の範囲、適用条件と人の残作業、2024からの機能差、採用・受注・効果の実測を確認する。</x:v>
      </x:c>
      <x:c r="S215" s="7" t="str">
        <x:v>EEX-EXH-2026-f38414a11a6afb7b
EEX-EXH-2024-a495394be39aa616</x:v>
      </x:c>
      <x:c r="T215" s="7" t="str">
        <x:v>EEX-EXH-2026-f38414a11a6afb7b: https://www.jimtof.org/search/jp/ESdetails?e=QF9JlOzN9Gk
EEX-EXH-2024-a495394be39aa616: https://www.jimtof.org/2024/search/jp/ESdetails?e=w3OCd-Yb-pM</x:v>
      </x:c>
      <x:c r="U215" s="7" t="str">
        <x:v>出展説明の関連箇所に基づく一次分類</x:v>
      </x:c>
      <x:c r="V215" s="7"/>
      <x:c r="W215" s="7"/>
      <x:c r="X215" s="7"/>
      <x:c r="Y215" s="7"/>
      <x:c r="Z215" s="7"/>
      <x:c r="AA215" s="7"/>
      <x:c r="AB215" s="7"/>
    </x:row>
    <x:row r="216" ht="170" customHeight="1">
      <x:c r="A216" s="7" t="str">
        <x:v>AC153</x:v>
      </x:c>
      <x:c r="B216" s="20" t="str">
        <x:v>トーヨーエイテック株式会社</x:v>
      </x:c>
      <x:c r="C216" s="7" t="str">
        <x:v>横形内面研削盤 THG-10Cd</x:v>
      </x:c>
      <x:c r="D216" s="7" t="str">
        <x:v>E7045</x:v>
      </x:c>
      <x:c r="E216" s="7" t="str">
        <x:v>工場運用DX
自動化</x:v>
      </x:c>
      <x:c r="F216" s="7" t="str">
        <x:v>出展説明の関連用途（個別タスクの分解は未完了）</x:v>
      </x:c>
      <x:c r="G216" s="7" t="str">
        <x:v>出展説明に記載。実装位置の個別精査はカードの方式・未確認欄を参照</x:v>
      </x:c>
      <x:c r="H216" s="7" t="str">
        <x:v>原典抜粋：加工時間や段替え時間の短縮、設備の安定稼働を実現する最新の研削盤と状態監視システムを展示します。 / ・自動芯出しシステム（TACS）によりワーク専用部品の製作・管理負担を軽減 / ■状態監視システム TOYO Smart Doctor / 機械状態を常時監視し、設備の安定稼働に貢献します。 / ■状態監視システム TOYO Smart Doctor</x:v>
      </x:c>
      <x:c r="I216" s="7" t="str">
        <x:v>個別入力の追加確認が必要</x:v>
      </x:c>
      <x:c r="J216" s="7" t="str">
        <x:v>原典抜粋：加工時間や段替え時間の短縮、設備の安定稼働を実現する最新の研削盤と状態監視システムを展示します。 / ・自動芯出しシステム（TACS）によりワーク専用部品の製作・管理負担を軽減 / ■状態監視システム TOYO Smart Doctor / 機械状態を常時監視し、設備の安定稼働に貢献します。 / ■状態監視システム TOYO Smart Doctor</x:v>
      </x:c>
      <x:c r="K216" s="7" t="str">
        <x:v>加工時間や段替え時間の短縮、設備の安定稼働を実現する最新の研削盤と状態監視システムを展示します。 / ・自動芯出しシステム（TACS）によりワーク専用部品の製作・管理負担を軽減 / ■状態監視システム TOYO Smart Doctor / 機械状態を常時監視し、設備の安定稼働に貢献します。 / ■状態監視システム TOYO Smart Doctor</x:v>
      </x:c>
      <x:c r="L216" s="7" t="str">
        <x:v>承認・例外対応・停止・復帰の境界は未確認</x:v>
      </x:c>
      <x:c r="M216" s="7" t="str">
        <x:v>2024原典抜粋：JIMTOF2024では、横形内面研削盤と歯車研削盤の最新モデルを出展します。 高精度・高生産性の実現、自動化・省人化や作業性・操作性の向上、脱炭素への対応など、 製造業の課題に対するソリューションを提案いたします。 ■横形内面研削盤 THG-35C 工作機械主軸等の長尺工作物に対応するチャックタイプ横形内面研削盤です。 現行機(T-1254N)を発展させ、安定加工を実現する新素材の採用と、 芯出し作業の自動化を盛り込み、「高精度加工における熟練作業レス化」を提案いたします。 ① 加工時の温度変化を最小化、安定加工</x:v>
      </x:c>
      <x:c r="N216" s="7" t="str">
        <x:v>2026原典抜粋：加工時間や段替え時間の短縮、設備の安定稼働を実現する最新の研削盤と状態監視システムを展示します。 / ・自動芯出しシステム（TACS）によりワーク専用部品の製作・管理負担を軽減 / ■状態監視システム TOYO Smart Doctor / 機械状態を常時監視し、設備の安定稼働に貢献します。 / ■状態監視システム TOYO Smart Doctor</x:v>
      </x:c>
      <x:c r="O216" s="7" t="str">
        <x:v>両年原典あり・機能差未判定</x:v>
      </x:c>
      <x:c r="P216" s="7" t="str">
        <x:v>2026公式カタログ掲載・現地未確認</x:v>
      </x:c>
      <x:c r="Q216" s="7" t="str">
        <x:v>2026展示予定。既存製品・参考出展・構想等は原典で個別確認</x:v>
      </x:c>
      <x:c r="R216" s="7" t="str">
        <x:v>どの作業を自動化・支援するか、入力と判断・操作の範囲、適用条件と人の残作業、2024からの機能差、採用・受注・効果の実測を確認する。</x:v>
      </x:c>
      <x:c r="S216" s="7" t="str">
        <x:v>EEX-EXH-2026-bcc9173d97e5998d
EEX-EXH-2024-77256303445bd026</x:v>
      </x:c>
      <x:c r="T216" s="7" t="str">
        <x:v>EEX-EXH-2026-bcc9173d97e5998d: https://www.jimtof.org/search/jp/ESdetails?e=Rs5bSq_a5Nk
EEX-EXH-2024-77256303445bd026: https://www.jimtof.org/2024/search/jp/ESdetails?e=5ypc5wYKnUk</x:v>
      </x:c>
      <x:c r="U216" s="7" t="str">
        <x:v>出展説明の関連箇所に基づく一次分類</x:v>
      </x:c>
      <x:c r="V216" s="7"/>
      <x:c r="W216" s="7"/>
      <x:c r="X216" s="7"/>
      <x:c r="Y216" s="7"/>
      <x:c r="Z216" s="7"/>
      <x:c r="AA216" s="7"/>
      <x:c r="AB216" s="7"/>
    </x:row>
    <x:row r="217" ht="170" customHeight="1">
      <x:c r="A217" s="7" t="str">
        <x:v>AC154</x:v>
      </x:c>
      <x:c r="B217" s="20" t="str">
        <x:v>株式会社トミタ</x:v>
      </x:c>
      <x:c r="C217" s="7" t="str">
        <x:v>ミツテック（株）製外観検査装置　高速で外観検査を行いNG品流出を防ぎます。</x:v>
      </x:c>
      <x:c r="D217" s="7" t="str">
        <x:v>W2060</x:v>
      </x:c>
      <x:c r="E217" s="7" t="str">
        <x:v>工場運用DX
自動化</x:v>
      </x:c>
      <x:c r="F217" s="7" t="str">
        <x:v>出展説明の関連用途（個別タスクの分解は未完了）</x:v>
      </x:c>
      <x:c r="G217" s="7" t="str">
        <x:v>出展説明に記載。実装位置の個別精査はカードの方式・未確認欄を参照</x:v>
      </x:c>
      <x:c r="H217" s="7" t="str">
        <x:v>原典抜粋：国産の外観検査装置及びマルチ組立て装置、ドイツ製の輸入機器のAI監視カメラ、世界初のフルカーボンスピンドル、揺動ジェットノズル、目視検査支援ソフト、超高速・超大型の五面加工機、グループ会社の新日本産業及びフィールドの会社概要をご紹介。 / ・ドイツZimmermann社製超高速、超大型の五面化工機、自動車開発で使用されるモデリング加工を / ・ドイツFDX Fluid Dynamix社製揺動ジェットノズル.　特殊構造により可動部品を使用</x:v>
      </x:c>
      <x:c r="I217" s="7" t="str">
        <x:v>個別入力の追加確認が必要</x:v>
      </x:c>
      <x:c r="J217" s="7" t="str">
        <x:v>原典抜粋：国産の外観検査装置及びマルチ組立て装置、ドイツ製の輸入機器のAI監視カメラ、世界初のフルカーボンスピンドル、揺動ジェットノズル、目視検査支援ソフト、超高速・超大型の五面加工機、グループ会社の新日本産業及びフィールドの会社概要をご紹介。 / ・ドイツZimmermann社製超高速、超大型の五面化工機、自動車開発で使用されるモデリング加工を / ・ドイツFDX Fluid Dynamix社製揺動ジェットノズル.　特殊構造により可動部品を使用</x:v>
      </x:c>
      <x:c r="K217" s="7" t="str">
        <x:v>国産の外観検査装置及びマルチ組立て装置、ドイツ製の輸入機器のAI監視カメラ、世界初のフルカーボンスピンドル、揺動ジェットノズル、目視検査支援ソフト、超高速・超大型の五面加工機、グループ会社の新日本産業及びフィールドの会社概要をご紹介。 / ・ドイツZimmermann社製超高速、超大型の五面化工機、自動車開発で使用されるモデリング加工を / ・ドイツFDX Fluid Dynamix社製揺動ジェットノズル.　特殊構造により可動部品を使用</x:v>
      </x:c>
      <x:c r="L217" s="7" t="str">
        <x:v>承認・例外対応・停止・復帰の境界は未確認</x:v>
      </x:c>
      <x:c r="M217" s="7" t="str">
        <x:v>2024原典抜粋：生産ラインに合った商品を出展。多品種対応高速外観検査装置、高速回転仕様立型NCフライス盤、自動車開発モデリングに使用される五面加工機、工具破損検出器、揺動ジェットノズル。 ・エツキ社製立型CNCフライス盤（ファイバーレーザーユニット複合機）MS-VNC3 小型フライス盤として世界最高クラスの主軸回転速度（20000回転）を実現し、微細加工を可能にした。 ・ミツテック社製多品種に対応したミツテック製高速外観検査装置 MAR3500 Motion技術とvision技術を融合させ、さまざまの検査に対応しました。 ・ドイツ</x:v>
      </x:c>
      <x:c r="N217" s="7" t="str">
        <x:v>2026原典抜粋：国産の外観検査装置及びマルチ組立て装置、ドイツ製の輸入機器のAI監視カメラ、世界初のフルカーボンスピンドル、揺動ジェットノズル、目視検査支援ソフト、超高速・超大型の五面加工機、グループ会社の新日本産業及びフィールドの会社概要をご紹介。 / ・ドイツZimmermann社製超高速、超大型の五面化工機、自動車開発で使用されるモデリング加工を / ・ドイツFDX Fluid Dynamix社製揺動ジェットノズル.　特殊構造により可動部品を使用</x:v>
      </x:c>
      <x:c r="O217" s="7" t="str">
        <x:v>両年原典あり・機能差未判定</x:v>
      </x:c>
      <x:c r="P217" s="7" t="str">
        <x:v>2026公式カタログ掲載・現地未確認</x:v>
      </x:c>
      <x:c r="Q217" s="7" t="str">
        <x:v>2026展示予定。既存製品・参考出展・構想等は原典で個別確認</x:v>
      </x:c>
      <x:c r="R217" s="7" t="str">
        <x:v>どの作業を自動化・支援するか、入力と判断・操作の範囲、適用条件と人の残作業、2024からの機能差、採用・受注・効果の実測を確認する。</x:v>
      </x:c>
      <x:c r="S217" s="7" t="str">
        <x:v>EEX-EXH-2026-20a8d3222020ce04
EEX-EXH-2024-3811d8dfe02cb32b</x:v>
      </x:c>
      <x:c r="T217" s="7" t="str">
        <x:v>EEX-EXH-2026-20a8d3222020ce04: https://www.jimtof.org/search/jp/ESdetails?e=C6Hx1wzP4fA
EEX-EXH-2024-3811d8dfe02cb32b: https://www.jimtof.org/2024/search/jp/ESdetails?e=vPn4LnKzWJI</x:v>
      </x:c>
      <x:c r="U217" s="7" t="str">
        <x:v>出展説明の関連箇所に基づく一次分類</x:v>
      </x:c>
      <x:c r="V217" s="7"/>
      <x:c r="W217" s="7"/>
      <x:c r="X217" s="7"/>
      <x:c r="Y217" s="7"/>
      <x:c r="Z217" s="7"/>
      <x:c r="AA217" s="7"/>
      <x:c r="AB217" s="7"/>
    </x:row>
    <x:row r="218" ht="170" customHeight="1">
      <x:c r="A218" s="7" t="str">
        <x:v>AC155</x:v>
      </x:c>
      <x:c r="B218" s="20" t="str">
        <x:v>トライオプティクス・ジャパン株式会社</x:v>
      </x:c>
      <x:c r="C218" s="7" t="str">
        <x:v>出展物① 電子式オートコリメータ TriAngle（角度・真直度・平行度測定）</x:v>
      </x:c>
      <x:c r="D218" s="7" t="str">
        <x:v>S3080</x:v>
      </x:c>
      <x:c r="E218" s="7" t="str">
        <x:v>自動化</x:v>
      </x:c>
      <x:c r="F218" s="7" t="str">
        <x:v>出展説明の関連用途（個別タスクの分解は未完了）</x:v>
      </x:c>
      <x:c r="G218" s="7" t="str">
        <x:v>出展説明に記載。実装位置の個別精査はカードの方式・未確認欄を参照</x:v>
      </x:c>
      <x:c r="H218" s="7" t="str">
        <x:v>原典抜粋：『精密加工を支える高精度光学測定』 / 近年、半導体製造装置、精密機械、光学部品分野では、製品の高性能化に伴い、品質保証に求められる測定精度がますます高まっています。 / 一方で、生産現場では検査工程の効率化や省人化への対応も重要な課題となっています。 / 当社ブースでは、「高精度測定による品質向上と生産性向上」をテーマに、実機展示を通じて測定ソリューションをご紹介します。 / 測定精度の向上、測定時間の短縮、検査結果の再現性向上など、</x:v>
      </x:c>
      <x:c r="I218" s="7" t="str">
        <x:v>個別入力の追加確認が必要</x:v>
      </x:c>
      <x:c r="J218" s="7" t="str">
        <x:v>原典抜粋：『精密加工を支える高精度光学測定』 / 近年、半導体製造装置、精密機械、光学部品分野では、製品の高性能化に伴い、品質保証に求められる測定精度がますます高まっています。 / 一方で、生産現場では検査工程の効率化や省人化への対応も重要な課題となっています。 / 当社ブースでは、「高精度測定による品質向上と生産性向上」をテーマに、実機展示を通じて測定ソリューションをご紹介します。 / 測定精度の向上、測定時間の短縮、検査結果の再現性向上など、</x:v>
      </x:c>
      <x:c r="K218" s="7" t="str">
        <x:v>『精密加工を支える高精度光学測定』 / 近年、半導体製造装置、精密機械、光学部品分野では、製品の高性能化に伴い、品質保証に求められる測定精度がますます高まっています。 / 一方で、生産現場では検査工程の効率化や省人化への対応も重要な課題となっています。 / 当社ブースでは、「高精度測定による品質向上と生産性向上」をテーマに、実機展示を通じて測定ソリューションをご紹介します。 / 測定精度の向上、測定時間の短縮、検査結果の再現性向上など、</x:v>
      </x:c>
      <x:c r="L218" s="7" t="str">
        <x:v>承認・例外対応・停止・復帰の境界は未確認</x:v>
      </x:c>
      <x:c r="M218" s="7" t="str">
        <x:v>2024原典抜粋：当社は、光学業界にてディファクトスタンダードとなっているTRIOPTICS製光学測定機、調芯機、加工機等の設計から製造、販売及びサポートをしております。 工作機械などメカニカルエンジニアリング分野でも、オートコリメータや干渉計などの高精度かつ非接触の光学測定機が多く使用されており、今回の展示会でも、実機を出展させていただきます。 また、長年の光学分野での経験と当社のTRIOPTICS設備を活かし高精度なレンズシステムの設計～制作やユーザの要望に沿った完全カスタムの特注測定機の制作、様々な産業分野に使われている光学機</x:v>
      </x:c>
      <x:c r="N218" s="7" t="str">
        <x:v>2026原典抜粋：『精密加工を支える高精度光学測定』 / 近年、半導体製造装置、精密機械、光学部品分野では、製品の高性能化に伴い、品質保証に求められる測定精度がますます高まっています。 / 一方で、生産現場では検査工程の効率化や省人化への対応も重要な課題となっています。 / 当社ブースでは、「高精度測定による品質向上と生産性向上」をテーマに、実機展示を通じて測定ソリューションをご紹介します。 / 測定精度の向上、測定時間の短縮、検査結果の再現性向上など、</x:v>
      </x:c>
      <x:c r="O218" s="7" t="str">
        <x:v>両年原典あり・機能差未判定</x:v>
      </x:c>
      <x:c r="P218" s="7" t="str">
        <x:v>2026公式カタログ掲載・現地未確認</x:v>
      </x:c>
      <x:c r="Q218" s="7" t="str">
        <x:v>2026展示予定。既存製品・参考出展・構想等は原典で個別確認</x:v>
      </x:c>
      <x:c r="R218" s="7" t="str">
        <x:v>どの作業を自動化・支援するか、入力と判断・操作の範囲、適用条件と人の残作業、2024からの機能差、採用・受注・効果の実測を確認する。</x:v>
      </x:c>
      <x:c r="S218" s="7" t="str">
        <x:v>EEX-EXH-2026-7d4cf088451b04c9
EEX-EXH-2024-32f3e2af7211e3f5</x:v>
      </x:c>
      <x:c r="T218" s="7" t="str">
        <x:v>EEX-EXH-2026-7d4cf088451b04c9: https://www.jimtof.org/search/jp/ESdetails?e=lV077Duzq6g
EEX-EXH-2024-32f3e2af7211e3f5: https://www.jimtof.org/2024/search/jp/ESdetails?e=IAtipprWAO0</x:v>
      </x:c>
      <x:c r="U218" s="7" t="str">
        <x:v>出展説明の関連箇所に基づく一次分類</x:v>
      </x:c>
      <x:c r="V218" s="7"/>
      <x:c r="W218" s="7"/>
      <x:c r="X218" s="7"/>
      <x:c r="Y218" s="7"/>
      <x:c r="Z218" s="7"/>
      <x:c r="AA218" s="7"/>
      <x:c r="AB218" s="7"/>
    </x:row>
    <x:row r="219" ht="170" customHeight="1">
      <x:c r="A219" s="7" t="str">
        <x:v>AC156</x:v>
      </x:c>
      <x:c r="B219" s="20" t="str">
        <x:v>トルンプ株式会社</x:v>
      </x:c>
      <x:c r="C219" s="7" t="str">
        <x:v>開先加工サンプル展示：2Dレーザ加工機「TruLaser3000シリーズ」</x:v>
      </x:c>
      <x:c r="D219" s="7" t="str">
        <x:v>E1044</x:v>
      </x:c>
      <x:c r="E219" s="7" t="str">
        <x:v>工場運用DX
自動化</x:v>
      </x:c>
      <x:c r="F219" s="7" t="str">
        <x:v>出展説明の関連用途（個別タスクの分解は未完了）</x:v>
      </x:c>
      <x:c r="G219" s="7" t="str">
        <x:v>出展説明に記載。実装位置の個別精査はカードの方式・未確認欄を参照</x:v>
      </x:c>
      <x:c r="H219" s="7" t="str">
        <x:v>原典抜粋：「生産現場の自動化をかなえるトルンプの板金加工技術とソリューション」 / 【注目２】スマートファクトリーソリューション：現場のボトルネックを「DX」で突破する / 人手不足や多品種少量生産に対応するための課題を、トルンプの機械・ソフトウェア・自動化技術 / をつなぐワークフロー『Oseon』『Trutops Boost』がDXで解決。</x:v>
      </x:c>
      <x:c r="I219" s="7" t="str">
        <x:v>個別入力の追加確認が必要</x:v>
      </x:c>
      <x:c r="J219" s="7" t="str">
        <x:v>原典抜粋：「生産現場の自動化をかなえるトルンプの板金加工技術とソリューション」 / 【注目２】スマートファクトリーソリューション：現場のボトルネックを「DX」で突破する / 人手不足や多品種少量生産に対応するための課題を、トルンプの機械・ソフトウェア・自動化技術 / をつなぐワークフロー『Oseon』『Trutops Boost』がDXで解決。</x:v>
      </x:c>
      <x:c r="K219" s="7" t="str">
        <x:v>「生産現場の自動化をかなえるトルンプの板金加工技術とソリューション」 / 【注目２】スマートファクトリーソリューション：現場のボトルネックを「DX」で突破する / 人手不足や多品種少量生産に対応するための課題を、トルンプの機械・ソフトウェア・自動化技術 / をつなぐワークフロー『Oseon』『Trutops Boost』がDXで解決。</x:v>
      </x:c>
      <x:c r="L219" s="7" t="str">
        <x:v>承認・例外対応・停止・復帰の境界は未確認</x:v>
      </x:c>
      <x:c r="M219" s="7" t="str">
        <x:v>2024原典抜粋： </x:v>
      </x:c>
      <x:c r="N219" s="7" t="str">
        <x:v>2026原典抜粋：「生産現場の自動化をかなえるトルンプの板金加工技術とソリューション」 / 【注目２】スマートファクトリーソリューション：現場のボトルネックを「DX」で突破する / 人手不足や多品種少量生産に対応するための課題を、トルンプの機械・ソフトウェア・自動化技術 / をつなぐワークフロー『Oseon』『Trutops Boost』がDXで解決。</x:v>
      </x:c>
      <x:c r="O219" s="7" t="str">
        <x:v>両年原典あり・機能差未判定</x:v>
      </x:c>
      <x:c r="P219" s="7" t="str">
        <x:v>2026公式カタログ掲載・現地未確認</x:v>
      </x:c>
      <x:c r="Q219" s="7" t="str">
        <x:v>2026展示予定。既存製品・参考出展・構想等は原典で個別確認</x:v>
      </x:c>
      <x:c r="R219" s="7" t="str">
        <x:v>どの作業を自動化・支援するか、入力と判断・操作の範囲、適用条件と人の残作業、2024からの機能差、採用・受注・効果の実測を確認する。</x:v>
      </x:c>
      <x:c r="S219" s="7" t="str">
        <x:v>EEX-EXH-2026-e520f1cac56a6424
EEX-EXH-2024-d54393fabbd58a8d</x:v>
      </x:c>
      <x:c r="T219" s="7" t="str">
        <x:v>EEX-EXH-2026-e520f1cac56a6424: https://www.jimtof.org/search/jp/ESdetails?e=P89ltew0qg0
EEX-EXH-2024-d54393fabbd58a8d: https://www.jimtof.org/2024/search/jp/ESdetails?e=4EKORtm-PKw</x:v>
      </x:c>
      <x:c r="U219" s="7" t="str">
        <x:v>出展説明の関連箇所に基づく一次分類</x:v>
      </x:c>
      <x:c r="V219" s="7"/>
      <x:c r="W219" s="7"/>
      <x:c r="X219" s="7"/>
      <x:c r="Y219" s="7"/>
      <x:c r="Z219" s="7"/>
      <x:c r="AA219" s="7"/>
      <x:c r="AB219" s="7"/>
    </x:row>
    <x:row r="220" ht="170" customHeight="1">
      <x:c r="A220" s="7" t="str">
        <x:v>AC157</x:v>
      </x:c>
      <x:c r="B220" s="20" t="str">
        <x:v>株式会社ナベヤ</x:v>
      </x:c>
      <x:c r="C220" s="7" t="str">
        <x:v>自動化対応パレットジグ・エアーマシンバイス・ナットランナークランプ・マグネットチャック・5軸マシンバイス・引込ジグ・バキュームチャック・測定用ジグ、位</x:v>
      </x:c>
      <x:c r="D220" s="7" t="str">
        <x:v>W2053</x:v>
      </x:c>
      <x:c r="E220" s="7" t="str">
        <x:v>自動化</x:v>
      </x:c>
      <x:c r="F220" s="7" t="str">
        <x:v>出展説明の関連用途（個別タスクの分解は未完了）</x:v>
      </x:c>
      <x:c r="G220" s="7" t="str">
        <x:v>出展説明に記載。実装位置の個別精査はカードの方式・未確認欄を参照</x:v>
      </x:c>
      <x:c r="H220" s="7" t="str">
        <x:v>原典抜粋：掴む・支える・おさえる製品で、「自動化」「工程集約」「工数削減」のソリューションをご提案 / ■「自動化」 / ワークの形状・生産量やその他ご要望に合わせた自動化の方向性を、構成・精度から運用までご提案。 / １．ワークをロボットで交換 / ２．外段取りジグをロボットで交換 / 自動化や5軸加工における、ジグの運用方法や方向性など課題をお持ちのお客様はぜひご来場ください！ / 自動化対応パレットジグ・エアーマシンバイス・ナットランナーク</x:v>
      </x:c>
      <x:c r="I220" s="7" t="str">
        <x:v>個別入力の追加確認が必要</x:v>
      </x:c>
      <x:c r="J220" s="7" t="str">
        <x:v>原典抜粋：掴む・支える・おさえる製品で、「自動化」「工程集約」「工数削減」のソリューションをご提案 / ■「自動化」 / ワークの形状・生産量やその他ご要望に合わせた自動化の方向性を、構成・精度から運用までご提案。 / １．ワークをロボットで交換 / ２．外段取りジグをロボットで交換 / 自動化や5軸加工における、ジグの運用方法や方向性など課題をお持ちのお客様はぜひご来場ください！ / 自動化対応パレットジグ・エアーマシンバイス・ナットランナーク</x:v>
      </x:c>
      <x:c r="K220" s="7" t="str">
        <x:v>掴む・支える・おさえる製品で、「自動化」「工程集約」「工数削減」のソリューションをご提案 / ■「自動化」 / ワークの形状・生産量やその他ご要望に合わせた自動化の方向性を、構成・精度から運用までご提案。 / １．ワークをロボットで交換 / ２．外段取りジグをロボットで交換 / 自動化や5軸加工における、ジグの運用方法や方向性など課題をお持ちのお客様はぜひご来場ください！ / 自動化対応パレットジグ・エアーマシンバイス・ナットランナーク</x:v>
      </x:c>
      <x:c r="L220" s="7" t="str">
        <x:v>承認・例外対応・停止・復帰の境界は未確認</x:v>
      </x:c>
      <x:c r="M220" s="7" t="str">
        <x:v>2024原典抜粋：『マシニング加工の「工数削減」×「工程集約」×「自動化」に貢献』をテーマにジグの課題解決をご提案。 ■「自動化」 ワークの形状・生産量やその他ご要望に合わせた自動化の方向性を、構成・精度から運用までご提案。 １．外段取りジグをロボットで交換 ２．ワークをロボットで交換 ■「工程集約」/「工数削減」 ワーク材質、サイズ等別で活用出来る５軸加工用ジグ、段取り時間を短縮するジグを多数展示しています。 自動化や5軸加工における、ジグの運用方法や方向性など課題をお持ちのお客様はぜひご来場ください！ 自動化対応パレットジグ・エ</x:v>
      </x:c>
      <x:c r="N220" s="7" t="str">
        <x:v>2026原典抜粋：掴む・支える・おさえる製品で、「自動化」「工程集約」「工数削減」のソリューションをご提案 / ■「自動化」 / ワークの形状・生産量やその他ご要望に合わせた自動化の方向性を、構成・精度から運用までご提案。 / １．ワークをロボットで交換 / ２．外段取りジグをロボットで交換 / 自動化や5軸加工における、ジグの運用方法や方向性など課題をお持ちのお客様はぜひご来場ください！ / 自動化対応パレットジグ・エアーマシンバイス・ナットランナーク</x:v>
      </x:c>
      <x:c r="O220" s="7" t="str">
        <x:v>両年原典あり・機能差未判定</x:v>
      </x:c>
      <x:c r="P220" s="7" t="str">
        <x:v>2026公式カタログ掲載・現地未確認</x:v>
      </x:c>
      <x:c r="Q220" s="7" t="str">
        <x:v>2026展示予定。既存製品・参考出展・構想等は原典で個別確認</x:v>
      </x:c>
      <x:c r="R220" s="7" t="str">
        <x:v>どの作業を自動化・支援するか、入力と判断・操作の範囲、適用条件と人の残作業、2024からの機能差、採用・受注・効果の実測を確認する。</x:v>
      </x:c>
      <x:c r="S220" s="7" t="str">
        <x:v>EEX-EXH-2026-5c2eb38f86114993
EEX-EXH-2024-fa796e0b3873ae15</x:v>
      </x:c>
      <x:c r="T220" s="7" t="str">
        <x:v>EEX-EXH-2026-5c2eb38f86114993: https://www.jimtof.org/search/jp/ESdetails?e=MNGSajJO4pQ
EEX-EXH-2024-fa796e0b3873ae15: https://www.jimtof.org/2024/search/jp/ESdetails?e=Ln1NH2a_tvk</x:v>
      </x:c>
      <x:c r="U220" s="7" t="str">
        <x:v>出展説明の関連箇所に基づく一次分類</x:v>
      </x:c>
      <x:c r="V220" s="7"/>
      <x:c r="W220" s="7"/>
      <x:c r="X220" s="7"/>
      <x:c r="Y220" s="7"/>
      <x:c r="Z220" s="7"/>
      <x:c r="AA220" s="7"/>
      <x:c r="AB220" s="7"/>
    </x:row>
    <x:row r="221" ht="170" customHeight="1">
      <x:c r="A221" s="7" t="str">
        <x:v>AC158</x:v>
      </x:c>
      <x:c r="B221" s="20" t="str">
        <x:v>鍋屋バイテック会社</x:v>
      </x:c>
      <x:c r="C221" s="7" t="str">
        <x:v>ロボットハンド</x:v>
      </x:c>
      <x:c r="D221" s="7" t="str">
        <x:v>W2068</x:v>
      </x:c>
      <x:c r="E221" s="7" t="str">
        <x:v>自動化</x:v>
      </x:c>
      <x:c r="F221" s="7" t="str">
        <x:v>出展説明の関連用途（個別タスクの分解は未完了）</x:v>
      </x:c>
      <x:c r="G221" s="7" t="str">
        <x:v>出展説明に記載。実装位置の個別精査はカードの方式・未確認欄を参照</x:v>
      </x:c>
      <x:c r="H221" s="7" t="str">
        <x:v>原典抜粋：・ロボットハンド / NBKのロボットハンドは、小型・軽量なのに高把持力。 / 把持力をそのままにロボットハンドを小型化・軽量化ができます。</x:v>
      </x:c>
      <x:c r="I221" s="7" t="str">
        <x:v>個別入力の追加確認が必要</x:v>
      </x:c>
      <x:c r="J221" s="7" t="str">
        <x:v>原典抜粋：・ロボットハンド / NBKのロボットハンドは、小型・軽量なのに高把持力。 / 把持力をそのままにロボットハンドを小型化・軽量化ができます。</x:v>
      </x:c>
      <x:c r="K221" s="7" t="str">
        <x:v>・ロボットハンド / NBKのロボットハンドは、小型・軽量なのに高把持力。 / 把持力をそのままにロボットハンドを小型化・軽量化ができます。</x:v>
      </x:c>
      <x:c r="L221" s="7" t="str">
        <x:v>承認・例外対応・停止・復帰の境界は未確認</x:v>
      </x:c>
      <x:c r="M221" s="7" t="str">
        <x:v>同一正規化名称の2024詳細なし。新規出展・技術不存在とは判断しない。</x:v>
      </x:c>
      <x:c r="N221" s="7" t="str">
        <x:v>2026原典抜粋：・ロボットハンド / NBKのロボットハンドは、小型・軽量なのに高把持力。 / 把持力をそのままにロボットハンドを小型化・軽量化ができます。</x:v>
      </x:c>
      <x:c r="O221" s="7" t="str">
        <x:v>2024個別比較不能</x:v>
      </x:c>
      <x:c r="P221" s="7" t="str">
        <x:v>2026公式カタログ掲載・現地未確認</x:v>
      </x:c>
      <x:c r="Q221" s="7" t="str">
        <x:v>2026展示予定。既存製品・参考出展・構想等は原典で個別確認</x:v>
      </x:c>
      <x:c r="R221" s="7" t="str">
        <x:v>どの作業を自動化・支援するか、入力と判断・操作の範囲、適用条件と人の残作業、2024からの機能差、採用・受注・効果の実測を確認する。</x:v>
      </x:c>
      <x:c r="S221" s="7" t="str">
        <x:v>EEX-EXH-2026-18f3d6af15ce3d5c</x:v>
      </x:c>
      <x:c r="T221" s="7" t="str">
        <x:v>EEX-EXH-2026-18f3d6af15ce3d5c: https://www.jimtof.org/search/jp/ESdetails?e=oAJf-RFYInA</x:v>
      </x:c>
      <x:c r="U221" s="7" t="str">
        <x:v>出展説明の関連箇所に基づく一次分類</x:v>
      </x:c>
      <x:c r="V221" s="7"/>
      <x:c r="W221" s="7"/>
      <x:c r="X221" s="7"/>
      <x:c r="Y221" s="7"/>
      <x:c r="Z221" s="7"/>
      <x:c r="AA221" s="7"/>
      <x:c r="AB221" s="7"/>
    </x:row>
    <x:row r="222" ht="170" customHeight="1">
      <x:c r="A222" s="7" t="str">
        <x:v>AC159</x:v>
      </x:c>
      <x:c r="B222" s="20" t="str">
        <x:v>株式会社ナベル</x:v>
      </x:c>
      <x:c r="C222" s="7" t="str">
        <x:v>TM Robot S-Type：ビジョン・AI内蔵協働ロボット</x:v>
      </x:c>
      <x:c r="D222" s="7" t="str">
        <x:v>W2041</x:v>
      </x:c>
      <x:c r="E222" s="7" t="str">
        <x:v>フィジカルAI
自動化</x:v>
      </x:c>
      <x:c r="F222" s="7" t="str">
        <x:v>協働ロボットのビジョン・AI利用（作業は要確認）</x:v>
      </x:c>
      <x:c r="G222" s="7" t="str">
        <x:v>TM Robot S-Typeのカメラ・AIソフト。EPSON LS8は別製品</x:v>
      </x:c>
      <x:c r="H222" s="7" t="str">
        <x:v>内蔵ビジョン・AIを備える協働ロボット</x:v>
      </x:c>
      <x:c r="I222" s="7" t="str">
        <x:v>内蔵カメラ画像。AIの判定対象・学習手順は未確認</x:v>
      </x:c>
      <x:c r="J222" s="7" t="str">
        <x:v>2026はS-Typeの内蔵カメラ・AIソフトを明記。EPSON LS8の供給・仕分け用途も掲載。</x:v>
      </x:c>
      <x:c r="K222" s="7" t="str">
        <x:v>内蔵ビジョン・AIを備える協働ロボット</x:v>
      </x:c>
      <x:c r="L222" s="7" t="str">
        <x:v>承認・例外対応・停止・復帰の境界は未確認</x:v>
      </x:c>
      <x:c r="M222" s="7" t="str">
        <x:v>2024もTMロボットを掲載。主説明はカバー・クーラント等。</x:v>
      </x:c>
      <x:c r="N222" s="7" t="str">
        <x:v>2026はS-Typeの内蔵カメラ・AIソフトを明記。EPSON LS8の供給・仕分け用途も掲載。</x:v>
      </x:c>
      <x:c r="O222" s="7" t="str">
        <x:v>2024から継続・AIの記載を具体化</x:v>
      </x:c>
      <x:c r="P222" s="7" t="str">
        <x:v>2026公式カタログ掲載・現地未確認</x:v>
      </x:c>
      <x:c r="Q222" s="7" t="str">
        <x:v>2026展示予定。既存製品・参考出展・構想等は原典で個別確認</x:v>
      </x:c>
      <x:c r="R222" s="7" t="str">
        <x:v>会場タスクとモデル・学習・教示・座標補正の担当、部品や照明が変わった際の再設定は。</x:v>
      </x:c>
      <x:c r="S222" s="7" t="str">
        <x:v>EEX-EXH-2026-87b7a21b4cef9d01
EEX-EXH-2024-b38efca212cfc193</x:v>
      </x:c>
      <x:c r="T222" s="7" t="str">
        <x:v>EEX-EXH-2026-87b7a21b4cef9d01: https://www.jimtof.org/search/jp/ESdetails?e=6wciaKIuYB8
EEX-EXH-2024-b38efca212cfc193: https://www.jimtof.org/2024/search/jp/ESdetails?e=fYVjWl92q60</x:v>
      </x:c>
      <x:c r="U222" s="7" t="str">
        <x:v>2024・2026の原典全文を重点比較</x:v>
      </x:c>
      <x:c r="V222" s="7"/>
      <x:c r="W222" s="7"/>
      <x:c r="X222" s="7"/>
      <x:c r="Y222" s="7"/>
      <x:c r="Z222" s="7"/>
      <x:c r="AA222" s="7"/>
      <x:c r="AB222" s="7"/>
    </x:row>
    <x:row r="223" ht="170" customHeight="1">
      <x:c r="A223" s="7" t="str">
        <x:v>AC160</x:v>
      </x:c>
      <x:c r="B223" s="20" t="str">
        <x:v>南海モルディ株式会社</x:v>
      </x:c>
      <x:c r="C223" s="7" t="str">
        <x:v>①自動肉盛りシステム【肉盛りくん】施工事例品・金型</x:v>
      </x:c>
      <x:c r="D223" s="7" t="str">
        <x:v>S3005</x:v>
      </x:c>
      <x:c r="E223" s="7" t="str">
        <x:v>自動化</x:v>
      </x:c>
      <x:c r="F223" s="7" t="str">
        <x:v>出展説明の関連用途（個別タスクの分解は未完了）</x:v>
      </x:c>
      <x:c r="G223" s="7" t="str">
        <x:v>出展説明に記載。実装位置の個別精査はカードの方式・未確認欄を参照</x:v>
      </x:c>
      <x:c r="H223" s="7" t="str">
        <x:v>原典抜粋：当社開発の自動肉盛り溶接システム【肉盛りくん】やその応用方法を展示。 / いままで”コツ・カン”の世界だった肉盛り溶接技術をパウダー溶接技術と6軸ロボットの融合により最大限のパフォーマンスを実現。 / ①自動肉盛りシステム【肉盛りくん】施工事例品・金型</x:v>
      </x:c>
      <x:c r="I223" s="7" t="str">
        <x:v>個別入力の追加確認が必要</x:v>
      </x:c>
      <x:c r="J223" s="7" t="str">
        <x:v>原典抜粋：当社開発の自動肉盛り溶接システム【肉盛りくん】やその応用方法を展示。 / いままで”コツ・カン”の世界だった肉盛り溶接技術をパウダー溶接技術と6軸ロボットの融合により最大限のパフォーマンスを実現。 / ①自動肉盛りシステム【肉盛りくん】施工事例品・金型</x:v>
      </x:c>
      <x:c r="K223" s="7" t="str">
        <x:v>当社開発の自動肉盛り溶接システム【肉盛りくん】やその応用方法を展示。 / いままで”コツ・カン”の世界だった肉盛り溶接技術をパウダー溶接技術と6軸ロボットの融合により最大限のパフォーマンスを実現。 / ①自動肉盛りシステム【肉盛りくん】施工事例品・金型</x:v>
      </x:c>
      <x:c r="L223" s="7" t="str">
        <x:v>承認・例外対応・停止・復帰の境界は未確認</x:v>
      </x:c>
      <x:c r="M223" s="7" t="str">
        <x:v>同一正規化名称の2024詳細なし。新規出展・技術不存在とは判断しない。</x:v>
      </x:c>
      <x:c r="N223" s="7" t="str">
        <x:v>2026原典抜粋：当社開発の自動肉盛り溶接システム【肉盛りくん】やその応用方法を展示。 / いままで”コツ・カン”の世界だった肉盛り溶接技術をパウダー溶接技術と6軸ロボットの融合により最大限のパフォーマンスを実現。 / ①自動肉盛りシステム【肉盛りくん】施工事例品・金型</x:v>
      </x:c>
      <x:c r="O223" s="7" t="str">
        <x:v>2024個別比較不能</x:v>
      </x:c>
      <x:c r="P223" s="7" t="str">
        <x:v>2026公式カタログ掲載・現地未確認</x:v>
      </x:c>
      <x:c r="Q223" s="7" t="str">
        <x:v>2026展示予定。既存製品・参考出展・構想等は原典で個別確認</x:v>
      </x:c>
      <x:c r="R223" s="7" t="str">
        <x:v>どの作業を自動化・支援するか、入力と判断・操作の範囲、適用条件と人の残作業、2024からの機能差、採用・受注・効果の実測を確認する。</x:v>
      </x:c>
      <x:c r="S223" s="7" t="str">
        <x:v>EEX-EXH-2026-87d81bbdb5e75826</x:v>
      </x:c>
      <x:c r="T223" s="7" t="str">
        <x:v>EEX-EXH-2026-87d81bbdb5e75826: https://www.jimtof.org/search/jp/ESdetails?e=DzEQo0I9qrQ</x:v>
      </x:c>
      <x:c r="U223" s="7" t="str">
        <x:v>出展説明の関連箇所に基づく一次分類</x:v>
      </x:c>
      <x:c r="V223" s="7"/>
      <x:c r="W223" s="7"/>
      <x:c r="X223" s="7"/>
      <x:c r="Y223" s="7"/>
      <x:c r="Z223" s="7"/>
      <x:c r="AA223" s="7"/>
      <x:c r="AB223" s="7"/>
    </x:row>
    <x:row r="224" ht="170" customHeight="1">
      <x:c r="A224" s="7" t="str">
        <x:v>AC162</x:v>
      </x:c>
      <x:c r="B224" s="20" t="str">
        <x:v>新潟精機株式会社</x:v>
      </x:c>
      <x:c r="C224" s="7" t="str">
        <x:v>デジタル水準器レベルニック</x:v>
      </x:c>
      <x:c r="D224" s="7" t="str">
        <x:v>E7039</x:v>
      </x:c>
      <x:c r="E224" s="7" t="str">
        <x:v>自動化</x:v>
      </x:c>
      <x:c r="F224" s="7" t="str">
        <x:v>出展説明の関連用途（個別タスクの分解は未完了）</x:v>
      </x:c>
      <x:c r="G224" s="7" t="str">
        <x:v>出展説明に記載。実装位置の個別精査はカードの方式・未確認欄を参照</x:v>
      </x:c>
      <x:c r="H224" s="7" t="str">
        <x:v>原典抜粋：代表製品のデジタル水準器レベルニックをはじめ、振れ測定に最適な偏心度測定システム、内径測定を人による誤差がなく高精度に測定できる精密測定プラグなど、他にも様々な製品を展示いたします。 / ・デジタル水準器レベルニック / ・精密測定プラグを使用した自動測定機</x:v>
      </x:c>
      <x:c r="I224" s="7" t="str">
        <x:v>個別入力の追加確認が必要</x:v>
      </x:c>
      <x:c r="J224" s="7" t="str">
        <x:v>原典抜粋：代表製品のデジタル水準器レベルニックをはじめ、振れ測定に最適な偏心度測定システム、内径測定を人による誤差がなく高精度に測定できる精密測定プラグなど、他にも様々な製品を展示いたします。 / ・デジタル水準器レベルニック / ・精密測定プラグを使用した自動測定機</x:v>
      </x:c>
      <x:c r="K224" s="7" t="str">
        <x:v>代表製品のデジタル水準器レベルニックをはじめ、振れ測定に最適な偏心度測定システム、内径測定を人による誤差がなく高精度に測定できる精密測定プラグなど、他にも様々な製品を展示いたします。 / ・デジタル水準器レベルニック / ・精密測定プラグを使用した自動測定機</x:v>
      </x:c>
      <x:c r="L224" s="7" t="str">
        <x:v>承認・例外対応・停止・復帰の境界は未確認</x:v>
      </x:c>
      <x:c r="M224" s="7" t="str">
        <x:v>2024原典抜粋：完全自社設計の角度計をJIMTOFに向けてリリース致します。製品としては4モデルリリース予定ですが、お客様の用途に合わせてスペックをカスタマイズすることが可能です。衝撃や振動の測定にも使用でき、弊社の新製品の中でも最も注目度が高いです。 内径測定器のマスタとしてリングゲージを製造しており、多くのお客様にリングゲージを使用いただきたいという気持ちから内径測定器にも新たに力を入れています。その一つが「精密測定プラグゲージ」です。この製品はアウトラインのハンドツールとして測定をすることもできますが、インラインの自動化にも</x:v>
      </x:c>
      <x:c r="N224" s="7" t="str">
        <x:v>2026原典抜粋：代表製品のデジタル水準器レベルニックをはじめ、振れ測定に最適な偏心度測定システム、内径測定を人による誤差がなく高精度に測定できる精密測定プラグなど、他にも様々な製品を展示いたします。 / ・デジタル水準器レベルニック / ・精密測定プラグを使用した自動測定機</x:v>
      </x:c>
      <x:c r="O224" s="7" t="str">
        <x:v>両年原典あり・機能差未判定</x:v>
      </x:c>
      <x:c r="P224" s="7" t="str">
        <x:v>2026公式カタログ掲載・現地未確認</x:v>
      </x:c>
      <x:c r="Q224" s="7" t="str">
        <x:v>2026展示予定。既存製品・参考出展・構想等は原典で個別確認</x:v>
      </x:c>
      <x:c r="R224" s="7" t="str">
        <x:v>どの作業を自動化・支援するか、入力と判断・操作の範囲、適用条件と人の残作業、2024からの機能差、採用・受注・効果の実測を確認する。</x:v>
      </x:c>
      <x:c r="S224" s="7" t="str">
        <x:v>EEX-EXH-2026-d0e930b11ed6e2f2
EEX-EXH-2024-c8635323a4cddeab</x:v>
      </x:c>
      <x:c r="T224" s="7" t="str">
        <x:v>EEX-EXH-2026-d0e930b11ed6e2f2: https://www.jimtof.org/search/jp/ESdetails?e=cCEJdVT7Sxk
EEX-EXH-2024-c8635323a4cddeab: https://www.jimtof.org/2024/search/jp/ESdetails?e=lPv1x-bM_CQ</x:v>
      </x:c>
      <x:c r="U224" s="7" t="str">
        <x:v>出展説明の関連箇所に基づく一次分類</x:v>
      </x:c>
      <x:c r="V224" s="7"/>
      <x:c r="W224" s="7"/>
      <x:c r="X224" s="7"/>
      <x:c r="Y224" s="7"/>
      <x:c r="Z224" s="7"/>
      <x:c r="AA224" s="7"/>
      <x:c r="AB224" s="7"/>
    </x:row>
    <x:row r="225" ht="170" customHeight="1">
      <x:c r="A225" s="7" t="str">
        <x:v>AC163</x:v>
      </x:c>
      <x:c r="B225" s="20" t="str">
        <x:v>株式会社ニイガタマシンテクノ</x:v>
      </x:c>
      <x:c r="C225" s="7" t="str">
        <x:v>軸心冷却機能搭載　中ぐり加工機「HN80E-BAR」</x:v>
      </x:c>
      <x:c r="D225" s="7" t="str">
        <x:v>E3026</x:v>
      </x:c>
      <x:c r="E225" s="7" t="str">
        <x:v>自動化</x:v>
      </x:c>
      <x:c r="F225" s="7" t="str">
        <x:v>出展説明の関連用途（個別タスクの分解は未完了）</x:v>
      </x:c>
      <x:c r="G225" s="7" t="str">
        <x:v>出展説明に記載。実装位置の個別精査はカードの方式・未確認欄を参照</x:v>
      </x:c>
      <x:c r="H225" s="7" t="str">
        <x:v>原典抜粋：軸心冷却機能を搭載した中ぐり加工機「HN80E-BAR」は、ラインバーを自動で機内へ設置するロボットとともに展示。 / Ｚ軸ストローク1020mmに対し、それを上回るツール長1100mmのラインバーをロボットがワーク内へ直接設置し、ツール交換を実施します。 / スペースを最大限に生かし、「自動化・省人化」を両立する当社独自の最新システムをぜひご覧ください。</x:v>
      </x:c>
      <x:c r="I225" s="7" t="str">
        <x:v>個別入力の追加確認が必要</x:v>
      </x:c>
      <x:c r="J225" s="7" t="str">
        <x:v>原典抜粋：軸心冷却機能を搭載した中ぐり加工機「HN80E-BAR」は、ラインバーを自動で機内へ設置するロボットとともに展示。 / Ｚ軸ストローク1020mmに対し、それを上回るツール長1100mmのラインバーをロボットがワーク内へ直接設置し、ツール交換を実施します。 / スペースを最大限に生かし、「自動化・省人化」を両立する当社独自の最新システムをぜひご覧ください。</x:v>
      </x:c>
      <x:c r="K225" s="7" t="str">
        <x:v>軸心冷却機能を搭載した中ぐり加工機「HN80E-BAR」は、ラインバーを自動で機内へ設置するロボットとともに展示。 / Ｚ軸ストローク1020mmに対し、それを上回るツール長1100mmのラインバーをロボットがワーク内へ直接設置し、ツール交換を実施します。 / スペースを最大限に生かし、「自動化・省人化」を両立する当社独自の最新システムをぜひご覧ください。</x:v>
      </x:c>
      <x:c r="L225" s="7" t="str">
        <x:v>承認・例外対応・停止・復帰の境界は未確認</x:v>
      </x:c>
      <x:c r="M225" s="7" t="str">
        <x:v>2024原典抜粋：ニイガタマシンテクノは「新時代到来」～新世代の技術が切り拓くプロセスイノベーション～をテーマに新世代の3機種、複合機能付横形マシニングセンタ 「HN80E-FC」、高生産性横形マシニングセンタ「HPN800」、ターンテーブル式強力NCフライス盤「JK400Ⅲ」を出展いたします。さらにはレーザとカメラを用いた最新のワーク外観チェックシステム「e-na」を展示し、お客様へものづくりの合理化と生産性向上のご提案をいたします。 フェーシング、溝入れ、ドリル加工等が連続で行えるニイガタFCシリーズの最新機「HN80E-FC」</x:v>
      </x:c>
      <x:c r="N225" s="7" t="str">
        <x:v>2026原典抜粋：軸心冷却機能を搭載した中ぐり加工機「HN80E-BAR」は、ラインバーを自動で機内へ設置するロボットとともに展示。 / Ｚ軸ストローク1020mmに対し、それを上回るツール長1100mmのラインバーをロボットがワーク内へ直接設置し、ツール交換を実施します。 / スペースを最大限に生かし、「自動化・省人化」を両立する当社独自の最新システムをぜひご覧ください。</x:v>
      </x:c>
      <x:c r="O225" s="7" t="str">
        <x:v>両年原典あり・機能差未判定</x:v>
      </x:c>
      <x:c r="P225" s="7" t="str">
        <x:v>2026公式カタログ掲載・現地未確認</x:v>
      </x:c>
      <x:c r="Q225" s="7" t="str">
        <x:v>2026展示予定。既存製品・参考出展・構想等は原典で個別確認</x:v>
      </x:c>
      <x:c r="R225" s="7" t="str">
        <x:v>どの作業を自動化・支援するか、入力と判断・操作の範囲、適用条件と人の残作業、2024からの機能差、採用・受注・効果の実測を確認する。</x:v>
      </x:c>
      <x:c r="S225" s="7" t="str">
        <x:v>EEX-EXH-2026-b669e6d6d1dc5657
EEX-EXH-2024-0b1c400c1df0d270</x:v>
      </x:c>
      <x:c r="T225" s="7" t="str">
        <x:v>EEX-EXH-2026-b669e6d6d1dc5657: https://www.jimtof.org/search/jp/ESdetails?e=JgNgvfg06ag
EEX-EXH-2024-0b1c400c1df0d270: https://www.jimtof.org/2024/search/jp/ESdetails?e=xdOzfxdZqLU</x:v>
      </x:c>
      <x:c r="U225" s="7" t="str">
        <x:v>出展説明の関連箇所に基づく一次分類</x:v>
      </x:c>
      <x:c r="V225" s="7"/>
      <x:c r="W225" s="7"/>
      <x:c r="X225" s="7"/>
      <x:c r="Y225" s="7"/>
      <x:c r="Z225" s="7"/>
      <x:c r="AA225" s="7"/>
      <x:c r="AB225" s="7"/>
    </x:row>
    <x:row r="226" ht="170" customHeight="1">
      <x:c r="A226" s="7" t="str">
        <x:v>AC164</x:v>
      </x:c>
      <x:c r="B226" s="20" t="str">
        <x:v>西島株式会社</x:v>
      </x:c>
      <x:c r="C226" s="7" t="str">
        <x:v>大型超硬丸鋸切断機【NHC-400H】</x:v>
      </x:c>
      <x:c r="D226" s="7" t="str">
        <x:v>S1055</x:v>
      </x:c>
      <x:c r="E226" s="7" t="str">
        <x:v>自動化</x:v>
      </x:c>
      <x:c r="F226" s="7" t="str">
        <x:v>出展説明の関連用途（個別タスクの分解は未完了）</x:v>
      </x:c>
      <x:c r="G226" s="7" t="str">
        <x:v>出展説明に記載。実装位置の個別精査はカードの方式・未確認欄を参照</x:v>
      </x:c>
      <x:c r="H226" s="7" t="str">
        <x:v>原典抜粋：単体機にとどまらず、搬送を含む自動化ライン構築やロボットを駆使した供給、 / 〇高精度ボールねじ専用転造盤「NTR-15HP」：ロボット関節用ボールねじの転造加工を実演 / 1世紀にわたる機械製造の技術力と、次世代の自動化システム構築力を融合させ、 / ロボット関節用ボールねじの転造加工を実演 / 搬入搬出の自動化システムも提案可能</x:v>
      </x:c>
      <x:c r="I226" s="7" t="str">
        <x:v>個別入力の追加確認が必要</x:v>
      </x:c>
      <x:c r="J226" s="7" t="str">
        <x:v>原典抜粋：単体機にとどまらず、搬送を含む自動化ライン構築やロボットを駆使した供給、 / 〇高精度ボールねじ専用転造盤「NTR-15HP」：ロボット関節用ボールねじの転造加工を実演 / 1世紀にわたる機械製造の技術力と、次世代の自動化システム構築力を融合させ、 / ロボット関節用ボールねじの転造加工を実演 / 搬入搬出の自動化システムも提案可能</x:v>
      </x:c>
      <x:c r="K226" s="7" t="str">
        <x:v>単体機にとどまらず、搬送を含む自動化ライン構築やロボットを駆使した供給、 / 〇高精度ボールねじ専用転造盤「NTR-15HP」：ロボット関節用ボールねじの転造加工を実演 / 1世紀にわたる機械製造の技術力と、次世代の自動化システム構築力を融合させ、 / ロボット関節用ボールねじの転造加工を実演 / 搬入搬出の自動化システムも提案可能</x:v>
      </x:c>
      <x:c r="L226" s="7" t="str">
        <x:v>承認・例外対応・停止・復帰の境界は未確認</x:v>
      </x:c>
      <x:c r="M226" s="7" t="str">
        <x:v>2024原典抜粋：西島株式会社は専用工作機械メーカーです。 我々はオンリーワンの製品・設備をお客様にご提供することで、お客様の生産をサポートをするサービス業です。 弊社はこの度、おかげさまで創業100周年を迎えます。 そんな我々西島株式会社はこの度、100周年のご愛顧に感謝を申し上げるとともに、 Always Togetherをテーマに掲げて新時代をゆく皆様へ新しいモノづくりの形を提案いたします。 このテーマには「世界のモノづくりを担う皆様に寄り添い技術で応える企業」を目指して進化し続けていくという思いが込められています。 その一例</x:v>
      </x:c>
      <x:c r="N226" s="7" t="str">
        <x:v>2026原典抜粋：単体機にとどまらず、搬送を含む自動化ライン構築やロボットを駆使した供給、 / 〇高精度ボールねじ専用転造盤「NTR-15HP」：ロボット関節用ボールねじの転造加工を実演 / 1世紀にわたる機械製造の技術力と、次世代の自動化システム構築力を融合させ、 / ロボット関節用ボールねじの転造加工を実演 / 搬入搬出の自動化システムも提案可能</x:v>
      </x:c>
      <x:c r="O226" s="7" t="str">
        <x:v>両年原典あり・機能差未判定</x:v>
      </x:c>
      <x:c r="P226" s="7" t="str">
        <x:v>2026公式カタログ掲載・現地未確認</x:v>
      </x:c>
      <x:c r="Q226" s="7" t="str">
        <x:v>2026展示予定。既存製品・参考出展・構想等は原典で個別確認</x:v>
      </x:c>
      <x:c r="R226" s="7" t="str">
        <x:v>どの作業を自動化・支援するか、入力と判断・操作の範囲、適用条件と人の残作業、2024からの機能差、採用・受注・効果の実測を確認する。</x:v>
      </x:c>
      <x:c r="S226" s="7" t="str">
        <x:v>EEX-EXH-2026-3f157feb25f0c4df
EEX-EXH-2024-a3e091bba1b08f5d</x:v>
      </x:c>
      <x:c r="T226" s="7" t="str">
        <x:v>EEX-EXH-2026-3f157feb25f0c4df: https://www.jimtof.org/search/jp/ESdetails?e=Al_kYRBXQb0
EEX-EXH-2024-a3e091bba1b08f5d: https://www.jimtof.org/2024/search/jp/ESdetails?e=oIRqneGv-d0</x:v>
      </x:c>
      <x:c r="U226" s="7" t="str">
        <x:v>出展説明の関連箇所に基づく一次分類</x:v>
      </x:c>
      <x:c r="V226" s="7"/>
      <x:c r="W226" s="7"/>
      <x:c r="X226" s="7"/>
      <x:c r="Y226" s="7"/>
      <x:c r="Z226" s="7"/>
      <x:c r="AA226" s="7"/>
      <x:c r="AB226" s="7"/>
    </x:row>
    <x:row r="227" ht="170" customHeight="1">
      <x:c r="A227" s="7" t="str">
        <x:v>AC165</x:v>
      </x:c>
      <x:c r="B227" s="20" t="str">
        <x:v>株式会社日研工作所</x:v>
      </x:c>
      <x:c r="C227" s="7" t="str">
        <x:v>防錆メンテナンスに費やす現場の負担を軽減し自動化に寄与する黒のホルダを中心に、切削工具の長寿命化に寄与する振れ調整機構内蔵ツールホルダ、独自の振動減衰</x:v>
      </x:c>
      <x:c r="D227" s="7" t="str">
        <x:v>W2039</x:v>
      </x:c>
      <x:c r="E227" s="7" t="str">
        <x:v>自動化</x:v>
      </x:c>
      <x:c r="F227" s="7" t="str">
        <x:v>出展説明の関連用途（個別タスクの分解は未完了）</x:v>
      </x:c>
      <x:c r="G227" s="7" t="str">
        <x:v>出展説明に記載。実装位置の個別精査はカードの方式・未確認欄を参照</x:v>
      </x:c>
      <x:c r="H227" s="7" t="str">
        <x:v>原典抜粋：人手不足の製造現場に向けた自動化・省人化を加速させる様々なアイデア、需要が急拡大する中でもっと賢く・もっと早く・もっと沢山削れるツーリング技術、半導体・航空宇宙産業など新しいユーザ様への新技術など、３つのソリューションを核に、日研ならではの提案を行わせていただきます。 / 防錆メンテナンスに費やす現場の負担を軽減し自動化に寄与する黒のホルダを中心に、切削工具の長寿命化に寄与する振れ調整機構内蔵ツールホルダ、独自の振動減衰機構内蔵ツールホ</x:v>
      </x:c>
      <x:c r="I227" s="7" t="str">
        <x:v>個別入力の追加確認が必要</x:v>
      </x:c>
      <x:c r="J227" s="7" t="str">
        <x:v>原典抜粋：人手不足の製造現場に向けた自動化・省人化を加速させる様々なアイデア、需要が急拡大する中でもっと賢く・もっと早く・もっと沢山削れるツーリング技術、半導体・航空宇宙産業など新しいユーザ様への新技術など、３つのソリューションを核に、日研ならではの提案を行わせていただきます。 / 防錆メンテナンスに費やす現場の負担を軽減し自動化に寄与する黒のホルダを中心に、切削工具の長寿命化に寄与する振れ調整機構内蔵ツールホルダ、独自の振動減衰機構内蔵ツールホ</x:v>
      </x:c>
      <x:c r="K227" s="7" t="str">
        <x:v>人手不足の製造現場に向けた自動化・省人化を加速させる様々なアイデア、需要が急拡大する中でもっと賢く・もっと早く・もっと沢山削れるツーリング技術、半導体・航空宇宙産業など新しいユーザ様への新技術など、３つのソリューションを核に、日研ならではの提案を行わせていただきます。 / 防錆メンテナンスに費やす現場の負担を軽減し自動化に寄与する黒のホルダを中心に、切削工具の長寿命化に寄与する振れ調整機構内蔵ツールホルダ、独自の振動減衰機構内蔵ツールホ</x:v>
      </x:c>
      <x:c r="L227" s="7" t="str">
        <x:v>承認・例外対応・停止・復帰の境界は未確認</x:v>
      </x:c>
      <x:c r="M227" s="7" t="str">
        <x:v>2024原典抜粋：省エネや人手不足といった社会課題の解決のために、NIKKENはこれまで培ってきたツーリング技術とロータリテーブル技術のデュアルテクノロジーで、ユーザの皆様に最適かつ多様なソリューションを提供したいと考えております。本展示会では「MULTI SOLUTION with NIKKEN DUAL TECHNOLOGY」というテーマにあわせ、ツーリング＆ロータリテーブルの二刀流を貫くNIKKENならでは様々なご提案をブースにてご覧いただけます。 高剛性・高耐久力を誇る超硬ウォームシステム搭載機、新機構ローラーエボリューショ</x:v>
      </x:c>
      <x:c r="N227" s="7" t="str">
        <x:v>2026原典抜粋：人手不足の製造現場に向けた自動化・省人化を加速させる様々なアイデア、需要が急拡大する中でもっと賢く・もっと早く・もっと沢山削れるツーリング技術、半導体・航空宇宙産業など新しいユーザ様への新技術など、３つのソリューションを核に、日研ならではの提案を行わせていただきます。 / 防錆メンテナンスに費やす現場の負担を軽減し自動化に寄与する黒のホルダを中心に、切削工具の長寿命化に寄与する振れ調整機構内蔵ツールホルダ、独自の振動減衰機構内蔵ツールホ</x:v>
      </x:c>
      <x:c r="O227" s="7" t="str">
        <x:v>両年原典あり・機能差未判定</x:v>
      </x:c>
      <x:c r="P227" s="7" t="str">
        <x:v>2026公式カタログ掲載・現地未確認</x:v>
      </x:c>
      <x:c r="Q227" s="7" t="str">
        <x:v>2026展示予定。既存製品・参考出展・構想等は原典で個別確認</x:v>
      </x:c>
      <x:c r="R227" s="7" t="str">
        <x:v>どの作業を自動化・支援するか、入力と判断・操作の範囲、適用条件と人の残作業、2024からの機能差、採用・受注・効果の実測を確認する。</x:v>
      </x:c>
      <x:c r="S227" s="7" t="str">
        <x:v>EEX-EXH-2026-1afd1df5c219afb2
EEX-EXH-2024-33d449cefc894596</x:v>
      </x:c>
      <x:c r="T227" s="7" t="str">
        <x:v>EEX-EXH-2026-1afd1df5c219afb2: https://www.jimtof.org/search/jp/ESdetails?e=efMi0oAzay8
EEX-EXH-2024-33d449cefc894596: https://www.jimtof.org/2024/search/jp/ESdetails?e=o9Xdkg4BLBc</x:v>
      </x:c>
      <x:c r="U227" s="7" t="str">
        <x:v>出展説明の関連箇所に基づく一次分類</x:v>
      </x:c>
      <x:c r="V227" s="7"/>
      <x:c r="W227" s="7"/>
      <x:c r="X227" s="7"/>
      <x:c r="Y227" s="7"/>
      <x:c r="Z227" s="7"/>
      <x:c r="AA227" s="7"/>
      <x:c r="AB227" s="7"/>
    </x:row>
    <x:row r="228" ht="170" customHeight="1">
      <x:c r="A228" s="7" t="str">
        <x:v>AC166</x:v>
      </x:c>
      <x:c r="B228" s="20" t="str">
        <x:v>日工機材株式会社</x:v>
      </x:c>
      <x:c r="C228" s="7" t="str">
        <x:v>本展示会が初のお披露目となる㈱熊本精研工業製新型機上測定機　NK-2000 PRIMEを出展いたします。</x:v>
      </x:c>
      <x:c r="D228" s="7" t="str">
        <x:v>S4036</x:v>
      </x:c>
      <x:c r="E228" s="7" t="str">
        <x:v>工場運用DX</x:v>
      </x:c>
      <x:c r="F228" s="7" t="str">
        <x:v>出展説明の関連用途（個別タスクの分解は未完了）</x:v>
      </x:c>
      <x:c r="G228" s="7" t="str">
        <x:v>出展説明に記載。実装位置の個別精査はカードの方式・未確認欄を参照</x:v>
      </x:c>
      <x:c r="H228" s="7" t="str">
        <x:v>原典抜粋：また焦点合わせ時の焦点があったったトップを確認できるようにしたことや、CADを表示した比較計測時に、ワークとCADの合わせ込みを補助する機能を追加しました。</x:v>
      </x:c>
      <x:c r="I228" s="7" t="str">
        <x:v>個別入力の追加確認が必要</x:v>
      </x:c>
      <x:c r="J228" s="7" t="str">
        <x:v>原典抜粋：また焦点合わせ時の焦点があったったトップを確認できるようにしたことや、CADを表示した比較計測時に、ワークとCADの合わせ込みを補助する機能を追加しました。</x:v>
      </x:c>
      <x:c r="K228" s="7" t="str">
        <x:v>また焦点合わせ時の焦点があったったトップを確認できるようにしたことや、CADを表示した比較計測時に、ワークとCADの合わせ込みを補助する機能を追加しました。</x:v>
      </x:c>
      <x:c r="L228" s="7" t="str">
        <x:v>承認・例外対応・停止・復帰の境界は未確認</x:v>
      </x:c>
      <x:c r="M228" s="7" t="str">
        <x:v>2024原典抜粋：『機上測定で製造現場に革命を』をテーマに 非接触カメラシステムを用いた製品による以下の展示をおこないます。 ①加工機上で寸法測定と深さ方向の測定をμオーダーで測定できる機上測定機 『NK2000 高さ高精度計測Ver』 ②AWCのストッカーにワークを搭載する前に芯出し作業を外段取でおこなうことができる 『カメラ式外段取り装置』 ③研削盤上で砥石を回転させ、振れを含めた砥石の先端形状を確認できる 『回転砥石形状測定機』 ①機上測定機NK-2000 高さ高精度計測Ver ・独自の光学計測アルゴリズムを駆使し、従来の高さ</x:v>
      </x:c>
      <x:c r="N228" s="7" t="str">
        <x:v>2026原典抜粋：また焦点合わせ時の焦点があったったトップを確認できるようにしたことや、CADを表示した比較計測時に、ワークとCADの合わせ込みを補助する機能を追加しました。</x:v>
      </x:c>
      <x:c r="O228" s="7" t="str">
        <x:v>両年原典あり・機能差未判定</x:v>
      </x:c>
      <x:c r="P228" s="7" t="str">
        <x:v>2026公式カタログ掲載・現地未確認</x:v>
      </x:c>
      <x:c r="Q228" s="7" t="str">
        <x:v>2026展示予定。既存製品・参考出展・構想等は原典で個別確認</x:v>
      </x:c>
      <x:c r="R228" s="7" t="str">
        <x:v>どの作業を自動化・支援するか、入力と判断・操作の範囲、適用条件と人の残作業、2024からの機能差、採用・受注・効果の実測を確認する。</x:v>
      </x:c>
      <x:c r="S228" s="7" t="str">
        <x:v>EEX-EXH-2026-168a87e45c0ac34c
EEX-EXH-2024-2a2d18ab4e316a4f</x:v>
      </x:c>
      <x:c r="T228" s="7" t="str">
        <x:v>EEX-EXH-2026-168a87e45c0ac34c: https://www.jimtof.org/search/jp/ESdetails?e=JaGZphpJixc
EEX-EXH-2024-2a2d18ab4e316a4f: https://www.jimtof.org/2024/search/jp/ESdetails?e=dvLySDmZm0A</x:v>
      </x:c>
      <x:c r="U228" s="7" t="str">
        <x:v>出展説明の関連箇所に基づく一次分類</x:v>
      </x:c>
      <x:c r="V228" s="7"/>
      <x:c r="W228" s="7"/>
      <x:c r="X228" s="7"/>
      <x:c r="Y228" s="7"/>
      <x:c r="Z228" s="7"/>
      <x:c r="AA228" s="7"/>
      <x:c r="AB228" s="7"/>
    </x:row>
    <x:row r="229" ht="170" customHeight="1">
      <x:c r="A229" s="7" t="str">
        <x:v>AC167</x:v>
      </x:c>
      <x:c r="B229" s="20" t="str">
        <x:v>株式会社日進ProSOL</x:v>
      </x:c>
      <x:c r="C229" s="7" t="str">
        <x:v>ホーニング盤、砥石、マンドレル、ツール、ジェットノズル</x:v>
      </x:c>
      <x:c r="D229" s="7" t="str">
        <x:v>E7070</x:v>
      </x:c>
      <x:c r="E229" s="7" t="str">
        <x:v>自動化</x:v>
      </x:c>
      <x:c r="F229" s="7" t="str">
        <x:v>出展説明の関連用途（個別タスクの分解は未完了）</x:v>
      </x:c>
      <x:c r="G229" s="7" t="str">
        <x:v>出展説明に記載。実装位置の個別精査はカードの方式・未確認欄を参照</x:v>
      </x:c>
      <x:c r="H229" s="7" t="str">
        <x:v>原典抜粋：労働力不足や技術継承が製造業の課題となっている今、自動化・省人化ニーズが拡大し、熟練技能者の経験や勘に依存しない加工品質の実現が求められています。</x:v>
      </x:c>
      <x:c r="I229" s="7" t="str">
        <x:v>個別入力の追加確認が必要</x:v>
      </x:c>
      <x:c r="J229" s="7" t="str">
        <x:v>原典抜粋：労働力不足や技術継承が製造業の課題となっている今、自動化・省人化ニーズが拡大し、熟練技能者の経験や勘に依存しない加工品質の実現が求められています。</x:v>
      </x:c>
      <x:c r="K229" s="7" t="str">
        <x:v>労働力不足や技術継承が製造業の課題となっている今、自動化・省人化ニーズが拡大し、熟練技能者の経験や勘に依存しない加工品質の実現が求められています。</x:v>
      </x:c>
      <x:c r="L229" s="7" t="str">
        <x:v>承認・例外対応・停止・復帰の境界は未確認</x:v>
      </x:c>
      <x:c r="M229" s="7" t="str">
        <x:v>同一正規化名称の2024詳細なし。新規出展・技術不存在とは判断しない。</x:v>
      </x:c>
      <x:c r="N229" s="7" t="str">
        <x:v>2026原典抜粋：労働力不足や技術継承が製造業の課題となっている今、自動化・省人化ニーズが拡大し、熟練技能者の経験や勘に依存しない加工品質の実現が求められています。</x:v>
      </x:c>
      <x:c r="O229" s="7" t="str">
        <x:v>2024個別比較不能</x:v>
      </x:c>
      <x:c r="P229" s="7" t="str">
        <x:v>2026公式カタログ掲載・現地未確認</x:v>
      </x:c>
      <x:c r="Q229" s="7" t="str">
        <x:v>2026展示予定。既存製品・参考出展・構想等は原典で個別確認</x:v>
      </x:c>
      <x:c r="R229" s="7" t="str">
        <x:v>どの作業を自動化・支援するか、入力と判断・操作の範囲、適用条件と人の残作業、2024からの機能差、採用・受注・効果の実測を確認する。</x:v>
      </x:c>
      <x:c r="S229" s="7" t="str">
        <x:v>EEX-EXH-2026-434b1ee92cad6bf5</x:v>
      </x:c>
      <x:c r="T229" s="7" t="str">
        <x:v>EEX-EXH-2026-434b1ee92cad6bf5: https://www.jimtof.org/search/jp/ESdetails?e=Odvw9koeMx8</x:v>
      </x:c>
      <x:c r="U229" s="7" t="str">
        <x:v>出展説明の関連箇所に基づく一次分類</x:v>
      </x:c>
      <x:c r="V229" s="7"/>
      <x:c r="W229" s="7"/>
      <x:c r="X229" s="7"/>
      <x:c r="Y229" s="7"/>
      <x:c r="Z229" s="7"/>
      <x:c r="AA229" s="7"/>
      <x:c r="AB229" s="7"/>
    </x:row>
    <x:row r="230" ht="170" customHeight="1">
      <x:c r="A230" s="7" t="str">
        <x:v>AC168</x:v>
      </x:c>
      <x:c r="B230" s="20" t="str">
        <x:v>株式会社ニッセイ</x:v>
      </x:c>
      <x:c r="C230" s="7" t="str">
        <x:v>高剛性減速機は、生産性向上のニーズにあらゆる角度から応える機能・性能を備えています。産業用ロボットやFA機器において、高精度でパワフルかつスピーディな</x:v>
      </x:c>
      <x:c r="D230" s="7" t="str">
        <x:v>W3031</x:v>
      </x:c>
      <x:c r="E230" s="7" t="str">
        <x:v>自動化</x:v>
      </x:c>
      <x:c r="F230" s="7" t="str">
        <x:v>出展説明の関連用途（個別タスクの分解は未完了）</x:v>
      </x:c>
      <x:c r="G230" s="7" t="str">
        <x:v>出展説明に記載。実装位置の個別精査はカードの方式・未確認欄を参照</x:v>
      </x:c>
      <x:c r="H230" s="7" t="str">
        <x:v>原典抜粋：産業用ロボットやFA機器において、高精度でパワフルかつスピーディな駆動を実現させます。</x:v>
      </x:c>
      <x:c r="I230" s="7" t="str">
        <x:v>個別入力の追加確認が必要</x:v>
      </x:c>
      <x:c r="J230" s="7" t="str">
        <x:v>原典抜粋：産業用ロボットやFA機器において、高精度でパワフルかつスピーディな駆動を実現させます。</x:v>
      </x:c>
      <x:c r="K230" s="7" t="str">
        <x:v>産業用ロボットやFA機器において、高精度でパワフルかつスピーディな駆動を実現させます。</x:v>
      </x:c>
      <x:c r="L230" s="7" t="str">
        <x:v>承認・例外対応・停止・復帰の境界は未確認</x:v>
      </x:c>
      <x:c r="M230" s="7" t="str">
        <x:v>同一正規化名称の2024詳細なし。新規出展・技術不存在とは判断しない。</x:v>
      </x:c>
      <x:c r="N230" s="7" t="str">
        <x:v>2026原典抜粋：産業用ロボットやFA機器において、高精度でパワフルかつスピーディな駆動を実現させます。</x:v>
      </x:c>
      <x:c r="O230" s="7" t="str">
        <x:v>2024個別比較不能</x:v>
      </x:c>
      <x:c r="P230" s="7" t="str">
        <x:v>2026公式カタログ掲載・現地未確認</x:v>
      </x:c>
      <x:c r="Q230" s="7" t="str">
        <x:v>2026展示予定。既存製品・参考出展・構想等は原典で個別確認</x:v>
      </x:c>
      <x:c r="R230" s="7" t="str">
        <x:v>どの作業を自動化・支援するか、入力と判断・操作の範囲、適用条件と人の残作業、2024からの機能差、採用・受注・効果の実測を確認する。</x:v>
      </x:c>
      <x:c r="S230" s="7" t="str">
        <x:v>EEX-EXH-2026-c3ddb256e8eb1f0b</x:v>
      </x:c>
      <x:c r="T230" s="7" t="str">
        <x:v>EEX-EXH-2026-c3ddb256e8eb1f0b: https://www.jimtof.org/search/jp/ESdetails?e=E6552CzYMDI</x:v>
      </x:c>
      <x:c r="U230" s="7" t="str">
        <x:v>出展説明の関連箇所に基づく一次分類</x:v>
      </x:c>
      <x:c r="V230" s="7"/>
      <x:c r="W230" s="7"/>
      <x:c r="X230" s="7"/>
      <x:c r="Y230" s="7"/>
      <x:c r="Z230" s="7"/>
      <x:c r="AA230" s="7"/>
      <x:c r="AB230" s="7"/>
    </x:row>
    <x:row r="231" ht="170" customHeight="1">
      <x:c r="A231" s="7" t="str">
        <x:v>AC169</x:v>
      </x:c>
      <x:c r="B231" s="20" t="str">
        <x:v>日東工器株式会社</x:v>
      </x:c>
      <x:c r="C231" s="7" t="str">
        <x:v>迅速流体継手（カプラ）、省力化機械工具、電動ねじ締めドライバ（デルボ）、リニア駆動ポンプとその応用製品、建築機器（ドアクローザ）</x:v>
      </x:c>
      <x:c r="D231" s="7" t="str">
        <x:v>W4049</x:v>
      </x:c>
      <x:c r="E231" s="7" t="str">
        <x:v>自動化</x:v>
      </x:c>
      <x:c r="F231" s="7" t="str">
        <x:v>出展説明の関連用途（個別タスクの分解は未完了）</x:v>
      </x:c>
      <x:c r="G231" s="7" t="str">
        <x:v>出展説明に記載。実装位置の個別精査はカードの方式・未確認欄を参照</x:v>
      </x:c>
      <x:c r="H231" s="7" t="str">
        <x:v>原典抜粋：一回の操作で複数配管を同時に接続するマルチカプラをはじめ、回転する2色の羽根で冷却水の流れを目視で確認できるフローモニター、各種産業機器への組込み用として最適な真空ポンプ、切削液回収作業の省人化・省力化が可能な切削液回収装置、ロボットに確実に固定可能な自動機対応エアツールシリーズ、強力バッテリとブラシレスモータを搭載したコードレスタイプの手持ち工具、外部起動が可能な電動ドライバシリーズなどを展示します。</x:v>
      </x:c>
      <x:c r="I231" s="7" t="str">
        <x:v>個別入力の追加確認が必要</x:v>
      </x:c>
      <x:c r="J231" s="7" t="str">
        <x:v>原典抜粋：一回の操作で複数配管を同時に接続するマルチカプラをはじめ、回転する2色の羽根で冷却水の流れを目視で確認できるフローモニター、各種産業機器への組込み用として最適な真空ポンプ、切削液回収作業の省人化・省力化が可能な切削液回収装置、ロボットに確実に固定可能な自動機対応エアツールシリーズ、強力バッテリとブラシレスモータを搭載したコードレスタイプの手持ち工具、外部起動が可能な電動ドライバシリーズなどを展示します。</x:v>
      </x:c>
      <x:c r="K231" s="7" t="str">
        <x:v>一回の操作で複数配管を同時に接続するマルチカプラをはじめ、回転する2色の羽根で冷却水の流れを目視で確認できるフローモニター、各種産業機器への組込み用として最適な真空ポンプ、切削液回収作業の省人化・省力化が可能な切削液回収装置、ロボットに確実に固定可能な自動機対応エアツールシリーズ、強力バッテリとブラシレスモータを搭載したコードレスタイプの手持ち工具、外部起動が可能な電動ドライバシリーズなどを展示します。</x:v>
      </x:c>
      <x:c r="L231" s="7" t="str">
        <x:v>承認・例外対応・停止・復帰の境界は未確認</x:v>
      </x:c>
      <x:c r="M231" s="7" t="str">
        <x:v>2024原典抜粋：一回の操作で複数配管を同時に接続するマルチカプラをはじめ、回転する2色の羽根で冷却水の流れを目視で確認できるフローモニター、各種産業機器への組込み用として最適な真空ポンプ、切削液回収作業の省人化・省力化が可能な切削液回収装置、ロボットに確実に固定可能な自動機対応エアツールシリーズ、強力バッテリとブラシレスモータを搭載したコードレスタイプの手持ち工具、外部起動が可能な電動ドライバシリーズ、電気を使わずに静かにゆっくり閉まるスライディングクローザなどを展示します。 迅速流体継手（カプラ）、省力化機械工具、電動ねじ締めド</x:v>
      </x:c>
      <x:c r="N231" s="7" t="str">
        <x:v>2026原典抜粋：一回の操作で複数配管を同時に接続するマルチカプラをはじめ、回転する2色の羽根で冷却水の流れを目視で確認できるフローモニター、各種産業機器への組込み用として最適な真空ポンプ、切削液回収作業の省人化・省力化が可能な切削液回収装置、ロボットに確実に固定可能な自動機対応エアツールシリーズ、強力バッテリとブラシレスモータを搭載したコードレスタイプの手持ち工具、外部起動が可能な電動ドライバシリーズなどを展示します。</x:v>
      </x:c>
      <x:c r="O231" s="7" t="str">
        <x:v>両年原典あり・機能差未判定</x:v>
      </x:c>
      <x:c r="P231" s="7" t="str">
        <x:v>2026公式カタログ掲載・現地未確認</x:v>
      </x:c>
      <x:c r="Q231" s="7" t="str">
        <x:v>2026展示予定。既存製品・参考出展・構想等は原典で個別確認</x:v>
      </x:c>
      <x:c r="R231" s="7" t="str">
        <x:v>どの作業を自動化・支援するか、入力と判断・操作の範囲、適用条件と人の残作業、2024からの機能差、採用・受注・効果の実測を確認する。</x:v>
      </x:c>
      <x:c r="S231" s="7" t="str">
        <x:v>EEX-EXH-2026-21553e90028cfc5e
EEX-EXH-2024-5ac60314619d5ea3</x:v>
      </x:c>
      <x:c r="T231" s="7" t="str">
        <x:v>EEX-EXH-2026-21553e90028cfc5e: https://www.jimtof.org/search/jp/ESdetails?e=q1qxgLFfjjo
EEX-EXH-2024-5ac60314619d5ea3: https://www.jimtof.org/2024/search/jp/ESdetails?e=wBCJfxjpMoI</x:v>
      </x:c>
      <x:c r="U231" s="7" t="str">
        <x:v>出展説明の関連箇所に基づく一次分類</x:v>
      </x:c>
      <x:c r="V231" s="7"/>
      <x:c r="W231" s="7"/>
      <x:c r="X231" s="7"/>
      <x:c r="Y231" s="7"/>
      <x:c r="Z231" s="7"/>
      <x:c r="AA231" s="7"/>
      <x:c r="AB231" s="7"/>
    </x:row>
    <x:row r="232" ht="170" customHeight="1">
      <x:c r="A232" s="7" t="str">
        <x:v>AC170</x:v>
      </x:c>
      <x:c r="B232" s="20" t="str">
        <x:v>日藤ポリゴン株式会社</x:v>
      </x:c>
      <x:c r="C232" s="7" t="str">
        <x:v>ラジアルボール盤　NR-1600NCF</x:v>
      </x:c>
      <x:c r="D232" s="7" t="str">
        <x:v>S2006</x:v>
      </x:c>
      <x:c r="E232" s="7" t="str">
        <x:v>自動化</x:v>
      </x:c>
      <x:c r="F232" s="7" t="str">
        <x:v>出展説明の関連用途（個別タスクの分解は未完了）</x:v>
      </x:c>
      <x:c r="G232" s="7" t="str">
        <x:v>出展説明に記載。実装位置の個別精査はカードの方式・未確認欄を参照</x:v>
      </x:c>
      <x:c r="H232" s="7" t="str">
        <x:v>原典抜粋：本機は、自動加工、自動バック座ぐり加工、自動断続加工が可能で、長時間の加工においても作業者の負担を軽減できる仕様となっております。 / ラジアルボール盤の加工でお困りの方や、自動化をご検討の方は、ぜひこの機会に実機の稼働をご覧ください。</x:v>
      </x:c>
      <x:c r="I232" s="7" t="str">
        <x:v>個別入力の追加確認が必要</x:v>
      </x:c>
      <x:c r="J232" s="7" t="str">
        <x:v>原典抜粋：本機は、自動加工、自動バック座ぐり加工、自動断続加工が可能で、長時間の加工においても作業者の負担を軽減できる仕様となっております。 / ラジアルボール盤の加工でお困りの方や、自動化をご検討の方は、ぜひこの機会に実機の稼働をご覧ください。</x:v>
      </x:c>
      <x:c r="K232" s="7" t="str">
        <x:v>本機は、自動加工、自動バック座ぐり加工、自動断続加工が可能で、長時間の加工においても作業者の負担を軽減できる仕様となっております。 / ラジアルボール盤の加工でお困りの方や、自動化をご検討の方は、ぜひこの機会に実機の稼働をご覧ください。</x:v>
      </x:c>
      <x:c r="L232" s="7" t="str">
        <x:v>承認・例外対応・停止・復帰の境界は未確認</x:v>
      </x:c>
      <x:c r="M232" s="7" t="str">
        <x:v>2024原典抜粋：弊社は、従来ご好評頂いていたX,Y,C軸の３軸数値制御のVS-200SからZ軸を搭載、X,Y,Z,C軸の４軸数値制御のVS-200Zを此度初出展致します。 Z軸をNC化することで、今まで手動で行っていた下死点調整やラムストロークの調整が容易にできるようになります。キー溝加工、スプライン加工、セレーション加工、内径多角加工などの加工に加え、VS-200Zでは新たにテーパー加工もできるようになりました。 XYCZ４軸CNC搭載スロッターマシンVS-200Z</x:v>
      </x:c>
      <x:c r="N232" s="7" t="str">
        <x:v>2026原典抜粋：本機は、自動加工、自動バック座ぐり加工、自動断続加工が可能で、長時間の加工においても作業者の負担を軽減できる仕様となっております。 / ラジアルボール盤の加工でお困りの方や、自動化をご検討の方は、ぜひこの機会に実機の稼働をご覧ください。</x:v>
      </x:c>
      <x:c r="O232" s="7" t="str">
        <x:v>両年原典あり・機能差未判定</x:v>
      </x:c>
      <x:c r="P232" s="7" t="str">
        <x:v>2026公式カタログ掲載・現地未確認</x:v>
      </x:c>
      <x:c r="Q232" s="7" t="str">
        <x:v>2026展示予定。既存製品・参考出展・構想等は原典で個別確認</x:v>
      </x:c>
      <x:c r="R232" s="7" t="str">
        <x:v>どの作業を自動化・支援するか、入力と判断・操作の範囲、適用条件と人の残作業、2024からの機能差、採用・受注・効果の実測を確認する。</x:v>
      </x:c>
      <x:c r="S232" s="7" t="str">
        <x:v>EEX-EXH-2026-c1d919f8942e67c7
EEX-EXH-2024-ba18dc271550f410</x:v>
      </x:c>
      <x:c r="T232" s="7" t="str">
        <x:v>EEX-EXH-2026-c1d919f8942e67c7: https://www.jimtof.org/search/jp/ESdetails?e=CnCZJeqDIuw
EEX-EXH-2024-ba18dc271550f410: https://www.jimtof.org/2024/search/jp/ESdetails?e=hZaNogHdQM4</x:v>
      </x:c>
      <x:c r="U232" s="7" t="str">
        <x:v>出展説明の関連箇所に基づく一次分類</x:v>
      </x:c>
      <x:c r="V232" s="7"/>
      <x:c r="W232" s="7"/>
      <x:c r="X232" s="7"/>
      <x:c r="Y232" s="7"/>
      <x:c r="Z232" s="7"/>
      <x:c r="AA232" s="7"/>
      <x:c r="AB232" s="7"/>
    </x:row>
    <x:row r="233" ht="170" customHeight="1">
      <x:c r="A233" s="7" t="str">
        <x:v>AC171</x:v>
      </x:c>
      <x:c r="B233" s="20" t="str">
        <x:v>ニデックオーケーケー株式会社</x:v>
      </x:c>
      <x:c r="C233" s="7" t="str">
        <x:v>①５軸制御立形マシニングセンタ　VB-X650</x:v>
      </x:c>
      <x:c r="D233" s="7" t="str">
        <x:v>E3012</x:v>
      </x:c>
      <x:c r="E233" s="7" t="str">
        <x:v>自動化</x:v>
      </x:c>
      <x:c r="F233" s="7" t="str">
        <x:v>出展説明の関連用途（個別タスクの分解は未完了）</x:v>
      </x:c>
      <x:c r="G233" s="7" t="str">
        <x:v>出展説明に記載。実装位置の個別精査はカードの方式・未確認欄を参照</x:v>
      </x:c>
      <x:c r="H233" s="7" t="str">
        <x:v>原典抜粋：大容量パレットストッカや拡張マガジンなどの豊富なオプションをご用意し、お客様の自動化・省力化に貢献するソリューションをご提案します。 / 砥石の自動工具交換機能やNC機能により、研削加工の自動化と高能率・高精度化を実現します。 / お客様の自動化・省力化に貢献します。</x:v>
      </x:c>
      <x:c r="I233" s="7" t="str">
        <x:v>個別入力の追加確認が必要</x:v>
      </x:c>
      <x:c r="J233" s="7" t="str">
        <x:v>原典抜粋：大容量パレットストッカや拡張マガジンなどの豊富なオプションをご用意し、お客様の自動化・省力化に貢献するソリューションをご提案します。 / 砥石の自動工具交換機能やNC機能により、研削加工の自動化と高能率・高精度化を実現します。 / お客様の自動化・省力化に貢献します。</x:v>
      </x:c>
      <x:c r="K233" s="7" t="str">
        <x:v>大容量パレットストッカや拡張マガジンなどの豊富なオプションをご用意し、お客様の自動化・省力化に貢献するソリューションをご提案します。 / 砥石の自動工具交換機能やNC機能により、研削加工の自動化と高能率・高精度化を実現します。 / お客様の自動化・省力化に貢献します。</x:v>
      </x:c>
      <x:c r="L233" s="7" t="str">
        <x:v>承認・例外対応・停止・復帰の境界は未確認</x:v>
      </x:c>
      <x:c r="M233" s="7" t="str">
        <x:v>2024原典抜粋：NIDECグループとしてニデックマシンツール・TAKISAWAとともに出展。 マシニングセンタの新モデル・新機能をご紹介。工程集約やリードタイム削減、加工精度向上、また自動化や省人化をご提案します。 ・5軸制御 横形マシニングセンタ [新製品] ・5軸制御 立形マシニングセンタVB-X650 ・横形マシニングセンタHMC500</x:v>
      </x:c>
      <x:c r="N233" s="7" t="str">
        <x:v>2026原典抜粋：大容量パレットストッカや拡張マガジンなどの豊富なオプションをご用意し、お客様の自動化・省力化に貢献するソリューションをご提案します。 / 砥石の自動工具交換機能やNC機能により、研削加工の自動化と高能率・高精度化を実現します。 / お客様の自動化・省力化に貢献します。</x:v>
      </x:c>
      <x:c r="O233" s="7" t="str">
        <x:v>両年原典あり・機能差未判定</x:v>
      </x:c>
      <x:c r="P233" s="7" t="str">
        <x:v>2026公式カタログ掲載・現地未確認</x:v>
      </x:c>
      <x:c r="Q233" s="7" t="str">
        <x:v>2026展示予定。既存製品・参考出展・構想等は原典で個別確認</x:v>
      </x:c>
      <x:c r="R233" s="7" t="str">
        <x:v>どの作業を自動化・支援するか、入力と判断・操作の範囲、適用条件と人の残作業、2024からの機能差、採用・受注・効果の実測を確認する。</x:v>
      </x:c>
      <x:c r="S233" s="7" t="str">
        <x:v>EEX-EXH-2026-3211cafa924b2f84
EEX-EXH-2024-44f5c8e1a79f9707</x:v>
      </x:c>
      <x:c r="T233" s="7" t="str">
        <x:v>EEX-EXH-2026-3211cafa924b2f84: https://www.jimtof.org/search/jp/ESdetails?e=cIGcLA71ub0
EEX-EXH-2024-44f5c8e1a79f9707: https://www.jimtof.org/2024/search/jp/ESdetails?e=15EOJWcvGE8</x:v>
      </x:c>
      <x:c r="U233" s="7" t="str">
        <x:v>出展説明の関連箇所に基づく一次分類</x:v>
      </x:c>
      <x:c r="V233" s="7"/>
      <x:c r="W233" s="7"/>
      <x:c r="X233" s="7"/>
      <x:c r="Y233" s="7"/>
      <x:c r="Z233" s="7"/>
      <x:c r="AA233" s="7"/>
      <x:c r="AB233" s="7"/>
    </x:row>
    <x:row r="234" ht="170" customHeight="1">
      <x:c r="A234" s="7" t="str">
        <x:v>AC172</x:v>
      </x:c>
      <x:c r="B234" s="20" t="str">
        <x:v>ニデックマシンツール株式会社</x:v>
      </x:c>
      <x:c r="C234" s="7" t="str">
        <x:v>①門形五面加工機　MVR-Hx</x:v>
      </x:c>
      <x:c r="D234" s="7" t="str">
        <x:v>E3011</x:v>
      </x:c>
      <x:c r="E234" s="7" t="str">
        <x:v>設計・製造DX
工場運用DX
自動化</x:v>
      </x:c>
      <x:c r="F234" s="7" t="str">
        <x:v>出展説明の関連用途（個別タスクの分解は未完了）</x:v>
      </x:c>
      <x:c r="G234" s="7" t="str">
        <x:v>出展説明に記載。実装位置の個別精査はカードの方式・未確認欄を参照</x:v>
      </x:c>
      <x:c r="H234" s="7" t="str">
        <x:v>原典抜粋：「NIDECギヤ加工ソリューション」として、荒加工～仕上げ加工、量産～少量多品種・工程集約まで、ロボットや自動車に対応した最新の歯車加工ソリューションをご提案します。 / デジタルツインの活用により、加工前のシミュレーションから検証までを仮想空間で行い、効率化・省人化を実現する『未来の生産のあり方』をご提案します。 / 新開発「NC2軸アタッチメント」によるデモと、デジタルツインプラットフォーム「Nidec NC Twin」も紹介。</x:v>
      </x:c>
      <x:c r="I234" s="7" t="str">
        <x:v>個別入力の追加確認が必要</x:v>
      </x:c>
      <x:c r="J234" s="7" t="str">
        <x:v>原典抜粋：「NIDECギヤ加工ソリューション」として、荒加工～仕上げ加工、量産～少量多品種・工程集約まで、ロボットや自動車に対応した最新の歯車加工ソリューションをご提案します。 / デジタルツインの活用により、加工前のシミュレーションから検証までを仮想空間で行い、効率化・省人化を実現する『未来の生産のあり方』をご提案します。 / 新開発「NC2軸アタッチメント」によるデモと、デジタルツインプラットフォーム「Nidec NC Twin」も紹介。</x:v>
      </x:c>
      <x:c r="K234" s="7" t="str">
        <x:v>「NIDECギヤ加工ソリューション」として、荒加工～仕上げ加工、量産～少量多品種・工程集約まで、ロボットや自動車に対応した最新の歯車加工ソリューションをご提案します。 / デジタルツインの活用により、加工前のシミュレーションから検証までを仮想空間で行い、効率化・省人化を実現する『未来の生産のあり方』をご提案します。 / 新開発「NC2軸アタッチメント」によるデモと、デジタルツインプラットフォーム「Nidec NC Twin」も紹介。</x:v>
      </x:c>
      <x:c r="L234" s="7" t="str">
        <x:v>承認・例外対応・停止・復帰の境界は未確認</x:v>
      </x:c>
      <x:c r="M234" s="7" t="str">
        <x:v>2024原典抜粋：NIDECグループとしてニデックオーケーケー・TAKISAWAとともに出展。 【歯車加工分野】 「NIDECギヤ加工ソリューション」として、荒加工～仕上げ加工、量産～少量多品種・工程集約まで、EVシフトに対応した最新の歯車加工ソリューションをご提案。 【大物加工分野】 豊富な門形機ラインナップからMVR-Hx を実機展示。デジタルツインにより、多くの工程を仮想空間で完結。効率化・省人化された『未来の生産のあり方』をご提案。 ・門形五面加工機MVR-Hx ・複合加工機【新製品】 ・歯車研削盤ZFAシリーズ【新製品】 </x:v>
      </x:c>
      <x:c r="N234" s="7" t="str">
        <x:v>2026原典抜粋：「NIDECギヤ加工ソリューション」として、荒加工～仕上げ加工、量産～少量多品種・工程集約まで、ロボットや自動車に対応した最新の歯車加工ソリューションをご提案します。 / デジタルツインの活用により、加工前のシミュレーションから検証までを仮想空間で行い、効率化・省人化を実現する『未来の生産のあり方』をご提案します。 / 新開発「NC2軸アタッチメント」によるデモと、デジタルツインプラットフォーム「Nidec NC Twin」も紹介。</x:v>
      </x:c>
      <x:c r="O234" s="7" t="str">
        <x:v>両年原典あり・機能差未判定</x:v>
      </x:c>
      <x:c r="P234" s="7" t="str">
        <x:v>2026公式カタログ掲載・現地未確認</x:v>
      </x:c>
      <x:c r="Q234" s="7" t="str">
        <x:v>2026展示予定。既存製品・参考出展・構想等は原典で個別確認</x:v>
      </x:c>
      <x:c r="R234" s="7" t="str">
        <x:v>どの作業を自動化・支援するか、入力と判断・操作の範囲、適用条件と人の残作業、2024からの機能差、採用・受注・効果の実測を確認する。</x:v>
      </x:c>
      <x:c r="S234" s="7" t="str">
        <x:v>EEX-EXH-2026-d31a435d31c2b6eb
EEX-EXH-2024-0059d4657b27c088
EEX-EXH-2024-3301c67db4bb9dd4</x:v>
      </x:c>
      <x:c r="T234" s="7" t="str">
        <x:v>EEX-EXH-2026-d31a435d31c2b6eb: https://www.jimtof.org/search/jp/ESdetails?e=oS1WYTzqdvg
EEX-EXH-2024-0059d4657b27c088: https://www.jimtof.org/2024/search/jp/ESdetails?e=F6J7FmEp-qk
EEX-EXH-2024-3301c67db4bb9dd4: https://www.jimtof.org/2024/search/jp/ESdetails?e=QF9JlOzN9Gk</x:v>
      </x:c>
      <x:c r="U234" s="7" t="str">
        <x:v>出展説明の関連箇所に基づく一次分類</x:v>
      </x:c>
      <x:c r="V234" s="7"/>
      <x:c r="W234" s="7"/>
      <x:c r="X234" s="7"/>
      <x:c r="Y234" s="7"/>
      <x:c r="Z234" s="7"/>
      <x:c r="AA234" s="7"/>
      <x:c r="AB234" s="7"/>
    </x:row>
    <x:row r="235" ht="170" customHeight="1">
      <x:c r="A235" s="7" t="str">
        <x:v>AC173</x:v>
      </x:c>
      <x:c r="B235" s="20" t="str">
        <x:v>日本オイルポンプ株式会社</x:v>
      </x:c>
      <x:c r="C235" s="7" t="str">
        <x:v>クーラントタンクユニットTNC</x:v>
      </x:c>
      <x:c r="D235" s="7" t="str">
        <x:v>W2046</x:v>
      </x:c>
      <x:c r="E235" s="7" t="str">
        <x:v>自動化</x:v>
      </x:c>
      <x:c r="F235" s="7" t="str">
        <x:v>出展説明の関連用途（個別タスクの分解は未完了）</x:v>
      </x:c>
      <x:c r="G235" s="7" t="str">
        <x:v>出展説明に記載。実装位置の個別精査はカードの方式・未確認欄を参照</x:v>
      </x:c>
      <x:c r="H235" s="7" t="str">
        <x:v>原典抜粋：クーラントタンク及び周辺機器のメンテナンス軽減、生産効率向上、省人化へ提案！ / ■BT30番マシニングセンター専用　全量ろ過機能付きクーラントタンクユニット『TNC』 / スケルトンデモ機による疑似切粉を使用したデモ実演。 / 普段見ることが出来ないクーラントタンク内のスラッジ堆積抑制状況をご覧頂けます。 / ■ろ過機能付きNOPフィルターポンプ『YTH-GCI』 / 疑似切粉を使用したデモ実演。 / 内蔵サイクロンフィルターによるろ</x:v>
      </x:c>
      <x:c r="I235" s="7" t="str">
        <x:v>個別入力の追加確認が必要</x:v>
      </x:c>
      <x:c r="J235" s="7" t="str">
        <x:v>原典抜粋：クーラントタンク及び周辺機器のメンテナンス軽減、生産効率向上、省人化へ提案！ / ■BT30番マシニングセンター専用　全量ろ過機能付きクーラントタンクユニット『TNC』 / スケルトンデモ機による疑似切粉を使用したデモ実演。 / 普段見ることが出来ないクーラントタンク内のスラッジ堆積抑制状況をご覧頂けます。 / ■ろ過機能付きNOPフィルターポンプ『YTH-GCI』 / 疑似切粉を使用したデモ実演。 / 内蔵サイクロンフィルターによるろ</x:v>
      </x:c>
      <x:c r="K235" s="7" t="str">
        <x:v>クーラントタンク及び周辺機器のメンテナンス軽減、生産効率向上、省人化へ提案！ / ■BT30番マシニングセンター専用　全量ろ過機能付きクーラントタンクユニット『TNC』 / スケルトンデモ機による疑似切粉を使用したデモ実演。 / 普段見ることが出来ないクーラントタンク内のスラッジ堆積抑制状況をご覧頂けます。 / ■ろ過機能付きNOPフィルターポンプ『YTH-GCI』 / 疑似切粉を使用したデモ実演。 / 内蔵サイクロンフィルターによるろ</x:v>
      </x:c>
      <x:c r="L235" s="7" t="str">
        <x:v>承認・例外対応・停止・復帰の境界は未確認</x:v>
      </x:c>
      <x:c r="M235" s="7" t="str">
        <x:v>2024原典抜粋：■BT30番マシニングセンター専用クーラントユニット『TNC』と『シンプルTNC』のデモ機を展示 ・『TNC』は、スケルトンデモ機による疑似切粉を使用したデモ実演。 普段見ることが出来ないクーラントタンク内のスラッジ堆積抑制状況をご覧頂けます。 ・『シンプルTNC』は、参考出品にて初展示。 流体解析によるクーラントタンク内のスラッジ堆積抑制状況をご覧頂けます。 ～スラッジ堆積の抑制メカニズム～ ①加工機から排出される大きな切粉は、2段式スクレーパーコンベア上段で回収排出します。 ②2段スクレーパーコンベア上段で回収</x:v>
      </x:c>
      <x:c r="N235" s="7" t="str">
        <x:v>2026原典抜粋：クーラントタンク及び周辺機器のメンテナンス軽減、生産効率向上、省人化へ提案！ / ■BT30番マシニングセンター専用　全量ろ過機能付きクーラントタンクユニット『TNC』 / スケルトンデモ機による疑似切粉を使用したデモ実演。 / 普段見ることが出来ないクーラントタンク内のスラッジ堆積抑制状況をご覧頂けます。 / ■ろ過機能付きNOPフィルターポンプ『YTH-GCI』 / 疑似切粉を使用したデモ実演。 / 内蔵サイクロンフィルターによるろ</x:v>
      </x:c>
      <x:c r="O235" s="7" t="str">
        <x:v>両年原典あり・機能差未判定</x:v>
      </x:c>
      <x:c r="P235" s="7" t="str">
        <x:v>2026公式カタログ掲載・現地未確認</x:v>
      </x:c>
      <x:c r="Q235" s="7" t="str">
        <x:v>2026展示予定。既存製品・参考出展・構想等は原典で個別確認</x:v>
      </x:c>
      <x:c r="R235" s="7" t="str">
        <x:v>どの作業を自動化・支援するか、入力と判断・操作の範囲、適用条件と人の残作業、2024からの機能差、採用・受注・効果の実測を確認する。</x:v>
      </x:c>
      <x:c r="S235" s="7" t="str">
        <x:v>EEX-EXH-2026-6e7223502c4d3ca8
EEX-EXH-2024-d408d6725e492acc</x:v>
      </x:c>
      <x:c r="T235" s="7" t="str">
        <x:v>EEX-EXH-2026-6e7223502c4d3ca8: https://www.jimtof.org/search/jp/ESdetails?e=fHAxXsO-42I
EEX-EXH-2024-d408d6725e492acc: https://www.jimtof.org/2024/search/jp/ESdetails?e=QJX40Pc2NMI</x:v>
      </x:c>
      <x:c r="U235" s="7" t="str">
        <x:v>出展説明の関連箇所に基づく一次分類</x:v>
      </x:c>
      <x:c r="V235" s="7"/>
      <x:c r="W235" s="7"/>
      <x:c r="X235" s="7"/>
      <x:c r="Y235" s="7"/>
      <x:c r="Z235" s="7"/>
      <x:c r="AA235" s="7"/>
      <x:c r="AB235" s="7"/>
    </x:row>
    <x:row r="236" ht="170" customHeight="1">
      <x:c r="A236" s="7" t="str">
        <x:v>AC174</x:v>
      </x:c>
      <x:c r="B236" s="20" t="str">
        <x:v>日本オートマチックマシン株式会社</x:v>
      </x:c>
      <x:c r="C236" s="7" t="str">
        <x:v>新型の高速サーボプレスを用いた量産のご提案</x:v>
      </x:c>
      <x:c r="D236" s="7" t="str">
        <x:v>W2009</x:v>
      </x:c>
      <x:c r="E236" s="7" t="str">
        <x:v>自動化</x:v>
      </x:c>
      <x:c r="F236" s="7" t="str">
        <x:v>出展説明の関連用途（個別タスクの分解は未完了）</x:v>
      </x:c>
      <x:c r="G236" s="7" t="str">
        <x:v>出展説明に記載。実装位置の個別精査はカードの方式・未確認欄を参照</x:v>
      </x:c>
      <x:c r="H236" s="7" t="str">
        <x:v>原典抜粋：最新のサーボプレスおよび油圧プレスを活用した自動化・省人化ソリューションをご提案します。 / さらに、刃の自動送り機構を搭載した新しい面取機を展示し、面取り作業の効率化や品質の安定化を実現する最新技術をご紹介します。 / ・新型の精密サーボプレスを用いた自動化のご提案 / ・油圧プレスと産業ロボットを用いた自動化のご提案</x:v>
      </x:c>
      <x:c r="I236" s="7" t="str">
        <x:v>個別入力の追加確認が必要</x:v>
      </x:c>
      <x:c r="J236" s="7" t="str">
        <x:v>原典抜粋：最新のサーボプレスおよび油圧プレスを活用した自動化・省人化ソリューションをご提案します。 / さらに、刃の自動送り機構を搭載した新しい面取機を展示し、面取り作業の効率化や品質の安定化を実現する最新技術をご紹介します。 / ・新型の精密サーボプレスを用いた自動化のご提案 / ・油圧プレスと産業ロボットを用いた自動化のご提案</x:v>
      </x:c>
      <x:c r="K236" s="7" t="str">
        <x:v>最新のサーボプレスおよび油圧プレスを活用した自動化・省人化ソリューションをご提案します。 / さらに、刃の自動送り機構を搭載した新しい面取機を展示し、面取り作業の効率化や品質の安定化を実現する最新技術をご紹介します。 / ・新型の精密サーボプレスを用いた自動化のご提案 / ・油圧プレスと産業ロボットを用いた自動化のご提案</x:v>
      </x:c>
      <x:c r="L236" s="7" t="str">
        <x:v>承認・例外対応・停止・復帰の境界は未確認</x:v>
      </x:c>
      <x:c r="M236" s="7" t="str">
        <x:v>2024原典抜粋：【精密バイス】自動化、省人化へのご提案としてExc's(イクシーズ)シリーズを展示。 オートクランプバイスや自動搬送ロボットやCNC円テーブルとのコラボ展示で、自動搬送のイメージを具現化。自動化に不可欠な高精度バイスを多数出展する。 【プレス】新たに高速4柱サーボプレス”RSS1000P"を初公開。プレス機本体は当社独自のコンパクト設計で、生産ラインのレイアウトもしやすく省スペース化ができる。ストローク数は最大600s.p.m.まで設定可能なため、生産性向上にも貢献します。また新型プレス"Z"シリーズは高精度でカス</x:v>
      </x:c>
      <x:c r="N236" s="7" t="str">
        <x:v>2026原典抜粋：最新のサーボプレスおよび油圧プレスを活用した自動化・省人化ソリューションをご提案します。 / さらに、刃の自動送り機構を搭載した新しい面取機を展示し、面取り作業の効率化や品質の安定化を実現する最新技術をご紹介します。 / ・新型の精密サーボプレスを用いた自動化のご提案 / ・油圧プレスと産業ロボットを用いた自動化のご提案</x:v>
      </x:c>
      <x:c r="O236" s="7" t="str">
        <x:v>両年原典あり・機能差未判定</x:v>
      </x:c>
      <x:c r="P236" s="7" t="str">
        <x:v>2026公式カタログ掲載・現地未確認</x:v>
      </x:c>
      <x:c r="Q236" s="7" t="str">
        <x:v>2026展示予定。既存製品・参考出展・構想等は原典で個別確認</x:v>
      </x:c>
      <x:c r="R236" s="7" t="str">
        <x:v>どの作業を自動化・支援するか、入力と判断・操作の範囲、適用条件と人の残作業、2024からの機能差、採用・受注・効果の実測を確認する。</x:v>
      </x:c>
      <x:c r="S236" s="7" t="str">
        <x:v>EEX-EXH-2026-720ee83a35850033
EEX-EXH-2024-319924ee07900c3f</x:v>
      </x:c>
      <x:c r="T236" s="7" t="str">
        <x:v>EEX-EXH-2026-720ee83a35850033: https://www.jimtof.org/search/jp/ESdetails?e=sGohRmZeceo
EEX-EXH-2024-319924ee07900c3f: https://www.jimtof.org/2024/search/jp/ESdetails?e=gu-Bf9cZXn4</x:v>
      </x:c>
      <x:c r="U236" s="7" t="str">
        <x:v>出展説明の関連箇所に基づく一次分類</x:v>
      </x:c>
      <x:c r="V236" s="7"/>
      <x:c r="W236" s="7"/>
      <x:c r="X236" s="7"/>
      <x:c r="Y236" s="7"/>
      <x:c r="Z236" s="7"/>
      <x:c r="AA236" s="7"/>
      <x:c r="AB236" s="7"/>
    </x:row>
    <x:row r="237" ht="170" customHeight="1">
      <x:c r="A237" s="7" t="str">
        <x:v>AC175</x:v>
      </x:c>
      <x:c r="B237" s="20" t="str">
        <x:v>日本キスラー合同会社</x:v>
      </x:c>
      <x:c r="C237" s="7" t="str">
        <x:v>【水晶圧電式ワイヤレス回転式動力計9171B】</x:v>
      </x:c>
      <x:c r="D237" s="7" t="str">
        <x:v>S4031</x:v>
      </x:c>
      <x:c r="E237" s="7" t="str">
        <x:v>工場運用DX
自動化
AI実装・連携基盤</x:v>
      </x:c>
      <x:c r="F237" s="7" t="str">
        <x:v>出展説明の関連用途（個別タスクの分解は未完了）</x:v>
      </x:c>
      <x:c r="G237" s="7" t="str">
        <x:v>出展説明に記載。実装位置の個別精査はカードの方式・未確認欄を参照</x:v>
      </x:c>
      <x:c r="H237" s="7" t="str">
        <x:v>原典抜粋：タレット旋盤、多軸加工機、ロボット、組立ラインなどの稼働構造部での連続的な測定を実現します。 / ・自動分析ソフトウェア（Piezo Tool System）</x:v>
      </x:c>
      <x:c r="I237" s="7" t="str">
        <x:v>個別入力の追加確認が必要</x:v>
      </x:c>
      <x:c r="J237" s="7" t="str">
        <x:v>原典抜粋：タレット旋盤、多軸加工機、ロボット、組立ラインなどの稼働構造部での連続的な測定を実現します。 / ・自動分析ソフトウェア（Piezo Tool System）</x:v>
      </x:c>
      <x:c r="K237" s="7" t="str">
        <x:v>タレット旋盤、多軸加工機、ロボット、組立ラインなどの稼働構造部での連続的な測定を実現します。 / ・自動分析ソフトウェア（Piezo Tool System）</x:v>
      </x:c>
      <x:c r="L237" s="7" t="str">
        <x:v>承認・例外対応・停止・復帰の境界は未確認</x:v>
      </x:c>
      <x:c r="M237" s="7" t="str">
        <x:v>2024原典抜粋：キスラーは切削・研削加工向けに 2 つの製品を展示します。 【水晶圧電式ワイヤレス回転式動力計】 水晶圧電式素子を内蔵したワイヤレス回転式動力計 は 3 軸（Fx,Fy,Fz）の力とトルク（Mz）を最高の精度で測定します。 無線でデータを送信するため、加工機側に一切の変更を加えずに、容易にご利用いただけます。特に、複数の加工機を用いる量産工程で効果的です。 【ピエゾツールシステムPTS App.】 ワイヤレス回転式動力計と産業用と向けに開発されたソフトウェアPTS App.を組み合わせることで、高度な測定やプロセス</x:v>
      </x:c>
      <x:c r="N237" s="7" t="str">
        <x:v>2026原典抜粋：タレット旋盤、多軸加工機、ロボット、組立ラインなどの稼働構造部での連続的な測定を実現します。 / ・自動分析ソフトウェア（Piezo Tool System）</x:v>
      </x:c>
      <x:c r="O237" s="7" t="str">
        <x:v>両年原典あり・機能差未判定</x:v>
      </x:c>
      <x:c r="P237" s="7" t="str">
        <x:v>2026公式カタログ掲載・現地未確認</x:v>
      </x:c>
      <x:c r="Q237" s="7" t="str">
        <x:v>2026展示予定。既存製品・参考出展・構想等は原典で個別確認</x:v>
      </x:c>
      <x:c r="R237" s="7" t="str">
        <x:v>どの作業を自動化・支援するか、入力と判断・操作の範囲、適用条件と人の残作業、2024からの機能差、採用・受注・効果の実測を確認する。</x:v>
      </x:c>
      <x:c r="S237" s="7" t="str">
        <x:v>EEX-EXH-2026-e0340858cb52d52f
EEX-EXH-2024-a947d5bb3582cb0e</x:v>
      </x:c>
      <x:c r="T237" s="7" t="str">
        <x:v>EEX-EXH-2026-e0340858cb52d52f: https://www.jimtof.org/search/jp/ESdetails?e=7Gt1ylw_a8s
EEX-EXH-2024-a947d5bb3582cb0e: https://www.jimtof.org/2024/search/jp/ESdetails?e=OdShO16iijA</x:v>
      </x:c>
      <x:c r="U237" s="7" t="str">
        <x:v>出展説明の関連箇所に基づく一次分類</x:v>
      </x:c>
      <x:c r="V237" s="7"/>
      <x:c r="W237" s="7"/>
      <x:c r="X237" s="7"/>
      <x:c r="Y237" s="7"/>
      <x:c r="Z237" s="7"/>
      <x:c r="AA237" s="7"/>
      <x:c r="AB237" s="7"/>
    </x:row>
    <x:row r="238" ht="170" customHeight="1">
      <x:c r="A238" s="7" t="str">
        <x:v>AC176</x:v>
      </x:c>
      <x:c r="B238" s="20" t="str">
        <x:v>日本クリンゲルンベルグ株式会社</x:v>
      </x:c>
      <x:c r="C238" s="7" t="str">
        <x:v>Klingelnbergブースでは、歯車設計から加工、測定、品質保証、デジタル化までをシームレスにつなぐトータルソリューションをご紹介します。</x:v>
      </x:c>
      <x:c r="D238" s="7" t="str">
        <x:v>E1006</x:v>
      </x:c>
      <x:c r="E238" s="7" t="str">
        <x:v>設計・製造DX
工場運用DX</x:v>
      </x:c>
      <x:c r="F238" s="7" t="str">
        <x:v>出展説明の関連用途（個別タスクの分解は未完了）</x:v>
      </x:c>
      <x:c r="G238" s="7" t="str">
        <x:v>出展説明に記載。実装位置の個別精査はカードの方式・未確認欄を参照</x:v>
      </x:c>
      <x:c r="H238" s="7" t="str">
        <x:v>原典抜粋：JIMTOF 2026では、電動化が進む自動車産業をはじめ、風力発電、鉄道、航空宇宙、船舶など、幅広い分野を支える最新の歯車加工・測定技術をご紹介します。 / さらに、品質保証や生産性向上につながる最新のデジタルソリューションもご提案します。 / ベベルギヤ加工、円筒歯車加工、精密測定からデジタルソリューションまで、歯車製造の未来を支えるKlingelnbergの最新技術を、ぜひ会場でご覧ください。 / Klingelnbergブースで</x:v>
      </x:c>
      <x:c r="I238" s="7" t="str">
        <x:v>個別入力の追加確認が必要</x:v>
      </x:c>
      <x:c r="J238" s="7" t="str">
        <x:v>原典抜粋：JIMTOF 2026では、電動化が進む自動車産業をはじめ、風力発電、鉄道、航空宇宙、船舶など、幅広い分野を支える最新の歯車加工・測定技術をご紹介します。 / さらに、品質保証や生産性向上につながる最新のデジタルソリューションもご提案します。 / ベベルギヤ加工、円筒歯車加工、精密測定からデジタルソリューションまで、歯車製造の未来を支えるKlingelnbergの最新技術を、ぜひ会場でご覧ください。 / Klingelnbergブースで</x:v>
      </x:c>
      <x:c r="K238" s="7" t="str">
        <x:v>JIMTOF 2026では、電動化が進む自動車産業をはじめ、風力発電、鉄道、航空宇宙、船舶など、幅広い分野を支える最新の歯車加工・測定技術をご紹介します。 / さらに、品質保証や生産性向上につながる最新のデジタルソリューションもご提案します。 / ベベルギヤ加工、円筒歯車加工、精密測定からデジタルソリューションまで、歯車製造の未来を支えるKlingelnbergの最新技術を、ぜひ会場でご覧ください。 / Klingelnbergブースで</x:v>
      </x:c>
      <x:c r="L238" s="7" t="str">
        <x:v>承認・例外対応・停止・復帰の境界は未確認</x:v>
      </x:c>
      <x:c r="M238" s="7" t="str">
        <x:v>2024原典抜粋：KLINGELNBERGは、歯車産業における世界有数のマーケットリーダーであり、テクノロジーリーダーの一つです。ベベルギヤや円筒歯車を製造する機械の開発・製造、あらゆる種類の軸対称物の測定センター、顧客のニーズに応じた高精度の歯車部品の製造などを手掛けています。 クリンゲルンベルグは1863年に創業された家族経営の企業で、製品とサービスの品質への徹底したこだわりと絶対的な信頼性によって、創業からグローバル市場をリードしてきました。世界中に多数の研究開発エンジニアを擁し、200件以上の特許を保有するなど、絶えずイノベ</x:v>
      </x:c>
      <x:c r="N238" s="7" t="str">
        <x:v>2026原典抜粋：JIMTOF 2026では、電動化が進む自動車産業をはじめ、風力発電、鉄道、航空宇宙、船舶など、幅広い分野を支える最新の歯車加工・測定技術をご紹介します。 / さらに、品質保証や生産性向上につながる最新のデジタルソリューションもご提案します。 / ベベルギヤ加工、円筒歯車加工、精密測定からデジタルソリューションまで、歯車製造の未来を支えるKlingelnbergの最新技術を、ぜひ会場でご覧ください。 / Klingelnbergブースで</x:v>
      </x:c>
      <x:c r="O238" s="7" t="str">
        <x:v>両年原典あり・機能差未判定</x:v>
      </x:c>
      <x:c r="P238" s="7" t="str">
        <x:v>2026公式カタログ掲載・現地未確認</x:v>
      </x:c>
      <x:c r="Q238" s="7" t="str">
        <x:v>2026展示予定。既存製品・参考出展・構想等は原典で個別確認</x:v>
      </x:c>
      <x:c r="R238" s="7" t="str">
        <x:v>どの作業を自動化・支援するか、入力と判断・操作の範囲、適用条件と人の残作業、2024からの機能差、採用・受注・効果の実測を確認する。</x:v>
      </x:c>
      <x:c r="S238" s="7" t="str">
        <x:v>EEX-EXH-2026-fcc72e415a9d406e
EEX-EXH-2024-087452d324f56f4f</x:v>
      </x:c>
      <x:c r="T238" s="7" t="str">
        <x:v>EEX-EXH-2026-fcc72e415a9d406e: https://www.jimtof.org/search/jp/ESdetails?e=K8FKaawJkn0
EEX-EXH-2024-087452d324f56f4f: https://www.jimtof.org/2024/search/jp/ESdetails?e=6UZSB6PuDNs</x:v>
      </x:c>
      <x:c r="U238" s="7" t="str">
        <x:v>出展説明の関連箇所に基づく一次分類</x:v>
      </x:c>
      <x:c r="V238" s="7"/>
      <x:c r="W238" s="7"/>
      <x:c r="X238" s="7"/>
      <x:c r="Y238" s="7"/>
      <x:c r="Z238" s="7"/>
      <x:c r="AA238" s="7"/>
      <x:c r="AB238" s="7"/>
    </x:row>
    <x:row r="239" ht="170" customHeight="1">
      <x:c r="A239" s="7" t="str">
        <x:v>AC177</x:v>
      </x:c>
      <x:c r="B239" s="20" t="str">
        <x:v>日本スピードショア株式会社</x:v>
      </x:c>
      <x:c r="C239" s="7" t="str">
        <x:v>エアロラップ、レーザークリーニング装置</x:v>
      </x:c>
      <x:c r="D239" s="7" t="str">
        <x:v>E1065</x:v>
      </x:c>
      <x:c r="E239" s="7" t="str">
        <x:v>自動化</x:v>
      </x:c>
      <x:c r="F239" s="7" t="str">
        <x:v>出展説明の関連用途（個別タスクの分解は未完了）</x:v>
      </x:c>
      <x:c r="G239" s="7" t="str">
        <x:v>出展説明に記載。実装位置の個別精査はカードの方式・未確認欄を参照</x:v>
      </x:c>
      <x:c r="H239" s="7" t="str">
        <x:v>原典抜粋：また、汎用機の他に協働ロボット仕様の稼働展示も行います。</x:v>
      </x:c>
      <x:c r="I239" s="7" t="str">
        <x:v>個別入力の追加確認が必要</x:v>
      </x:c>
      <x:c r="J239" s="7" t="str">
        <x:v>原典抜粋：また、汎用機の他に協働ロボット仕様の稼働展示も行います。</x:v>
      </x:c>
      <x:c r="K239" s="7" t="str">
        <x:v>また、汎用機の他に協働ロボット仕様の稼働展示も行います。</x:v>
      </x:c>
      <x:c r="L239" s="7" t="str">
        <x:v>承認・例外対応・停止・復帰の境界は未確認</x:v>
      </x:c>
      <x:c r="M239" s="7" t="str">
        <x:v>2024原典抜粋：本展示会では、水分を含有した研磨材を用いる事で、誰でも簡単に、短時間で鏡面磨きが可能なブラスト装置【エアロラップ】を出展致します。 汎用仕様は勿論、自動化ロボット仕様や、本展示会が初出展となる協働ロボット仕様の稼働展示も行います。 実際に展示会場での加工体験も可能となりますので、エアロラップで磨きを試したい物が御座いましたら、是非お持ち込み下さい。 その他にも設備保全分野で、配管内の流量を外部から測る事が可能な【超音波式外付け流量計測器】や、静電気を用いて油内の不純物を除去する【静電浄油機】も展示致します。 お客様</x:v>
      </x:c>
      <x:c r="N239" s="7" t="str">
        <x:v>2026原典抜粋：また、汎用機の他に協働ロボット仕様の稼働展示も行います。</x:v>
      </x:c>
      <x:c r="O239" s="7" t="str">
        <x:v>両年原典あり・機能差未判定</x:v>
      </x:c>
      <x:c r="P239" s="7" t="str">
        <x:v>2026公式カタログ掲載・現地未確認</x:v>
      </x:c>
      <x:c r="Q239" s="7" t="str">
        <x:v>2026展示予定。既存製品・参考出展・構想等は原典で個別確認</x:v>
      </x:c>
      <x:c r="R239" s="7" t="str">
        <x:v>どの作業を自動化・支援するか、入力と判断・操作の範囲、適用条件と人の残作業、2024からの機能差、採用・受注・効果の実測を確認する。</x:v>
      </x:c>
      <x:c r="S239" s="7" t="str">
        <x:v>EEX-EXH-2026-89d5c82f4efcbe2c
EEX-EXH-2024-8b115228c947b519</x:v>
      </x:c>
      <x:c r="T239" s="7" t="str">
        <x:v>EEX-EXH-2026-89d5c82f4efcbe2c: https://www.jimtof.org/search/jp/ESdetails?e=MoNymoTMXc4
EEX-EXH-2024-8b115228c947b519: https://www.jimtof.org/2024/search/jp/ESdetails?e=6upRHAJ7DeY</x:v>
      </x:c>
      <x:c r="U239" s="7" t="str">
        <x:v>出展説明の関連箇所に基づく一次分類</x:v>
      </x:c>
      <x:c r="V239" s="7"/>
      <x:c r="W239" s="7"/>
      <x:c r="X239" s="7"/>
      <x:c r="Y239" s="7"/>
      <x:c r="Z239" s="7"/>
      <x:c r="AA239" s="7"/>
      <x:c r="AB239" s="7"/>
    </x:row>
    <x:row r="240" ht="170" customHeight="1">
      <x:c r="A240" s="7" t="str">
        <x:v>AC178</x:v>
      </x:c>
      <x:c r="B240" s="20" t="str">
        <x:v>日本3Dプリンター株式会社</x:v>
      </x:c>
      <x:c r="C240" s="7" t="str">
        <x:v>NEW※圧倒的な高速・安定造形を同時に実現 Raise3D T Series 3Dプリンター</x:v>
      </x:c>
      <x:c r="D240" s="7" t="str">
        <x:v>S2014</x:v>
      </x:c>
      <x:c r="E240" s="7" t="str">
        <x:v>検査・診断・予測AI
自動化</x:v>
      </x:c>
      <x:c r="F240" s="7" t="str">
        <x:v>出展説明の関連用途（個別タスクの分解は未完了）</x:v>
      </x:c>
      <x:c r="G240" s="7" t="str">
        <x:v>出展説明に記載。実装位置の個別精査はカードの方式・未確認欄を参照</x:v>
      </x:c>
      <x:c r="H240" s="7" t="str">
        <x:v>原典抜粋：創業以来13年間、5000社以上の法人様・500以上の教育機関/研究機関に導入いただき、自動車、電気機器、医療、宇宙、航空、製品設計など幅広い業界の実績がございます。 / NEW※圧倒的な高速・安定造形を同時に実現 Raise3D T Series 3Dプリンター / 新世代の主力モデル「Raise3D T450」 / 【完全な無人運転へ】 20以上のセンサーとAIカメラが「ノズルの詰まり」や「造形ミス」を自動検知。 / 大型一体成形を</x:v>
      </x:c>
      <x:c r="I240" s="7" t="str">
        <x:v>個別入力の追加確認が必要</x:v>
      </x:c>
      <x:c r="J240" s="7" t="str">
        <x:v>原典抜粋：創業以来13年間、5000社以上の法人様・500以上の教育機関/研究機関に導入いただき、自動車、電気機器、医療、宇宙、航空、製品設計など幅広い業界の実績がございます。 / NEW※圧倒的な高速・安定造形を同時に実現 Raise3D T Series 3Dプリンター / 新世代の主力モデル「Raise3D T450」 / 【完全な無人運転へ】 20以上のセンサーとAIカメラが「ノズルの詰まり」や「造形ミス」を自動検知。 / 大型一体成形を</x:v>
      </x:c>
      <x:c r="K240" s="7" t="str">
        <x:v>創業以来13年間、5000社以上の法人様・500以上の教育機関/研究機関に導入いただき、自動車、電気機器、医療、宇宙、航空、製品設計など幅広い業界の実績がございます。 / NEW※圧倒的な高速・安定造形を同時に実現 Raise3D T Series 3Dプリンター / 新世代の主力モデル「Raise3D T450」 / 【完全な無人運転へ】 20以上のセンサーとAIカメラが「ノズルの詰まり」や「造形ミス」を自動検知。 / 大型一体成形を</x:v>
      </x:c>
      <x:c r="L240" s="7" t="str">
        <x:v>承認・例外対応・停止・復帰の境界は未確認</x:v>
      </x:c>
      <x:c r="M240" s="7" t="str">
        <x:v>2024原典抜粋：私たちは長年3Dプリンティングにおける、あらゆる造形方式の研究と販売を経験しました。 機械の特徴に加え、樹脂から金属までの材料特性や、AM技術向け3Dデータ再設計ノウハウなど、豊富な知識を競争力としています。当社は3Dプリンター選定、材料コンサル、データ再設計、設置教育など、トータルソリューションを提供します。 創業以来10年間、5000社以上の法人様・400以上の教育機関/研究機関に導入いただき、自動車、電気機器、医療、宇宙、航空、製品設計など幅広い業界の実績がございます。 3Dプリンター Raise3D Pro</x:v>
      </x:c>
      <x:c r="N240" s="7" t="str">
        <x:v>2026原典抜粋：創業以来13年間、5000社以上の法人様・500以上の教育機関/研究機関に導入いただき、自動車、電気機器、医療、宇宙、航空、製品設計など幅広い業界の実績がございます。 / NEW※圧倒的な高速・安定造形を同時に実現 Raise3D T Series 3Dプリンター / 新世代の主力モデル「Raise3D T450」 / 【完全な無人運転へ】 20以上のセンサーとAIカメラが「ノズルの詰まり」や「造形ミス」を自動検知。 / 大型一体成形を</x:v>
      </x:c>
      <x:c r="O240" s="7" t="str">
        <x:v>両年原典あり・機能差未判定</x:v>
      </x:c>
      <x:c r="P240" s="7" t="str">
        <x:v>2026公式カタログ掲載・現地未確認</x:v>
      </x:c>
      <x:c r="Q240" s="7" t="str">
        <x:v>2026展示予定。既存製品・参考出展・構想等は原典で個別確認</x:v>
      </x:c>
      <x:c r="R240" s="7" t="str">
        <x:v>どの作業を自動化・支援するか、入力と判断・操作の範囲、適用条件と人の残作業、2024からの機能差、採用・受注・効果の実測を確認する。</x:v>
      </x:c>
      <x:c r="S240" s="7" t="str">
        <x:v>EEX-EXH-2026-3e32007d339c5ff7
EEX-EXH-2024-1dca44c0f370dfd2</x:v>
      </x:c>
      <x:c r="T240" s="7" t="str">
        <x:v>EEX-EXH-2026-3e32007d339c5ff7: https://www.jimtof.org/search/jp/ESdetails?e=ohBDcqo2rI8
EEX-EXH-2024-1dca44c0f370dfd2: https://www.jimtof.org/2024/search/jp/ESdetails?e=Unp2BkRqHmA</x:v>
      </x:c>
      <x:c r="U240" s="7" t="str">
        <x:v>出展説明の関連箇所に基づく一次分類</x:v>
      </x:c>
      <x:c r="V240" s="7"/>
      <x:c r="W240" s="7"/>
      <x:c r="X240" s="7"/>
      <x:c r="Y240" s="7"/>
      <x:c r="Z240" s="7"/>
      <x:c r="AA240" s="7"/>
      <x:c r="AB240" s="7"/>
    </x:row>
    <x:row r="241" ht="170" customHeight="1">
      <x:c r="A241" s="7" t="str">
        <x:v>AC179</x:v>
      </x:c>
      <x:c r="B241" s="20" t="str">
        <x:v>日本精機株式会社</x:v>
      </x:c>
      <x:c r="C241" s="7" t="str">
        <x:v>静圧センタレスグラインダー：LSG-20（ロボットローダー仕様）</x:v>
      </x:c>
      <x:c r="D241" s="7" t="str">
        <x:v>E7092</x:v>
      </x:c>
      <x:c r="E241" s="7" t="str">
        <x:v>自動化</x:v>
      </x:c>
      <x:c r="F241" s="7" t="str">
        <x:v>出展説明の関連用途（個別タスクの分解は未完了）</x:v>
      </x:c>
      <x:c r="G241" s="7" t="str">
        <x:v>出展説明に記載。実装位置の個別精査はカードの方式・未確認欄を参照</x:v>
      </x:c>
      <x:c r="H241" s="7" t="str">
        <x:v>原典抜粋：機械精度・剛性・操作性といった機械本体の性能面向上だけでなく、自動化・省力化にも積極的に取り組み、出展機にはCNC装置やオートローダーを搭載して展示します。 / ●静圧センタレスグラインダー：LSG-20（ロボットローダー仕様） / 出展機は3軸CNC搭載型で、ロボット付きオートローダーが付属しております。 / 複雑な形状のワークを全自動でインフィード研削することができます。</x:v>
      </x:c>
      <x:c r="I241" s="7" t="str">
        <x:v>個別入力の追加確認が必要</x:v>
      </x:c>
      <x:c r="J241" s="7" t="str">
        <x:v>原典抜粋：機械精度・剛性・操作性といった機械本体の性能面向上だけでなく、自動化・省力化にも積極的に取り組み、出展機にはCNC装置やオートローダーを搭載して展示します。 / ●静圧センタレスグラインダー：LSG-20（ロボットローダー仕様） / 出展機は3軸CNC搭載型で、ロボット付きオートローダーが付属しております。 / 複雑な形状のワークを全自動でインフィード研削することができます。</x:v>
      </x:c>
      <x:c r="K241" s="7" t="str">
        <x:v>機械精度・剛性・操作性といった機械本体の性能面向上だけでなく、自動化・省力化にも積極的に取り組み、出展機にはCNC装置やオートローダーを搭載して展示します。 / ●静圧センタレスグラインダー：LSG-20（ロボットローダー仕様） / 出展機は3軸CNC搭載型で、ロボット付きオートローダーが付属しております。 / 複雑な形状のワークを全自動でインフィード研削することができます。</x:v>
      </x:c>
      <x:c r="L241" s="7" t="str">
        <x:v>承認・例外対応・停止・復帰の境界は未確認</x:v>
      </x:c>
      <x:c r="M241" s="7" t="str">
        <x:v>2024原典抜粋：静圧センタレスグラインダー2台を出展します。 機械精度・剛性・操作性といった機械本体の性能面向上だけでなく、自動化・省力化にも積極的に取り組み、出展機にはCNC装置やオートローダーを搭載して展示します。 高度化・省力化が進む加工現場の要求に応え得る、研削盤本機と周辺機器類の諸技術を組み合わせた研削加工システムを総合的にご提案致します。お客様の要望や課題解決の一助に、是非お立ち寄りください。 CNC静圧センタレスグラインダー「MSG-18」と「LSG-20」の2台を出展。 どちらの機種も主軸と調整車軸に静圧軸受を採用</x:v>
      </x:c>
      <x:c r="N241" s="7" t="str">
        <x:v>2026原典抜粋：機械精度・剛性・操作性といった機械本体の性能面向上だけでなく、自動化・省力化にも積極的に取り組み、出展機にはCNC装置やオートローダーを搭載して展示します。 / ●静圧センタレスグラインダー：LSG-20（ロボットローダー仕様） / 出展機は3軸CNC搭載型で、ロボット付きオートローダーが付属しております。 / 複雑な形状のワークを全自動でインフィード研削することができます。</x:v>
      </x:c>
      <x:c r="O241" s="7" t="str">
        <x:v>両年原典あり・機能差未判定</x:v>
      </x:c>
      <x:c r="P241" s="7" t="str">
        <x:v>2026公式カタログ掲載・現地未確認</x:v>
      </x:c>
      <x:c r="Q241" s="7" t="str">
        <x:v>2026展示予定。既存製品・参考出展・構想等は原典で個別確認</x:v>
      </x:c>
      <x:c r="R241" s="7" t="str">
        <x:v>どの作業を自動化・支援するか、入力と判断・操作の範囲、適用条件と人の残作業、2024からの機能差、採用・受注・効果の実測を確認する。</x:v>
      </x:c>
      <x:c r="S241" s="7" t="str">
        <x:v>EEX-EXH-2026-e68d8c12e3395528
EEX-EXH-2024-354f4cd97c56470a</x:v>
      </x:c>
      <x:c r="T241" s="7" t="str">
        <x:v>EEX-EXH-2026-e68d8c12e3395528: https://www.jimtof.org/search/jp/ESdetails?e=Qva663phrKY
EEX-EXH-2024-354f4cd97c56470a: https://www.jimtof.org/2024/search/jp/ESdetails?e=eCkrZJ7obRI</x:v>
      </x:c>
      <x:c r="U241" s="7" t="str">
        <x:v>出展説明の関連箇所に基づく一次分類</x:v>
      </x:c>
      <x:c r="V241" s="7"/>
      <x:c r="W241" s="7"/>
      <x:c r="X241" s="7"/>
      <x:c r="Y241" s="7"/>
      <x:c r="Z241" s="7"/>
      <x:c r="AA241" s="7"/>
      <x:c r="AB241" s="7"/>
    </x:row>
    <x:row r="242" ht="170" customHeight="1">
      <x:c r="A242" s="7" t="str">
        <x:v>AC180</x:v>
      </x:c>
      <x:c r="B242" s="20" t="str">
        <x:v>日本ツクリダス株式会社</x:v>
      </x:c>
      <x:c r="C242" s="7" t="str">
        <x:v>日本ツクリダスは「ものづくりサービス企業」として、「生産管理システム」「デザイン制作」「コンサルティング」の３つのサービスを提供しています。</x:v>
      </x:c>
      <x:c r="D242" s="7" t="str">
        <x:v>S4012</x:v>
      </x:c>
      <x:c r="E242" s="7" t="str">
        <x:v>工場運用DX</x:v>
      </x:c>
      <x:c r="F242" s="7" t="str">
        <x:v>出展説明の関連用途（個別タスクの分解は未完了）</x:v>
      </x:c>
      <x:c r="G242" s="7" t="str">
        <x:v>出展説明に記載。実装位置の個別精査はカードの方式・未確認欄を参照</x:v>
      </x:c>
      <x:c r="H242" s="7" t="str">
        <x:v>原典抜粋：日本ツクリダスは「ものづくりサービス企業」として、「生産管理システム」「デザイン制作」「コンサルティング」の３つのサービスを提供しています。</x:v>
      </x:c>
      <x:c r="I242" s="7" t="str">
        <x:v>個別入力の追加確認が必要</x:v>
      </x:c>
      <x:c r="J242" s="7" t="str">
        <x:v>原典抜粋：日本ツクリダスは「ものづくりサービス企業」として、「生産管理システム」「デザイン制作」「コンサルティング」の３つのサービスを提供しています。</x:v>
      </x:c>
      <x:c r="K242" s="7" t="str">
        <x:v>日本ツクリダスは「ものづくりサービス企業」として、「生産管理システム」「デザイン制作」「コンサルティング」の３つのサービスを提供しています。</x:v>
      </x:c>
      <x:c r="L242" s="7" t="str">
        <x:v>承認・例外対応・停止・復帰の境界は未確認</x:v>
      </x:c>
      <x:c r="M242" s="7" t="str">
        <x:v>2024原典抜粋：「DX、何から始めれば良いかわからない･･･」という町工場の方は必見です。 町工場専用の生産管理システム“エムネットくらうど”は 「システムは多機能がすぎて使いこなせない」「費用が高い」「手間がかかってしまう」などのシステム導入時のあるある問題を徹底的にカバーします。納期管理・進捗管理・日報収集に絞ったカンタン・シンプル機能で、“町工場のDX”をサポートいたします。 生産管理システム「エムネットくらうど」</x:v>
      </x:c>
      <x:c r="N242" s="7" t="str">
        <x:v>2026原典抜粋：日本ツクリダスは「ものづくりサービス企業」として、「生産管理システム」「デザイン制作」「コンサルティング」の３つのサービスを提供しています。</x:v>
      </x:c>
      <x:c r="O242" s="7" t="str">
        <x:v>両年原典あり・機能差未判定</x:v>
      </x:c>
      <x:c r="P242" s="7" t="str">
        <x:v>2026公式カタログ掲載・現地未確認</x:v>
      </x:c>
      <x:c r="Q242" s="7" t="str">
        <x:v>2026展示予定。既存製品・参考出展・構想等は原典で個別確認</x:v>
      </x:c>
      <x:c r="R242" s="7" t="str">
        <x:v>どの作業を自動化・支援するか、入力と判断・操作の範囲、適用条件と人の残作業、2024からの機能差、採用・受注・効果の実測を確認する。</x:v>
      </x:c>
      <x:c r="S242" s="7" t="str">
        <x:v>EEX-EXH-2026-0c92a1e1f2d8fda4
EEX-EXH-2024-195d543c3d8e6054</x:v>
      </x:c>
      <x:c r="T242" s="7" t="str">
        <x:v>EEX-EXH-2026-0c92a1e1f2d8fda4: https://www.jimtof.org/search/jp/ESdetails?e=_nI6m1Y6VMA
EEX-EXH-2024-195d543c3d8e6054: https://www.jimtof.org/2024/search/jp/ESdetails?e=DWItcWihgDk</x:v>
      </x:c>
      <x:c r="U242" s="7" t="str">
        <x:v>出展説明の関連箇所に基づく一次分類</x:v>
      </x:c>
      <x:c r="V242" s="7"/>
      <x:c r="W242" s="7"/>
      <x:c r="X242" s="7"/>
      <x:c r="Y242" s="7"/>
      <x:c r="Z242" s="7"/>
      <x:c r="AA242" s="7"/>
      <x:c r="AB242" s="7"/>
    </x:row>
    <x:row r="243" ht="170" customHeight="1">
      <x:c r="A243" s="7" t="str">
        <x:v>AC181</x:v>
      </x:c>
      <x:c r="B243" s="20" t="str">
        <x:v>ニューレジストン株式会社</x:v>
      </x:c>
      <x:c r="C243" s="7" t="str">
        <x:v>研削ロボットシステム,ブルーセラックオフセットタイプ,シグマジェイド,空気式グラインダ空神100,空気式ミニグラインダ空神ミニ,電気式ミニグダインダ雷</x:v>
      </x:c>
      <x:c r="D243" s="7" t="str">
        <x:v>W4039</x:v>
      </x:c>
      <x:c r="E243" s="7" t="str">
        <x:v>自動化</x:v>
      </x:c>
      <x:c r="F243" s="7" t="str">
        <x:v>出展説明の関連用途（個別タスクの分解は未完了）</x:v>
      </x:c>
      <x:c r="G243" s="7" t="str">
        <x:v>出展説明に記載。実装位置の個別精査はカードの方式・未確認欄を参照</x:v>
      </x:c>
      <x:c r="H243" s="7" t="str">
        <x:v>原典抜粋：また自動化・省人化をご提案できる研削ロボットシステムの実演展示も行いますので、ぜひブースまでお越しください。 / 研削ロボットシステム,ブルーセラックオフセットタイプ,シグマジェイド,空気式グラインダ空神100,空気式ミニグラインダ空神ミニ,電気式ミニグダインダ雷神スリムⅡ,空気式ストレートグラインダ空神ストレート,NRS超硬バー,電気式グラインダ安全グラインダ180,シェル ジェイドタイプ</x:v>
      </x:c>
      <x:c r="I243" s="7" t="str">
        <x:v>個別入力の追加確認が必要</x:v>
      </x:c>
      <x:c r="J243" s="7" t="str">
        <x:v>原典抜粋：また自動化・省人化をご提案できる研削ロボットシステムの実演展示も行いますので、ぜひブースまでお越しください。 / 研削ロボットシステム,ブルーセラックオフセットタイプ,シグマジェイド,空気式グラインダ空神100,空気式ミニグラインダ空神ミニ,電気式ミニグダインダ雷神スリムⅡ,空気式ストレートグラインダ空神ストレート,NRS超硬バー,電気式グラインダ安全グラインダ180,シェル ジェイドタイプ</x:v>
      </x:c>
      <x:c r="K243" s="7" t="str">
        <x:v>また自動化・省人化をご提案できる研削ロボットシステムの実演展示も行いますので、ぜひブースまでお越しください。 / 研削ロボットシステム,ブルーセラックオフセットタイプ,シグマジェイド,空気式グラインダ空神100,空気式ミニグラインダ空神ミニ,電気式ミニグダインダ雷神スリムⅡ,空気式ストレートグラインダ空神ストレート,NRS超硬バー,電気式グラインダ安全グラインダ180,シェル ジェイドタイプ</x:v>
      </x:c>
      <x:c r="L243" s="7" t="str">
        <x:v>承認・例外対応・停止・復帰の境界は未確認</x:v>
      </x:c>
      <x:c r="M243" s="7" t="str">
        <x:v>2024原典抜粋：先端ツールから工具まで、切る・削る・磨くのトータルソリューションを実現いたします！ 異次元の研削力「ブルーセラック オフセットタイプ」、電気式ミニグラインダ「雷神スリムII」など、ブース内では実演も行っていますので、是非、見て・聞いて・削ってみてください。 ロボットシステムを活用した研削支援ツールも提案しております！ ・セラミック砥粒 研削用ディスク「ブルーセラック オフセットタイプ」 ・電気式ミニグラインダ「雷神スリムⅡ」、専用砥石「ミニシリーズ」 ・新製品 切断砥石「ゼータカット」 ・空気式ストレートグラインダ</x:v>
      </x:c>
      <x:c r="N243" s="7" t="str">
        <x:v>2026原典抜粋：また自動化・省人化をご提案できる研削ロボットシステムの実演展示も行いますので、ぜひブースまでお越しください。 / 研削ロボットシステム,ブルーセラックオフセットタイプ,シグマジェイド,空気式グラインダ空神100,空気式ミニグラインダ空神ミニ,電気式ミニグダインダ雷神スリムⅡ,空気式ストレートグラインダ空神ストレート,NRS超硬バー,電気式グラインダ安全グラインダ180,シェル ジェイドタイプ</x:v>
      </x:c>
      <x:c r="O243" s="7" t="str">
        <x:v>両年原典あり・機能差未判定</x:v>
      </x:c>
      <x:c r="P243" s="7" t="str">
        <x:v>2026公式カタログ掲載・現地未確認</x:v>
      </x:c>
      <x:c r="Q243" s="7" t="str">
        <x:v>2026展示予定。既存製品・参考出展・構想等は原典で個別確認</x:v>
      </x:c>
      <x:c r="R243" s="7" t="str">
        <x:v>どの作業を自動化・支援するか、入力と判断・操作の範囲、適用条件と人の残作業、2024からの機能差、採用・受注・効果の実測を確認する。</x:v>
      </x:c>
      <x:c r="S243" s="7" t="str">
        <x:v>EEX-EXH-2026-66d65480e2017d11
EEX-EXH-2024-218eaae9815a5b2b</x:v>
      </x:c>
      <x:c r="T243" s="7" t="str">
        <x:v>EEX-EXH-2026-66d65480e2017d11: https://www.jimtof.org/search/jp/ESdetails?e=IUHezG5Z4xQ
EEX-EXH-2024-218eaae9815a5b2b: https://www.jimtof.org/2024/search/jp/ESdetails?e=U09xKJMYJs8</x:v>
      </x:c>
      <x:c r="U243" s="7" t="str">
        <x:v>出展説明の関連箇所に基づく一次分類</x:v>
      </x:c>
      <x:c r="V243" s="7"/>
      <x:c r="W243" s="7"/>
      <x:c r="X243" s="7"/>
      <x:c r="Y243" s="7"/>
      <x:c r="Z243" s="7"/>
      <x:c r="AA243" s="7"/>
      <x:c r="AB243" s="7"/>
    </x:row>
    <x:row r="244" ht="170" customHeight="1">
      <x:c r="A244" s="7" t="str">
        <x:v>AC182</x:v>
      </x:c>
      <x:c r="B244" s="20" t="str">
        <x:v>株式会社ネオフレックス</x:v>
      </x:c>
      <x:c r="C244" s="7" t="str">
        <x:v>1.フレキシブル電線保護管（金属製・樹脂製）</x:v>
      </x:c>
      <x:c r="D244" s="7" t="str">
        <x:v>S3039</x:v>
      </x:c>
      <x:c r="E244" s="7" t="str">
        <x:v>自動化
AI実装・連携基盤</x:v>
      </x:c>
      <x:c r="F244" s="7" t="str">
        <x:v>出展説明の関連用途（個別タスクの分解は未完了）</x:v>
      </x:c>
      <x:c r="G244" s="7" t="str">
        <x:v>出展説明に記載。実装位置の個別精査はカードの方式・未確認欄を参照</x:v>
      </x:c>
      <x:c r="H244" s="7" t="str">
        <x:v>原典抜粋：当社は、工作機械、産業機械、船舶、鉄道車両、建設機械、プラント建設、トンネル工事、ロボット、自動機、工場設備など、幅広い用途向けのフレキシブル電線保護管およびコネクターを製造・販売しています。</x:v>
      </x:c>
      <x:c r="I244" s="7" t="str">
        <x:v>個別入力の追加確認が必要</x:v>
      </x:c>
      <x:c r="J244" s="7" t="str">
        <x:v>原典抜粋：当社は、工作機械、産業機械、船舶、鉄道車両、建設機械、プラント建設、トンネル工事、ロボット、自動機、工場設備など、幅広い用途向けのフレキシブル電線保護管およびコネクターを製造・販売しています。</x:v>
      </x:c>
      <x:c r="K244" s="7" t="str">
        <x:v>当社は、工作機械、産業機械、船舶、鉄道車両、建設機械、プラント建設、トンネル工事、ロボット、自動機、工場設備など、幅広い用途向けのフレキシブル電線保護管およびコネクターを製造・販売しています。</x:v>
      </x:c>
      <x:c r="L244" s="7" t="str">
        <x:v>承認・例外対応・停止・復帰の境界は未確認</x:v>
      </x:c>
      <x:c r="M244" s="7" t="str">
        <x:v>2024原典抜粋：工作機械、産業機械をはじめ鉄道、船舶、車輌、建機、プラント工事、トンネル工事及び工場設備等に関わるフレキシブル電線保護管＆接続コネクターは、多くのお客様からご支持をいただいている品質重視で作られた製品群です。 ワンタッチで取り付け可能な樹脂製コネクター(FLEXA Quick System) は必見です。 1.電線保護管・接続コネクター 2.プラスチック製ワンタッチコネクター 3.ケーブルグランド</x:v>
      </x:c>
      <x:c r="N244" s="7" t="str">
        <x:v>2026原典抜粋：当社は、工作機械、産業機械、船舶、鉄道車両、建設機械、プラント建設、トンネル工事、ロボット、自動機、工場設備など、幅広い用途向けのフレキシブル電線保護管およびコネクターを製造・販売しています。</x:v>
      </x:c>
      <x:c r="O244" s="7" t="str">
        <x:v>両年原典あり・機能差未判定</x:v>
      </x:c>
      <x:c r="P244" s="7" t="str">
        <x:v>2026公式カタログ掲載・現地未確認</x:v>
      </x:c>
      <x:c r="Q244" s="7" t="str">
        <x:v>2026展示予定。既存製品・参考出展・構想等は原典で個別確認</x:v>
      </x:c>
      <x:c r="R244" s="7" t="str">
        <x:v>どの作業を自動化・支援するか、入力と判断・操作の範囲、適用条件と人の残作業、2024からの機能差、採用・受注・効果の実測を確認する。</x:v>
      </x:c>
      <x:c r="S244" s="7" t="str">
        <x:v>EEX-EXH-2026-7e162011f9184cc6
EEX-EXH-2024-d7a4b509dfb97d63</x:v>
      </x:c>
      <x:c r="T244" s="7" t="str">
        <x:v>EEX-EXH-2026-7e162011f9184cc6: https://www.jimtof.org/search/jp/ESdetails?e=CQ20cW795qg
EEX-EXH-2024-d7a4b509dfb97d63: https://www.jimtof.org/2024/search/jp/ESdetails?e=oaOuwj9BXck</x:v>
      </x:c>
      <x:c r="U244" s="7" t="str">
        <x:v>出展説明の関連箇所に基づく一次分類</x:v>
      </x:c>
      <x:c r="V244" s="7"/>
      <x:c r="W244" s="7"/>
      <x:c r="X244" s="7"/>
      <x:c r="Y244" s="7"/>
      <x:c r="Z244" s="7"/>
      <x:c r="AA244" s="7"/>
      <x:c r="AB244" s="7"/>
    </x:row>
    <x:row r="245" ht="170" customHeight="1">
      <x:c r="A245" s="7" t="str">
        <x:v>AC183</x:v>
      </x:c>
      <x:c r="B245" s="20" t="str">
        <x:v>ハイウィン株式会社</x:v>
      </x:c>
      <x:c r="C245" s="7" t="str">
        <x:v>ゼロバックラッシュ・DD方式【トルクモーターロータリーテーブル】</x:v>
      </x:c>
      <x:c r="D245" s="7" t="str">
        <x:v>W2072</x:v>
      </x:c>
      <x:c r="E245" s="7" t="str">
        <x:v>工場運用DX
自動化</x:v>
      </x:c>
      <x:c r="F245" s="7" t="str">
        <x:v>出展説明の関連用途（個別タスクの分解は未完了）</x:v>
      </x:c>
      <x:c r="G245" s="7" t="str">
        <x:v>出展説明に記載。実装位置の個別精査はカードの方式・未確認欄を参照</x:v>
      </x:c>
      <x:c r="H245" s="7" t="str">
        <x:v>原典抜粋：最高回転速度1000min⁻¹の2軸同時駆動高速ロータリーテーブルや放電加工機向け水中用DDロータリーテーブル、予知保全に貢献するi4.0シリーズ、高速・高可搬・長尺搬送を実現する単軸ロボット「KHシリーズ」をご紹介します。 / 高精度加工、重荷重搬送、多軸システム構築に対応し、工作機械の高精度化、自動化、省人化をサポートします。 / 当社では各種自動化のPoC（概念検証）から導入までのサポートなど、手厚いビフォー＆アフターサービスも日</x:v>
      </x:c>
      <x:c r="I245" s="7" t="str">
        <x:v>個別入力の追加確認が必要</x:v>
      </x:c>
      <x:c r="J245" s="7" t="str">
        <x:v>原典抜粋：最高回転速度1000min⁻¹の2軸同時駆動高速ロータリーテーブルや放電加工機向け水中用DDロータリーテーブル、予知保全に貢献するi4.0シリーズ、高速・高可搬・長尺搬送を実現する単軸ロボット「KHシリーズ」をご紹介します。 / 高精度加工、重荷重搬送、多軸システム構築に対応し、工作機械の高精度化、自動化、省人化をサポートします。 / 当社では各種自動化のPoC（概念検証）から導入までのサポートなど、手厚いビフォー＆アフターサービスも日</x:v>
      </x:c>
      <x:c r="K245" s="7" t="str">
        <x:v>最高回転速度1000min⁻¹の2軸同時駆動高速ロータリーテーブルや放電加工機向け水中用DDロータリーテーブル、予知保全に貢献するi4.0シリーズ、高速・高可搬・長尺搬送を実現する単軸ロボット「KHシリーズ」をご紹介します。 / 高精度加工、重荷重搬送、多軸システム構築に対応し、工作機械の高精度化、自動化、省人化をサポートします。 / 当社では各種自動化のPoC（概念検証）から導入までのサポートなど、手厚いビフォー＆アフターサービスも日</x:v>
      </x:c>
      <x:c r="L245" s="7" t="str">
        <x:v>承認・例外対応・停止・復帰の境界は未確認</x:v>
      </x:c>
      <x:c r="M245" s="7" t="str">
        <x:v>2024原典抜粋：「Eco Solutions for Green」をHIWINグループのESGテーマとして掲げ、弊社とお客様の持続可能なものづくりを支援する環境に配慮する製品群を、２つのソリューション軸でご紹介します。 ■工作機械ソリューション 最高回転速度2000min-1の高速ロータリーテーブルや放電加工機向け水中用DDロータリーテーブル、予知保全に貢献するi4.0シリーズとHIWINロータリーテーブル採用の工作機械など、工作機械の進化に貢献をサポートする製品をご紹介。当社のロータリーテーブルはゼロバックラッシュ・DD方式で豊</x:v>
      </x:c>
      <x:c r="N245" s="7" t="str">
        <x:v>2026原典抜粋：最高回転速度1000min⁻¹の2軸同時駆動高速ロータリーテーブルや放電加工機向け水中用DDロータリーテーブル、予知保全に貢献するi4.0シリーズ、高速・高可搬・長尺搬送を実現する単軸ロボット「KHシリーズ」をご紹介します。 / 高精度加工、重荷重搬送、多軸システム構築に対応し、工作機械の高精度化、自動化、省人化をサポートします。 / 当社では各種自動化のPoC（概念検証）から導入までのサポートなど、手厚いビフォー＆アフターサービスも日</x:v>
      </x:c>
      <x:c r="O245" s="7" t="str">
        <x:v>両年原典あり・機能差未判定</x:v>
      </x:c>
      <x:c r="P245" s="7" t="str">
        <x:v>2026公式カタログ掲載・現地未確認</x:v>
      </x:c>
      <x:c r="Q245" s="7" t="str">
        <x:v>2026展示予定。既存製品・参考出展・構想等は原典で個別確認</x:v>
      </x:c>
      <x:c r="R245" s="7" t="str">
        <x:v>どの作業を自動化・支援するか、入力と判断・操作の範囲、適用条件と人の残作業、2024からの機能差、採用・受注・効果の実測を確認する。</x:v>
      </x:c>
      <x:c r="S245" s="7" t="str">
        <x:v>EEX-EXH-2026-af31f3db6da43220
EEX-EXH-2024-225418404646935a</x:v>
      </x:c>
      <x:c r="T245" s="7" t="str">
        <x:v>EEX-EXH-2026-af31f3db6da43220: https://www.jimtof.org/search/jp/ESdetails?e=t1osgdfU2Dk
EEX-EXH-2024-225418404646935a: https://www.jimtof.org/2024/search/jp/ESdetails?e=dxXDZmI9FwY</x:v>
      </x:c>
      <x:c r="U245" s="7" t="str">
        <x:v>出展説明の関連箇所に基づく一次分類</x:v>
      </x:c>
      <x:c r="V245" s="7"/>
      <x:c r="W245" s="7"/>
      <x:c r="X245" s="7"/>
      <x:c r="Y245" s="7"/>
      <x:c r="Z245" s="7"/>
      <x:c r="AA245" s="7"/>
      <x:c r="AB245" s="7"/>
    </x:row>
    <x:row r="246" ht="170" customHeight="1">
      <x:c r="A246" s="7" t="str">
        <x:v>AC184</x:v>
      </x:c>
      <x:c r="B246" s="20" t="str">
        <x:v>ハインブッフ・ジャパン株式会社</x:v>
      </x:c>
      <x:c r="C246" s="7" t="str">
        <x:v>セントロテックス S4 チャック交換システム</x:v>
      </x:c>
      <x:c r="D246" s="7" t="str">
        <x:v>S2018</x:v>
      </x:c>
      <x:c r="E246" s="7" t="str">
        <x:v>自動化</x:v>
      </x:c>
      <x:c r="F246" s="7" t="str">
        <x:v>出展説明の関連用途（個別タスクの分解は未完了）</x:v>
      </x:c>
      <x:c r="G246" s="7" t="str">
        <x:v>出展説明に記載。実装位置の個別精査はカードの方式・未確認欄を参照</x:v>
      </x:c>
      <x:c r="H246" s="7" t="str">
        <x:v>原典抜粋：今回は新たに、ロボットによるコレット自動交換デモを実施し、自動化による段取り作業の短縮と安定した加工品質をご覧いただけます。</x:v>
      </x:c>
      <x:c r="I246" s="7" t="str">
        <x:v>個別入力の追加確認が必要</x:v>
      </x:c>
      <x:c r="J246" s="7" t="str">
        <x:v>原典抜粋：今回は新たに、ロボットによるコレット自動交換デモを実施し、自動化による段取り作業の短縮と安定した加工品質をご覧いただけます。</x:v>
      </x:c>
      <x:c r="K246" s="7" t="str">
        <x:v>今回は新たに、ロボットによるコレット自動交換デモを実施し、自動化による段取り作業の短縮と安定した加工品質をご覧いただけます。</x:v>
      </x:c>
      <x:c r="L246" s="7" t="str">
        <x:v>承認・例外対応・停止・復帰の境界は未確認</x:v>
      </x:c>
      <x:c r="M246" s="7" t="str">
        <x:v>2024原典抜粋：『セントロテックス』 チャック本体クイックチェンジ・インターフェース ３つ爪チャック、外径コレットチャック、内径マンドレルなど、チャック本体を5分以内に交換。 『ハインブッフシステム』 1台の機械で多品種変量加工に対応 外径コレットチャックが内径マンドレル、３つ爪チャックに2分以下で変身！ ワークや加工内容に最適なクランプが可能。 旋盤向けチャック本体交換システム セントロテックスS、トップラスプレミアムチャック、 マクソス内径マンドレル</x:v>
      </x:c>
      <x:c r="N246" s="7" t="str">
        <x:v>2026原典抜粋：今回は新たに、ロボットによるコレット自動交換デモを実施し、自動化による段取り作業の短縮と安定した加工品質をご覧いただけます。</x:v>
      </x:c>
      <x:c r="O246" s="7" t="str">
        <x:v>両年原典あり・機能差未判定</x:v>
      </x:c>
      <x:c r="P246" s="7" t="str">
        <x:v>2026公式カタログ掲載・現地未確認</x:v>
      </x:c>
      <x:c r="Q246" s="7" t="str">
        <x:v>2026展示予定。既存製品・参考出展・構想等は原典で個別確認</x:v>
      </x:c>
      <x:c r="R246" s="7" t="str">
        <x:v>どの作業を自動化・支援するか、入力と判断・操作の範囲、適用条件と人の残作業、2024からの機能差、採用・受注・効果の実測を確認する。</x:v>
      </x:c>
      <x:c r="S246" s="7" t="str">
        <x:v>EEX-EXH-2026-4d2afbc1f254e0f7
EEX-EXH-2024-54dbae7d69cff4ba</x:v>
      </x:c>
      <x:c r="T246" s="7" t="str">
        <x:v>EEX-EXH-2026-4d2afbc1f254e0f7: https://www.jimtof.org/search/jp/ESdetails?e=zOoraplih0o
EEX-EXH-2024-54dbae7d69cff4ba: https://www.jimtof.org/2024/search/jp/ESdetails?e=DtPO9o9IY_4</x:v>
      </x:c>
      <x:c r="U246" s="7" t="str">
        <x:v>出展説明の関連箇所に基づく一次分類</x:v>
      </x:c>
      <x:c r="V246" s="7"/>
      <x:c r="W246" s="7"/>
      <x:c r="X246" s="7"/>
      <x:c r="Y246" s="7"/>
      <x:c r="Z246" s="7"/>
      <x:c r="AA246" s="7"/>
      <x:c r="AB246" s="7"/>
    </x:row>
    <x:row r="247" ht="170" customHeight="1">
      <x:c r="A247" s="7" t="str">
        <x:v>AC185</x:v>
      </x:c>
      <x:c r="B247" s="20" t="str">
        <x:v>HAWEジャパン株式会社</x:v>
      </x:c>
      <x:c r="C247" s="7" t="str">
        <x:v>当社は、油圧技術と電子制御技術を融合した省エネルギー・高機能ソリューションを提案します。切削用工作機械向けでは、インバータ技術により従来型油圧システム</x:v>
      </x:c>
      <x:c r="D247" s="7" t="str">
        <x:v>E3005</x:v>
      </x:c>
      <x:c r="E247" s="7" t="str">
        <x:v>工場運用DX
自動化
AI実装・連携基盤</x:v>
      </x:c>
      <x:c r="F247" s="7" t="str">
        <x:v>出展説明の関連用途（個別タスクの分解は未完了）</x:v>
      </x:c>
      <x:c r="G247" s="7" t="str">
        <x:v>出展説明に記載。実装位置の個別精査はカードの方式・未確認欄を参照</x:v>
      </x:c>
      <x:c r="H247" s="7" t="str">
        <x:v>原典抜粋：生産に関わる工程を、「切削用工作機械」「治具クランプ」「マテリアルハンドリング」「新製品」の4分野に分け、それぞれの分野において、省エネおよびIoT対応を実現するシステム・製品をご提案いたします。 / 切削用工作機械向けでは、インバータ技術により従来型油圧システム比で約70～80％の消費電力削減を実現する省エネ油圧システムや、IoTを活用した予防保全・メンテナンス効率向上ソリューションを紹介します。 / 治具クランプ向けには、FA化に対</x:v>
      </x:c>
      <x:c r="I247" s="7" t="str">
        <x:v>個別入力の追加確認が必要</x:v>
      </x:c>
      <x:c r="J247" s="7" t="str">
        <x:v>原典抜粋：生産に関わる工程を、「切削用工作機械」「治具クランプ」「マテリアルハンドリング」「新製品」の4分野に分け、それぞれの分野において、省エネおよびIoT対応を実現するシステム・製品をご提案いたします。 / 切削用工作機械向けでは、インバータ技術により従来型油圧システム比で約70～80％の消費電力削減を実現する省エネ油圧システムや、IoTを活用した予防保全・メンテナンス効率向上ソリューションを紹介します。 / 治具クランプ向けには、FA化に対</x:v>
      </x:c>
      <x:c r="K247" s="7" t="str">
        <x:v>生産に関わる工程を、「切削用工作機械」「治具クランプ」「マテリアルハンドリング」「新製品」の4分野に分け、それぞれの分野において、省エネおよびIoT対応を実現するシステム・製品をご提案いたします。 / 切削用工作機械向けでは、インバータ技術により従来型油圧システム比で約70～80％の消費電力削減を実現する省エネ油圧システムや、IoTを活用した予防保全・メンテナンス効率向上ソリューションを紹介します。 / 治具クランプ向けには、FA化に対</x:v>
      </x:c>
      <x:c r="L247" s="7" t="str">
        <x:v>承認・例外対応・停止・復帰の境界は未確認</x:v>
      </x:c>
      <x:c r="M247" s="7" t="str">
        <x:v>2024原典抜粋：生産に関わる工程を、切削用工作機械、治具クランプ、マテリアルハンドリング、およびプレスブレーキシステム4つの分野に分けてそれぞれへ省エネ、IoT対応の提案に関するシステム、製品をご提案いたします。 1.切削用工作機械に従来型油圧システム対比で約70%の消費電力を削減する油圧システム、IoTで予防保全、メンテナンス効率向上にデモ機を展示します。 2.FA化の推進に、治具クランプ力の自動変更およびインバータ技術による省エネ化の実現をご提案します。 3.マテリアルハンドリングには、リフターやAGVへの高精度同調油圧昇降シ</x:v>
      </x:c>
      <x:c r="N247" s="7" t="str">
        <x:v>2026原典抜粋：生産に関わる工程を、「切削用工作機械」「治具クランプ」「マテリアルハンドリング」「新製品」の4分野に分け、それぞれの分野において、省エネおよびIoT対応を実現するシステム・製品をご提案いたします。 / 切削用工作機械向けでは、インバータ技術により従来型油圧システム比で約70～80％の消費電力削減を実現する省エネ油圧システムや、IoTを活用した予防保全・メンテナンス効率向上ソリューションを紹介します。 / 治具クランプ向けには、FA化に対</x:v>
      </x:c>
      <x:c r="O247" s="7" t="str">
        <x:v>両年原典あり・機能差未判定</x:v>
      </x:c>
      <x:c r="P247" s="7" t="str">
        <x:v>2026公式カタログ掲載・現地未確認</x:v>
      </x:c>
      <x:c r="Q247" s="7" t="str">
        <x:v>2026展示予定。既存製品・参考出展・構想等は原典で個別確認</x:v>
      </x:c>
      <x:c r="R247" s="7" t="str">
        <x:v>どの作業を自動化・支援するか、入力と判断・操作の範囲、適用条件と人の残作業、2024からの機能差、採用・受注・効果の実測を確認する。</x:v>
      </x:c>
      <x:c r="S247" s="7" t="str">
        <x:v>EEX-EXH-2026-9f03016f633961ce
EEX-EXH-2024-d67a87c8bad0b9c4</x:v>
      </x:c>
      <x:c r="T247" s="7" t="str">
        <x:v>EEX-EXH-2026-9f03016f633961ce: https://www.jimtof.org/search/jp/ESdetails?e=uvRSrTznX5g
EEX-EXH-2024-d67a87c8bad0b9c4: https://www.jimtof.org/2024/search/jp/ESdetails?e=3QIyVEg479A</x:v>
      </x:c>
      <x:c r="U247" s="7" t="str">
        <x:v>出展説明の関連箇所に基づく一次分類</x:v>
      </x:c>
      <x:c r="V247" s="7"/>
      <x:c r="W247" s="7"/>
      <x:c r="X247" s="7"/>
      <x:c r="Y247" s="7"/>
      <x:c r="Z247" s="7"/>
      <x:c r="AA247" s="7"/>
      <x:c r="AB247" s="7"/>
    </x:row>
    <x:row r="248" ht="170" customHeight="1">
      <x:c r="A248" s="7" t="str">
        <x:v>AC186</x:v>
      </x:c>
      <x:c r="B248" s="20" t="str">
        <x:v>株式会社白山機工</x:v>
      </x:c>
      <x:c r="C248" s="7" t="str">
        <x:v>AMRによる切り屑自動回収</x:v>
      </x:c>
      <x:c r="D248" s="7" t="str">
        <x:v>E2007</x:v>
      </x:c>
      <x:c r="E248" s="7" t="str">
        <x:v>工場運用DX
自動化
自律化</x:v>
      </x:c>
      <x:c r="F248" s="7" t="str">
        <x:v>AMRによる切り屑回収</x:v>
      </x:c>
      <x:c r="G248" s="7" t="str">
        <x:v>切り屑回収AMR・コンベヤ・ろ過。実演と模型を併用</x:v>
      </x:c>
      <x:c r="H248" s="7" t="str">
        <x:v>切り屑の回収をAMRで結ぶ</x:v>
      </x:c>
      <x:c r="I248" s="7" t="str">
        <x:v>加工機から排出される切り屑と回収容器。回収要求・満杯検知方式は未公開</x:v>
      </x:c>
      <x:c r="J248" s="7" t="str">
        <x:v>AMRを使う回収を説明。回収順序・配車・経路のAI判断は確認できない</x:v>
      </x:c>
      <x:c r="K248" s="7" t="str">
        <x:v>AMR切り屑回収、自由レイアウトのコンベヤ、ろ過を実演・模型で紹介</x:v>
      </x:c>
      <x:c r="L248" s="7" t="str">
        <x:v>事前準備：未記載：ルート・置場・容器・回収周期の設定方法／承認：未記載：容器交換の確認と回収／ろ過条件の変更承認／例外対応：未記載：満杯・こぼれ・通路混雑・ドッキング失敗と人の復帰</x:v>
      </x:c>
      <x:c r="M248" s="7" t="str">
        <x:v>2024は高精度ろ過、スマートチップコンベヤ、複数機からのポンプバック集中処理。</x:v>
      </x:c>
      <x:c r="N248" s="7" t="str">
        <x:v>2026はAMR切り屑回収、自由なレイアウトのコンベヤ、ろ過を実演・模型で紹介。</x:v>
      </x:c>
      <x:c r="O248" s="7" t="str">
        <x:v>搬送対象・構成の追加記載</x:v>
      </x:c>
      <x:c r="P248" s="7" t="str">
        <x:v>2026は実演・模型を併用。AMR回収の実機／模型の範囲は要確認</x:v>
      </x:c>
      <x:c r="Q248" s="7" t="str">
        <x:v>2026展示予定。既存製品・参考出展・構想等は原典で個別確認</x:v>
      </x:c>
      <x:c r="R248" s="7" t="str">
        <x:v>企業告知でも実演・模型を併記。AMRの実機実演範囲と処理量・稼働実績は未確認 現地質問：容器交換・満杯検知・回収順序・切屑こぼれ・通路混雑と停止復帰は。実機と模型の範囲を確認。</x:v>
      </x:c>
      <x:c r="S248" s="7" t="str">
        <x:v>EEX-EXH-2026-d8a50e23a9101b11
EEX-EXH-2024-89cb7807f64be75b
EDP-29</x:v>
      </x:c>
      <x:c r="T248" s="7" t="str">
        <x:v>EEX-EXH-2026-d8a50e23a9101b11: https://www.jimtof.org/search/jp/ESdetails?e=FNFR7REQOl4
EEX-EXH-2024-89cb7807f64be75b: https://www.jimtof.org/2024/search/jp/ESdetails?e=krDglZoYKFc
EDP-29: https://www.hakusankiko.co.jp/news/event/8837/</x:v>
      </x:c>
      <x:c r="U248" s="7" t="str">
        <x:v>2024・2026の原典全文を重点比較</x:v>
      </x:c>
      <x:c r="V248" s="7" t="str">
        <x:v>切り屑搬送の自動化・AI判断は未確認</x:v>
      </x:c>
      <x:c r="W248" s="7" t="str">
        <x:v>AMRを使う回収を説明。回収順序・配車・経路のAI判断は確認できない</x:v>
      </x:c>
      <x:c r="X248" s="7" t="str">
        <x:v>AMR切り屑回収、自由レイアウトのコンベヤ、ろ過を実演・模型で紹介</x:v>
      </x:c>
      <x:c r="Y248" s="7" t="str">
        <x:v>未記載：ルート・置場・容器・回収周期の設定方法</x:v>
      </x:c>
      <x:c r="Z248" s="7" t="str">
        <x:v>未記載：容器交換の確認と回収／ろ過条件の変更承認</x:v>
      </x:c>
      <x:c r="AA248" s="7" t="str">
        <x:v>未記載：満杯・こぼれ・通路混雑・ドッキング失敗と人の復帰</x:v>
      </x:c>
      <x:c r="AB248" s="7" t="str">
        <x:v>企業告知でも実演・模型を併記。AMRの実機実演範囲と処理量・稼働実績は未確認</x:v>
      </x:c>
    </x:row>
    <x:row r="249" ht="170" customHeight="1">
      <x:c r="A249" s="7" t="str">
        <x:v>AC187</x:v>
      </x:c>
      <x:c r="B249" s="20" t="str">
        <x:v>パスカル株式会社</x:v>
      </x:c>
      <x:c r="C249" s="7" t="str">
        <x:v>パレットグリッパ</x:v>
      </x:c>
      <x:c r="D249" s="7" t="str">
        <x:v>W2047</x:v>
      </x:c>
      <x:c r="E249" s="7" t="str">
        <x:v>自動化</x:v>
      </x:c>
      <x:c r="F249" s="7" t="str">
        <x:v>出展説明の関連用途（個別タスクの分解は未完了）</x:v>
      </x:c>
      <x:c r="G249" s="7" t="str">
        <x:v>出展説明に記載。実装位置の個別精査はカードの方式・未確認欄を参照</x:v>
      </x:c>
      <x:c r="H249" s="7" t="str">
        <x:v>原典抜粋：さらに、ロボットとの組合せに最適なセンサ付きクランプやワークを自動交換するために必要な周辺機器など、自動化を推進する機器を提案します。 / エアパレットグリッパ（model RPG）を用いた自動パレット交換システムは、独自の構造によりロボットが高速で旋回する際の強烈な慣性モーメントにも耐え、優れた位置再現精度を長期間維持します。 / ストッカと工作機械の間でジグやワークの搬送を完全自動化し、夜間無人運転や多品種変量生産の効率を極限まで高</x:v>
      </x:c>
      <x:c r="I249" s="7" t="str">
        <x:v>個別入力の追加確認が必要</x:v>
      </x:c>
      <x:c r="J249" s="7" t="str">
        <x:v>原典抜粋：さらに、ロボットとの組合せに最適なセンサ付きクランプやワークを自動交換するために必要な周辺機器など、自動化を推進する機器を提案します。 / エアパレットグリッパ（model RPG）を用いた自動パレット交換システムは、独自の構造によりロボットが高速で旋回する際の強烈な慣性モーメントにも耐え、優れた位置再現精度を長期間維持します。 / ストッカと工作機械の間でジグやワークの搬送を完全自動化し、夜間無人運転や多品種変量生産の効率を極限まで高</x:v>
      </x:c>
      <x:c r="K249" s="7" t="str">
        <x:v>さらに、ロボットとの組合せに最適なセンサ付きクランプやワークを自動交換するために必要な周辺機器など、自動化を推進する機器を提案します。 / エアパレットグリッパ（model RPG）を用いた自動パレット交換システムは、独自の構造によりロボットが高速で旋回する際の強烈な慣性モーメントにも耐え、優れた位置再現精度を長期間維持します。 / ストッカと工作機械の間でジグやワークの搬送を完全自動化し、夜間無人運転や多品種変量生産の効率を極限まで高</x:v>
      </x:c>
      <x:c r="L249" s="7" t="str">
        <x:v>承認・例外対応・停止・復帰の境界は未確認</x:v>
      </x:c>
      <x:c r="M249" s="7" t="str">
        <x:v>2024原典抜粋：小型立形マシニングセンター用に開発した、高速・高精度・長寿命のローラギアインデックステーブルを実演展示します。 新たに開発した、従来モデルよりさらに高速インデックスを可能にするモデルなど、新たなバリエーションを紹介します。 高速インデックスかつブレーキレス加工ができ、タクトタイムが大幅に短縮され生産性に優れます。 ローラギアは転がり伝達のため、 高負荷や高速インデックスでも摩耗が極めて小さく精度が安定し、高品質で長期間安定した機械加工がメンテナンスフリーで行なえます。 コンパクトなボディに内蔵した12ポートの高性能</x:v>
      </x:c>
      <x:c r="N249" s="7" t="str">
        <x:v>2026原典抜粋：さらに、ロボットとの組合せに最適なセンサ付きクランプやワークを自動交換するために必要な周辺機器など、自動化を推進する機器を提案します。 / エアパレットグリッパ（model RPG）を用いた自動パレット交換システムは、独自の構造によりロボットが高速で旋回する際の強烈な慣性モーメントにも耐え、優れた位置再現精度を長期間維持します。 / ストッカと工作機械の間でジグやワークの搬送を完全自動化し、夜間無人運転や多品種変量生産の効率を極限まで高</x:v>
      </x:c>
      <x:c r="O249" s="7" t="str">
        <x:v>両年原典あり・機能差未判定</x:v>
      </x:c>
      <x:c r="P249" s="7" t="str">
        <x:v>2026公式カタログ掲載・現地未確認</x:v>
      </x:c>
      <x:c r="Q249" s="7" t="str">
        <x:v>2026展示予定。既存製品・参考出展・構想等は原典で個別確認</x:v>
      </x:c>
      <x:c r="R249" s="7" t="str">
        <x:v>どの作業を自動化・支援するか、入力と判断・操作の範囲、適用条件と人の残作業、2024からの機能差、採用・受注・効果の実測を確認する。</x:v>
      </x:c>
      <x:c r="S249" s="7" t="str">
        <x:v>EEX-EXH-2026-56d3111fc27b5344
EEX-EXH-2024-08156cf1ad5bf6a0</x:v>
      </x:c>
      <x:c r="T249" s="7" t="str">
        <x:v>EEX-EXH-2026-56d3111fc27b5344: https://www.jimtof.org/search/jp/ESdetails?e=e-bUm2EYnJU
EEX-EXH-2024-08156cf1ad5bf6a0: https://www.jimtof.org/2024/search/jp/ESdetails?e=OLPAL7wEL2o</x:v>
      </x:c>
      <x:c r="U249" s="7" t="str">
        <x:v>出展説明の関連箇所に基づく一次分類</x:v>
      </x:c>
      <x:c r="V249" s="7"/>
      <x:c r="W249" s="7"/>
      <x:c r="X249" s="7"/>
      <x:c r="Y249" s="7"/>
      <x:c r="Z249" s="7"/>
      <x:c r="AA249" s="7"/>
      <x:c r="AB249" s="7"/>
    </x:row>
    <x:row r="250" ht="170" customHeight="1">
      <x:c r="A250" s="7" t="str">
        <x:v>AC188</x:v>
      </x:c>
      <x:c r="B250" s="20" t="str">
        <x:v>株式会社長谷川機械製作所</x:v>
      </x:c>
      <x:c r="C250" s="7" t="str">
        <x:v>展示会では、複合加工と自動化を軸に、当社の最新ソリューションを紹介します。</x:v>
      </x:c>
      <x:c r="D250" s="7" t="str">
        <x:v>E7051</x:v>
      </x:c>
      <x:c r="E250" s="7" t="str">
        <x:v>自動化</x:v>
      </x:c>
      <x:c r="F250" s="7" t="str">
        <x:v>出展説明の関連用途（個別タスクの分解は未完了）</x:v>
      </x:c>
      <x:c r="G250" s="7" t="str">
        <x:v>出展説明に記載。実装位置の個別精査はカードの方式・未確認欄を参照</x:v>
      </x:c>
      <x:c r="H250" s="7" t="str">
        <x:v>原典抜粋：今回の展示会では、「複合加工と自動化」をテーマに掲げます。 / 製造現場では人手不足への対応として自動化の重要性もますます高まっています。 / 展示会では、複合加工と自動化を軸に、当社の最新ソリューションを紹介します。 / 旋削機能を搭載した同時5軸マシニングセンタ「PM320-5XT」に自動供給ロボットを / 組み合わせた自動化システムを展示します。</x:v>
      </x:c>
      <x:c r="I250" s="7" t="str">
        <x:v>個別入力の追加確認が必要</x:v>
      </x:c>
      <x:c r="J250" s="7" t="str">
        <x:v>原典抜粋：今回の展示会では、「複合加工と自動化」をテーマに掲げます。 / 製造現場では人手不足への対応として自動化の重要性もますます高まっています。 / 展示会では、複合加工と自動化を軸に、当社の最新ソリューションを紹介します。 / 旋削機能を搭載した同時5軸マシニングセンタ「PM320-5XT」に自動供給ロボットを / 組み合わせた自動化システムを展示します。</x:v>
      </x:c>
      <x:c r="K250" s="7" t="str">
        <x:v>今回の展示会では、「複合加工と自動化」をテーマに掲げます。 / 製造現場では人手不足への対応として自動化の重要性もますます高まっています。 / 展示会では、複合加工と自動化を軸に、当社の最新ソリューションを紹介します。 / 旋削機能を搭載した同時5軸マシニングセンタ「PM320-5XT」に自動供給ロボットを / 組み合わせた自動化システムを展示します。</x:v>
      </x:c>
      <x:c r="L250" s="7" t="str">
        <x:v>承認・例外対応・停止・復帰の境界は未確認</x:v>
      </x:c>
      <x:c r="M250" s="7" t="str">
        <x:v>2024原典抜粋：「複合加工と自動化」をテーマにした。 高精度でコンパクトな複合加工機のニーズと、人手不足を解消するための自動化ニーズが高まる。 それらに応えるために、2スピンドル２タレットの複合加工機「CW42MY」だけでなく、小型精密CNCタレット旋盤「C42MYS」に協働ロボットを付加して展示する。 長谷川機械製作所の新製品、5軸精密マシニングセンタ「PM320-5X」。 オーバーハングを最小限に抑えた高剛性構造、振動及び熱変位解析を重ねた鋳物構造を採用 CNC傾斜円テーブルはバックラッシュを抑えたローラードライブにより高速か</x:v>
      </x:c>
      <x:c r="N250" s="7" t="str">
        <x:v>2026原典抜粋：今回の展示会では、「複合加工と自動化」をテーマに掲げます。 / 製造現場では人手不足への対応として自動化の重要性もますます高まっています。 / 展示会では、複合加工と自動化を軸に、当社の最新ソリューションを紹介します。 / 旋削機能を搭載した同時5軸マシニングセンタ「PM320-5XT」に自動供給ロボットを / 組み合わせた自動化システムを展示します。</x:v>
      </x:c>
      <x:c r="O250" s="7" t="str">
        <x:v>両年原典あり・機能差未判定</x:v>
      </x:c>
      <x:c r="P250" s="7" t="str">
        <x:v>2026公式カタログ掲載・現地未確認</x:v>
      </x:c>
      <x:c r="Q250" s="7" t="str">
        <x:v>2026展示予定。既存製品・参考出展・構想等は原典で個別確認</x:v>
      </x:c>
      <x:c r="R250" s="7" t="str">
        <x:v>どの作業を自動化・支援するか、入力と判断・操作の範囲、適用条件と人の残作業、2024からの機能差、採用・受注・効果の実測を確認する。</x:v>
      </x:c>
      <x:c r="S250" s="7" t="str">
        <x:v>EEX-EXH-2026-e84a14f7dc6094b9
EEX-EXH-2024-448fe3cc2845819c</x:v>
      </x:c>
      <x:c r="T250" s="7" t="str">
        <x:v>EEX-EXH-2026-e84a14f7dc6094b9: https://www.jimtof.org/search/jp/ESdetails?e=gRk0brhHn-M
EEX-EXH-2024-448fe3cc2845819c: https://www.jimtof.org/2024/search/jp/ESdetails?e=-bHzD_rkD3E</x:v>
      </x:c>
      <x:c r="U250" s="7" t="str">
        <x:v>出展説明の関連箇所に基づく一次分類</x:v>
      </x:c>
      <x:c r="V250" s="7"/>
      <x:c r="W250" s="7"/>
      <x:c r="X250" s="7"/>
      <x:c r="Y250" s="7"/>
      <x:c r="Z250" s="7"/>
      <x:c r="AA250" s="7"/>
      <x:c r="AB250" s="7"/>
    </x:row>
    <x:row r="251" ht="170" customHeight="1">
      <x:c r="A251" s="7" t="str">
        <x:v>AC189</x:v>
      </x:c>
      <x:c r="B251" s="20" t="str">
        <x:v>株式会社初田製作所</x:v>
      </x:c>
      <x:c r="C251" s="7" t="str">
        <x:v>【精密模型による自動消火体験と、新商品『KZ2』を含む最新4機種を展示！】</x:v>
      </x:c>
      <x:c r="D251" s="7" t="str">
        <x:v>S3083</x:v>
      </x:c>
      <x:c r="E251" s="7" t="str">
        <x:v>自動化</x:v>
      </x:c>
      <x:c r="F251" s="7" t="str">
        <x:v>出展説明の関連用途（個別タスクの分解は未完了）</x:v>
      </x:c>
      <x:c r="G251" s="7" t="str">
        <x:v>出展説明に記載。実装位置の個別精査はカードの方式・未確認欄を参照</x:v>
      </x:c>
      <x:c r="H251" s="7" t="str">
        <x:v>原典抜粋：初田製作所ブース（南3ホール S3083）では、万が一の工作機械火災から工場と従業員を守る「産業機械用自動消火システム」を出展いたします。 / 【精密模型による自動消火体験と、新商品『KZ2』を含む最新4機種を展示！】 / ①精密模型による『自動消火体験コーナー』 大型実機の代わりに、消火感知からガス放出・鎮火までの一連の流れをボタン1つでリアルに体験できるシミュレーター模型を設置。 / ⑤コンパクト設計『エアロゾル自動消火装置』 スピ</x:v>
      </x:c>
      <x:c r="I251" s="7" t="str">
        <x:v>個別入力の追加確認が必要</x:v>
      </x:c>
      <x:c r="J251" s="7" t="str">
        <x:v>原典抜粋：初田製作所ブース（南3ホール S3083）では、万が一の工作機械火災から工場と従業員を守る「産業機械用自動消火システム」を出展いたします。 / 【精密模型による自動消火体験と、新商品『KZ2』を含む最新4機種を展示！】 / ①精密模型による『自動消火体験コーナー』 大型実機の代わりに、消火感知からガス放出・鎮火までの一連の流れをボタン1つでリアルに体験できるシミュレーター模型を設置。 / ⑤コンパクト設計『エアロゾル自動消火装置』 スピ</x:v>
      </x:c>
      <x:c r="K251" s="7" t="str">
        <x:v>初田製作所ブース（南3ホール S3083）では、万が一の工作機械火災から工場と従業員を守る「産業機械用自動消火システム」を出展いたします。 / 【精密模型による自動消火体験と、新商品『KZ2』を含む最新4機種を展示！】 / ①精密模型による『自動消火体験コーナー』 大型実機の代わりに、消火感知からガス放出・鎮火までの一連の流れをボタン1つでリアルに体験できるシミュレーター模型を設置。 / ⑤コンパクト設計『エアロゾル自動消火装置』 スピ</x:v>
      </x:c>
      <x:c r="L251" s="7" t="str">
        <x:v>承認・例外対応・停止・復帰の境界は未確認</x:v>
      </x:c>
      <x:c r="M251" s="7" t="str">
        <x:v>2024原典抜粋：はじめまして。初田製作所です。1902年創業。火災から大切な人命や文化財を守る会社です。お立ち寄りお待ちしております。 1982年から、製造、販売をしております、自動消火装置 Cabinexシリーズを出展させていただきます。是非ともお立ちより頂き、ご意見いただければ幸いです。又、ブース内では、二酸化炭素消火の原理、放射シーンなどもご覧いただけます。当日は、ブースにてお待ち申し上げております。 ・キャビネックスEN2 ・キャビネックスKZ ・アルゴナイトキャビネックス ・デザイン消火器 ・キティ消火器</x:v>
      </x:c>
      <x:c r="N251" s="7" t="str">
        <x:v>2026原典抜粋：初田製作所ブース（南3ホール S3083）では、万が一の工作機械火災から工場と従業員を守る「産業機械用自動消火システム」を出展いたします。 / 【精密模型による自動消火体験と、新商品『KZ2』を含む最新4機種を展示！】 / ①精密模型による『自動消火体験コーナー』 大型実機の代わりに、消火感知からガス放出・鎮火までの一連の流れをボタン1つでリアルに体験できるシミュレーター模型を設置。 / ⑤コンパクト設計『エアロゾル自動消火装置』 スピ</x:v>
      </x:c>
      <x:c r="O251" s="7" t="str">
        <x:v>両年原典あり・機能差未判定</x:v>
      </x:c>
      <x:c r="P251" s="7" t="str">
        <x:v>2026公式カタログ掲載・現地未確認</x:v>
      </x:c>
      <x:c r="Q251" s="7" t="str">
        <x:v>2026展示予定。既存製品・参考出展・構想等は原典で個別確認</x:v>
      </x:c>
      <x:c r="R251" s="7" t="str">
        <x:v>どの作業を自動化・支援するか、入力と判断・操作の範囲、適用条件と人の残作業、2024からの機能差、採用・受注・効果の実測を確認する。</x:v>
      </x:c>
      <x:c r="S251" s="7" t="str">
        <x:v>EEX-EXH-2026-e73069bc80a68783
EEX-EXH-2024-5a5c59c313b76569</x:v>
      </x:c>
      <x:c r="T251" s="7" t="str">
        <x:v>EEX-EXH-2026-e73069bc80a68783: https://www.jimtof.org/search/jp/ESdetails?e=Y8Hglfxxl6U
EEX-EXH-2024-5a5c59c313b76569: https://www.jimtof.org/2024/search/jp/ESdetails?e=P9k2PjRL3rE</x:v>
      </x:c>
      <x:c r="U251" s="7" t="str">
        <x:v>出展説明の関連箇所に基づく一次分類</x:v>
      </x:c>
      <x:c r="V251" s="7"/>
      <x:c r="W251" s="7"/>
      <x:c r="X251" s="7"/>
      <x:c r="Y251" s="7"/>
      <x:c r="Z251" s="7"/>
      <x:c r="AA251" s="7"/>
      <x:c r="AB251" s="7"/>
    </x:row>
    <x:row r="252" ht="170" customHeight="1">
      <x:c r="A252" s="7" t="str">
        <x:v>AC190</x:v>
      </x:c>
      <x:c r="B252" s="20" t="str">
        <x:v>株式会社原製作所</x:v>
      </x:c>
      <x:c r="C252" s="7" t="str">
        <x:v>[Polyrix社 PolyScanV]</x:v>
      </x:c>
      <x:c r="D252" s="7" t="str">
        <x:v>S4037</x:v>
      </x:c>
      <x:c r="E252" s="7" t="str">
        <x:v>設計・製造DX
工場運用DX
自動化</x:v>
      </x:c>
      <x:c r="F252" s="7" t="str">
        <x:v>出展説明の関連用途（個別タスクの分解は未完了）</x:v>
      </x:c>
      <x:c r="G252" s="7" t="str">
        <x:v>出展説明に記載。実装位置の個別精査はカードの方式・未確認欄を参照</x:v>
      </x:c>
      <x:c r="H252" s="7" t="str">
        <x:v>原典抜粋：各支柱に搭載されたプロジェクターと3Dスキャナが、通過するワークを自動で捉え、全周囲の3Dデータを取得します。 / 自動車1台分を最速約30秒。 / ・自動車1台分を最速約30秒—タクトタイムに対応する測定速度 / ・LIVE INSPECTION—CADとの偏差をカラーマップでワーク表面に直接投影し、モニタを見ずにその場でズレを確認 / 航空宇宙/自動車業界を中心に導入が進む次世代3Dスキャンシステムです。 / 高精細3Dスキャナ＆3</x:v>
      </x:c>
      <x:c r="I252" s="7" t="str">
        <x:v>個別入力の追加確認が必要</x:v>
      </x:c>
      <x:c r="J252" s="7" t="str">
        <x:v>原典抜粋：各支柱に搭載されたプロジェクターと3Dスキャナが、通過するワークを自動で捉え、全周囲の3Dデータを取得します。 / 自動車1台分を最速約30秒。 / ・自動車1台分を最速約30秒—タクトタイムに対応する測定速度 / ・LIVE INSPECTION—CADとの偏差をカラーマップでワーク表面に直接投影し、モニタを見ずにその場でズレを確認 / 航空宇宙/自動車業界を中心に導入が進む次世代3Dスキャンシステムです。 / 高精細3Dスキャナ＆3</x:v>
      </x:c>
      <x:c r="K252" s="7" t="str">
        <x:v>各支柱に搭載されたプロジェクターと3Dスキャナが、通過するワークを自動で捉え、全周囲の3Dデータを取得します。 / 自動車1台分を最速約30秒。 / ・自動車1台分を最速約30秒—タクトタイムに対応する測定速度 / ・LIVE INSPECTION—CADとの偏差をカラーマップでワーク表面に直接投影し、モニタを見ずにその場でズレを確認 / 航空宇宙/自動車業界を中心に導入が進む次世代3Dスキャンシステムです。 / 高精細3Dスキャナ＆3</x:v>
      </x:c>
      <x:c r="L252" s="7" t="str">
        <x:v>承認・例外対応・停止・復帰の境界は未確認</x:v>
      </x:c>
      <x:c r="M252" s="7" t="str">
        <x:v>2024原典抜粋：・３Dスキャン・リバースエンジニアリングサービスの原製作所が３Dスキャナーの販売を始めました。長年培った３Dスキャン技術を生かし、最適な３Dスキャン環境をご提案致します。 ・もちろん３Dスキャンサービスも健在です。３Dスキャナー欲しいけど使用頻度が少ない。そんな時は原製作所の３Dスキャンサービスをご利用下さい。 ・Zeiss社製の３Dスキャナー ATOS Qを展示販売致します。 ・Artec社製の完全ワイヤレスハンドヘルド３Dスキャナー ArtecLeoを展示販売致します。 ・３Dスキャンには欠かせないオリジナル計</x:v>
      </x:c>
      <x:c r="N252" s="7" t="str">
        <x:v>2026原典抜粋：各支柱に搭載されたプロジェクターと3Dスキャナが、通過するワークを自動で捉え、全周囲の3Dデータを取得します。 / 自動車1台分を最速約30秒。 / ・自動車1台分を最速約30秒—タクトタイムに対応する測定速度 / ・LIVE INSPECTION—CADとの偏差をカラーマップでワーク表面に直接投影し、モニタを見ずにその場でズレを確認 / 航空宇宙/自動車業界を中心に導入が進む次世代3Dスキャンシステムです。 / 高精細3Dスキャナ＆3</x:v>
      </x:c>
      <x:c r="O252" s="7" t="str">
        <x:v>両年原典あり・機能差未判定</x:v>
      </x:c>
      <x:c r="P252" s="7" t="str">
        <x:v>2026公式カタログ掲載・現地未確認</x:v>
      </x:c>
      <x:c r="Q252" s="7" t="str">
        <x:v>2026展示予定。既存製品・参考出展・構想等は原典で個別確認</x:v>
      </x:c>
      <x:c r="R252" s="7" t="str">
        <x:v>どの作業を自動化・支援するか、入力と判断・操作の範囲、適用条件と人の残作業、2024からの機能差、採用・受注・効果の実測を確認する。</x:v>
      </x:c>
      <x:c r="S252" s="7" t="str">
        <x:v>EEX-EXH-2026-8550e99361de2f5b
EEX-EXH-2024-0fc7d40eadf26199</x:v>
      </x:c>
      <x:c r="T252" s="7" t="str">
        <x:v>EEX-EXH-2026-8550e99361de2f5b: https://www.jimtof.org/search/jp/ESdetails?e=LRuS5p7XpwI
EEX-EXH-2024-0fc7d40eadf26199: https://www.jimtof.org/2024/search/jp/ESdetails?e=PJEgqNYlWes</x:v>
      </x:c>
      <x:c r="U252" s="7" t="str">
        <x:v>出展説明の関連箇所に基づく一次分類</x:v>
      </x:c>
      <x:c r="V252" s="7"/>
      <x:c r="W252" s="7"/>
      <x:c r="X252" s="7"/>
      <x:c r="Y252" s="7"/>
      <x:c r="Z252" s="7"/>
      <x:c r="AA252" s="7"/>
      <x:c r="AB252" s="7"/>
    </x:row>
    <x:row r="253" ht="170" customHeight="1">
      <x:c r="A253" s="7" t="str">
        <x:v>AC191</x:v>
      </x:c>
      <x:c r="B253" s="20" t="str">
        <x:v>株式会社広築</x:v>
      </x:c>
      <x:c r="C253" s="7" t="str">
        <x:v>NITRONAVI®搭載 窒化 / 軟窒化処理設備 RAV-N型</x:v>
      </x:c>
      <x:c r="D253" s="7" t="str">
        <x:v>E1016</x:v>
      </x:c>
      <x:c r="E253" s="7" t="str">
        <x:v>自動化</x:v>
      </x:c>
      <x:c r="F253" s="7" t="str">
        <x:v>出展説明の関連用途（個別タスクの分解は未完了）</x:v>
      </x:c>
      <x:c r="G253" s="7" t="str">
        <x:v>出展説明に記載。実装位置の個別精査はカードの方式・未確認欄を参照</x:v>
      </x:c>
      <x:c r="H253" s="7" t="str">
        <x:v>原典抜粋：● 雰囲気制御による⾼精度窒化 / 軟窒化が実現可能な設備 / ● タイムリー且つスキルフリーのオペレーション / ● ⾃動制御による処理時間の最適化/最短化[エネルギー削減] / ● 処理品に対するトレーサビリティ / NITRONAVI®搭載 窒化 / 軟窒化処理設備 RAV-N型 / NITRONAVI®[制御ガス 窒化/軟窒化処理]を適⽤する最⼤のメリットは表⾯相制御による機械的特性の改善あります。 / NITRONAVI®を具</x:v>
      </x:c>
      <x:c r="I253" s="7" t="str">
        <x:v>個別入力の追加確認が必要</x:v>
      </x:c>
      <x:c r="J253" s="7" t="str">
        <x:v>原典抜粋：● 雰囲気制御による⾼精度窒化 / 軟窒化が実現可能な設備 / ● タイムリー且つスキルフリーのオペレーション / ● ⾃動制御による処理時間の最適化/最短化[エネルギー削減] / ● 処理品に対するトレーサビリティ / NITRONAVI®搭載 窒化 / 軟窒化処理設備 RAV-N型 / NITRONAVI®[制御ガス 窒化/軟窒化処理]を適⽤する最⼤のメリットは表⾯相制御による機械的特性の改善あります。 / NITRONAVI®を具</x:v>
      </x:c>
      <x:c r="K253" s="7" t="str">
        <x:v>● 雰囲気制御による⾼精度窒化 / 軟窒化が実現可能な設備 / ● タイムリー且つスキルフリーのオペレーション / ● ⾃動制御による処理時間の最適化/最短化[エネルギー削減] / ● 処理品に対するトレーサビリティ / NITRONAVI®搭載 窒化 / 軟窒化処理設備 RAV-N型 / NITRONAVI®[制御ガス 窒化/軟窒化処理]を適⽤する最⼤のメリットは表⾯相制御による機械的特性の改善あります。 / NITRONAVI®を具</x:v>
      </x:c>
      <x:c r="L253" s="7" t="str">
        <x:v>承認・例外対応・停止・復帰の境界は未確認</x:v>
      </x:c>
      <x:c r="M253" s="7" t="str">
        <x:v>2024原典抜粋：● 雰囲気制御による高精度窒化/軟窒化が実現可能な設備 ● タイムリー且つスキルフリーのオペレーション ● 自動制御による処理時間の最適化/最短化[エネルギー削減] ● 処理品に対するトレーサビリティ NITRONAVI®搭載窒化/軟窒化処理設備 NITRONAVI®[制御ガス 窒化/軟窒化処理]を適用する最大のメリットは表面相制御による機械的特性の改善あります。 NITRONAVI®を具備したガス窒化/軟窒化 炉の窒化ポテンシャル[KN値]制御により、鋼表面を化合物層レス、γ’ 相、またε相へ選択的に制御する事が</x:v>
      </x:c>
      <x:c r="N253" s="7" t="str">
        <x:v>2026原典抜粋：● 雰囲気制御による⾼精度窒化 / 軟窒化が実現可能な設備 / ● タイムリー且つスキルフリーのオペレーション / ● ⾃動制御による処理時間の最適化/最短化[エネルギー削減] / ● 処理品に対するトレーサビリティ / NITRONAVI®搭載 窒化 / 軟窒化処理設備 RAV-N型 / NITRONAVI®[制御ガス 窒化/軟窒化処理]を適⽤する最⼤のメリットは表⾯相制御による機械的特性の改善あります。 / NITRONAVI®を具</x:v>
      </x:c>
      <x:c r="O253" s="7" t="str">
        <x:v>両年原典あり・機能差未判定</x:v>
      </x:c>
      <x:c r="P253" s="7" t="str">
        <x:v>2026公式カタログ掲載・現地未確認</x:v>
      </x:c>
      <x:c r="Q253" s="7" t="str">
        <x:v>2026展示予定。既存製品・参考出展・構想等は原典で個別確認</x:v>
      </x:c>
      <x:c r="R253" s="7" t="str">
        <x:v>どの作業を自動化・支援するか、入力と判断・操作の範囲、適用条件と人の残作業、2024からの機能差、採用・受注・効果の実測を確認する。</x:v>
      </x:c>
      <x:c r="S253" s="7" t="str">
        <x:v>EEX-EXH-2026-85b5faf8f6b2498f
EEX-EXH-2024-88ea00ba34ece4f0</x:v>
      </x:c>
      <x:c r="T253" s="7" t="str">
        <x:v>EEX-EXH-2026-85b5faf8f6b2498f: https://www.jimtof.org/search/jp/ESdetails?e=tTqTOqglEMs
EEX-EXH-2024-88ea00ba34ece4f0: https://www.jimtof.org/2024/search/jp/ESdetails?e=41U8xW4UkcM</x:v>
      </x:c>
      <x:c r="U253" s="7" t="str">
        <x:v>出展説明の関連箇所に基づく一次分類</x:v>
      </x:c>
      <x:c r="V253" s="7"/>
      <x:c r="W253" s="7"/>
      <x:c r="X253" s="7"/>
      <x:c r="Y253" s="7"/>
      <x:c r="Z253" s="7"/>
      <x:c r="AA253" s="7"/>
      <x:c r="AB253" s="7"/>
    </x:row>
    <x:row r="254" ht="170" customHeight="1">
      <x:c r="A254" s="7" t="str">
        <x:v>AC192</x:v>
      </x:c>
      <x:c r="B254" s="20" t="str">
        <x:v>株式会社ファーステック</x:v>
      </x:c>
      <x:c r="C254" s="7" t="str">
        <x:v>1) 5軸加工機用セルフセンタリングバイス・ゼロポイントシステム</x:v>
      </x:c>
      <x:c r="D254" s="7" t="str">
        <x:v>W2073</x:v>
      </x:c>
      <x:c r="E254" s="7" t="str">
        <x:v>自動化</x:v>
      </x:c>
      <x:c r="F254" s="7" t="str">
        <x:v>出展説明の関連用途（個別タスクの分解は未完了）</x:v>
      </x:c>
      <x:c r="G254" s="7" t="str">
        <x:v>出展説明に記載。実装位置の個別精査はカードの方式・未確認欄を参照</x:v>
      </x:c>
      <x:c r="H254" s="7" t="str">
        <x:v>原典抜粋：株式会社ファーステックは、お客様の工場の機械の稼働率を上げる「生産性向上」と「自動化」に直結する、台湾トップメーカー２社の製品を展示します。 / Earth-Chain Enterprise Co.,Ltd.からは、5面加工や多数個同時加工を可能にする「切削加工用マグバイス」、連続通電不要で熱変位を防ぐ「研削盤用永電磁チャック」、非磁性体も磁性体もどちらも同時に保持できる「真空チャック付きマグネットチャック」、小型でありながら超強力な磁</x:v>
      </x:c>
      <x:c r="I254" s="7" t="str">
        <x:v>個別入力の追加確認が必要</x:v>
      </x:c>
      <x:c r="J254" s="7" t="str">
        <x:v>原典抜粋：株式会社ファーステックは、お客様の工場の機械の稼働率を上げる「生産性向上」と「自動化」に直結する、台湾トップメーカー２社の製品を展示します。 / Earth-Chain Enterprise Co.,Ltd.からは、5面加工や多数個同時加工を可能にする「切削加工用マグバイス」、連続通電不要で熱変位を防ぐ「研削盤用永電磁チャック」、非磁性体も磁性体もどちらも同時に保持できる「真空チャック付きマグネットチャック」、小型でありながら超強力な磁</x:v>
      </x:c>
      <x:c r="K254" s="7" t="str">
        <x:v>株式会社ファーステックは、お客様の工場の機械の稼働率を上げる「生産性向上」と「自動化」に直結する、台湾トップメーカー２社の製品を展示します。 / Earth-Chain Enterprise Co.,Ltd.からは、5面加工や多数個同時加工を可能にする「切削加工用マグバイス」、連続通電不要で熱変位を防ぐ「研削盤用永電磁チャック」、非磁性体も磁性体もどちらも同時に保持できる「真空チャック付きマグネットチャック」、小型でありながら超強力な磁</x:v>
      </x:c>
      <x:c r="L254" s="7" t="str">
        <x:v>承認・例外対応・停止・復帰の境界は未確認</x:v>
      </x:c>
      <x:c r="M254" s="7" t="str">
        <x:v>2024原典抜粋：コストパフォーマンスと生産性向上を追求するメーカー型輸入商社として、お客様のお役に立てる商品を出展いたします。今回のみどころは、大きく三つ。1)マグネットチャックを使った生産性向上とコスト削減の実現。2)スイング式ジョーを備えた5軸加工機用セルフセンタリングバイスによるワークの強力 なクランプ。3)バイスではつかみにくい丸型ワークや薄型ワークの5軸加工を実現する5軸加工機用マグネットチャック。その他アメリカ製の高精度直径測定用パイ尺パイテープやドリル研磨機、ホーニングエッジ研磨機の展示実演を行います。 マグバイス（</x:v>
      </x:c>
      <x:c r="N254" s="7" t="str">
        <x:v>2026原典抜粋：株式会社ファーステックは、お客様の工場の機械の稼働率を上げる「生産性向上」と「自動化」に直結する、台湾トップメーカー２社の製品を展示します。 / Earth-Chain Enterprise Co.,Ltd.からは、5面加工や多数個同時加工を可能にする「切削加工用マグバイス」、連続通電不要で熱変位を防ぐ「研削盤用永電磁チャック」、非磁性体も磁性体もどちらも同時に保持できる「真空チャック付きマグネットチャック」、小型でありながら超強力な磁</x:v>
      </x:c>
      <x:c r="O254" s="7" t="str">
        <x:v>両年原典あり・機能差未判定</x:v>
      </x:c>
      <x:c r="P254" s="7" t="str">
        <x:v>2026公式カタログ掲載・現地未確認</x:v>
      </x:c>
      <x:c r="Q254" s="7" t="str">
        <x:v>2026展示予定。既存製品・参考出展・構想等は原典で個別確認</x:v>
      </x:c>
      <x:c r="R254" s="7" t="str">
        <x:v>どの作業を自動化・支援するか、入力と判断・操作の範囲、適用条件と人の残作業、2024からの機能差、採用・受注・効果の実測を確認する。</x:v>
      </x:c>
      <x:c r="S254" s="7" t="str">
        <x:v>EEX-EXH-2026-e4150112aeeac886
EEX-EXH-2024-592f2d30894e1ef9</x:v>
      </x:c>
      <x:c r="T254" s="7" t="str">
        <x:v>EEX-EXH-2026-e4150112aeeac886: https://www.jimtof.org/search/jp/ESdetails?e=IkO-nLPn17Y
EEX-EXH-2024-592f2d30894e1ef9: https://www.jimtof.org/2024/search/jp/ESdetails?e=yQYbQa77xFU</x:v>
      </x:c>
      <x:c r="U254" s="7" t="str">
        <x:v>出展説明の関連箇所に基づく一次分類</x:v>
      </x:c>
      <x:c r="V254" s="7"/>
      <x:c r="W254" s="7"/>
      <x:c r="X254" s="7"/>
      <x:c r="Y254" s="7"/>
      <x:c r="Z254" s="7"/>
      <x:c r="AA254" s="7"/>
      <x:c r="AB254" s="7"/>
    </x:row>
    <x:row r="255" ht="170" customHeight="1">
      <x:c r="A255" s="7" t="str">
        <x:v>AC193</x:v>
      </x:c>
      <x:c r="B255" s="20" t="str">
        <x:v>株式会社ファースト技研</x:v>
      </x:c>
      <x:c r="C255" s="7" t="str">
        <x:v>「スーパー割り切り：立型ターレットセンター(オートワークチェンジャー付)」</x:v>
      </x:c>
      <x:c r="D255" s="7" t="str">
        <x:v>S1006</x:v>
      </x:c>
      <x:c r="E255" s="7" t="str">
        <x:v>自動化</x:v>
      </x:c>
      <x:c r="F255" s="7" t="str">
        <x:v>出展説明の関連用途（個別タスクの分解は未完了）</x:v>
      </x:c>
      <x:c r="G255" s="7" t="str">
        <x:v>出展説明に記載。実装位置の個別精査はカードの方式・未確認欄を参照</x:v>
      </x:c>
      <x:c r="H255" s="7" t="str">
        <x:v>原典抜粋：■自動化にも完全対応 / ロボット含む搬送装置とのコンパクトかつ高効率な自動化ラインの構築が可能。</x:v>
      </x:c>
      <x:c r="I255" s="7" t="str">
        <x:v>個別入力の追加確認が必要</x:v>
      </x:c>
      <x:c r="J255" s="7" t="str">
        <x:v>原典抜粋：■自動化にも完全対応 / ロボット含む搬送装置とのコンパクトかつ高効率な自動化ラインの構築が可能。</x:v>
      </x:c>
      <x:c r="K255" s="7" t="str">
        <x:v>■自動化にも完全対応 / ロボット含む搬送装置とのコンパクトかつ高効率な自動化ラインの構築が可能。</x:v>
      </x:c>
      <x:c r="L255" s="7" t="str">
        <x:v>承認・例外対応・停止・復帰の境界は未確認</x:v>
      </x:c>
      <x:c r="M255" s="7" t="str">
        <x:v>2024原典抜粋：『省スペース』 『省エネルギー』 『低コスト』を実現した【割り切りシリーズ】 使いやすさ,コストパフォーマンスを徹底的に追求し、自動化システムが容易に出来る 「スーパー割り切り(小型ターレットセンター)＋AWC(オートワークチェンジャー）」に 割り切りローダー”キャリーくん”をセット展示いたします。 人手が足りないし、自動化をしたいがロボット操作に不慣れ・・・どうしよう・・・ ⇩ その悩み「割り切りローダー：キャリーくん」がスマートに運び、解決します！！ ◉シンプル構造で価格を抑えスマートに！！ ◉設備とセットでシ</x:v>
      </x:c>
      <x:c r="N255" s="7" t="str">
        <x:v>2026原典抜粋：■自動化にも完全対応 / ロボット含む搬送装置とのコンパクトかつ高効率な自動化ラインの構築が可能。</x:v>
      </x:c>
      <x:c r="O255" s="7" t="str">
        <x:v>両年原典あり・機能差未判定</x:v>
      </x:c>
      <x:c r="P255" s="7" t="str">
        <x:v>2026公式カタログ掲載・現地未確認</x:v>
      </x:c>
      <x:c r="Q255" s="7" t="str">
        <x:v>2026展示予定。既存製品・参考出展・構想等は原典で個別確認</x:v>
      </x:c>
      <x:c r="R255" s="7" t="str">
        <x:v>どの作業を自動化・支援するか、入力と判断・操作の範囲、適用条件と人の残作業、2024からの機能差、採用・受注・効果の実測を確認する。</x:v>
      </x:c>
      <x:c r="S255" s="7" t="str">
        <x:v>EEX-EXH-2026-c6b62421f514a00b
EEX-EXH-2024-158d29a4db083695</x:v>
      </x:c>
      <x:c r="T255" s="7" t="str">
        <x:v>EEX-EXH-2026-c6b62421f514a00b: https://www.jimtof.org/search/jp/ESdetails?e=EE3GcaODxGA
EEX-EXH-2024-158d29a4db083695: https://www.jimtof.org/2024/search/jp/ESdetails?e=xd6HijBGp38</x:v>
      </x:c>
      <x:c r="U255" s="7" t="str">
        <x:v>出展説明の関連箇所に基づく一次分類</x:v>
      </x:c>
      <x:c r="V255" s="7"/>
      <x:c r="W255" s="7"/>
      <x:c r="X255" s="7"/>
      <x:c r="Y255" s="7"/>
      <x:c r="Z255" s="7"/>
      <x:c r="AA255" s="7"/>
      <x:c r="AB255" s="7"/>
    </x:row>
    <x:row r="256" ht="170" customHeight="1">
      <x:c r="A256" s="7" t="str">
        <x:v>AC194</x:v>
      </x:c>
      <x:c r="B256" s="20" t="str">
        <x:v>株式会社フアクト</x:v>
      </x:c>
      <x:c r="C256" s="7" t="str">
        <x:v>Autodesk Fusion</x:v>
      </x:c>
      <x:c r="D256" s="7" t="str">
        <x:v>S3013</x:v>
      </x:c>
      <x:c r="E256" s="7" t="str">
        <x:v>加工準備・業務AI
設計・製造DX
自動化</x:v>
      </x:c>
      <x:c r="F256" s="7" t="str">
        <x:v>出展説明の関連用途（個別タスクの分解は未完了）</x:v>
      </x:c>
      <x:c r="G256" s="7" t="str">
        <x:v>出展説明に記載。実装位置の個別精査はカードの方式・未確認欄を参照</x:v>
      </x:c>
      <x:c r="H256" s="7" t="str">
        <x:v>原典抜粋：10万円程度の価格で5軸、複合旋盤も使えるAI搭載 3DCAD/CAM「Fusion」の / その他、加工プログラムの自動化が可能な「FeatureCAM」、NCシミュレーションまで / 可能な、永久ライセンスとサブスクリプションライセンスが選べる、3DCAD/CAM「ENCY]など / CAD/CAM販売35年以上の実績のあるフアクトがオススメするソフトウェアをご案内いたします。 / Fusion with FeatureCAM / </x:v>
      </x:c>
      <x:c r="I256" s="7" t="str">
        <x:v>個別入力の追加確認が必要</x:v>
      </x:c>
      <x:c r="J256" s="7" t="str">
        <x:v>原典抜粋：10万円程度の価格で5軸、複合旋盤も使えるAI搭載 3DCAD/CAM「Fusion」の / その他、加工プログラムの自動化が可能な「FeatureCAM」、NCシミュレーションまで / 可能な、永久ライセンスとサブスクリプションライセンスが選べる、3DCAD/CAM「ENCY]など / CAD/CAM販売35年以上の実績のあるフアクトがオススメするソフトウェアをご案内いたします。 / Fusion with FeatureCAM / </x:v>
      </x:c>
      <x:c r="K256" s="7" t="str">
        <x:v>10万円程度の価格で5軸、複合旋盤も使えるAI搭載 3DCAD/CAM「Fusion」の / その他、加工プログラムの自動化が可能な「FeatureCAM」、NCシミュレーションまで / 可能な、永久ライセンスとサブスクリプションライセンスが選べる、3DCAD/CAM「ENCY]など / CAD/CAM販売35年以上の実績のあるフアクトがオススメするソフトウェアをご案内いたします。 / Fusion with FeatureCAM / </x:v>
      </x:c>
      <x:c r="L256" s="7" t="str">
        <x:v>承認・例外対応・停止・復帰の境界は未確認</x:v>
      </x:c>
      <x:c r="M256" s="7" t="str">
        <x:v>2024原典抜粋：￥88,000で5軸、複合旋盤も使える３次元 CAD/CAM「Fusion」をはじめ、 簡単操作で自動でNCデータが出力可能な「FeatureCAM」等のCAD/CAMや 機械を選ばない、取り付け簡単な「稼働率モニタリングシステム」、NCデータシミュレーションソフト 各種補助金のご案内等、お役に立てる情報をご案内いたします。 Autodesk Fusion Fusion with FeatureCAM hyperMILL SOLIDWORKS FFCAM 稼働率モニタリングシステム Vericut NCVIEW</x:v>
      </x:c>
      <x:c r="N256" s="7" t="str">
        <x:v>2026原典抜粋：10万円程度の価格で5軸、複合旋盤も使えるAI搭載 3DCAD/CAM「Fusion」の / その他、加工プログラムの自動化が可能な「FeatureCAM」、NCシミュレーションまで / 可能な、永久ライセンスとサブスクリプションライセンスが選べる、3DCAD/CAM「ENCY]など / CAD/CAM販売35年以上の実績のあるフアクトがオススメするソフトウェアをご案内いたします。 / Fusion with FeatureCAM / </x:v>
      </x:c>
      <x:c r="O256" s="7" t="str">
        <x:v>両年原典あり・機能差未判定</x:v>
      </x:c>
      <x:c r="P256" s="7" t="str">
        <x:v>2026公式カタログ掲載・現地未確認</x:v>
      </x:c>
      <x:c r="Q256" s="7" t="str">
        <x:v>2026展示予定。既存製品・参考出展・構想等は原典で個別確認</x:v>
      </x:c>
      <x:c r="R256" s="7" t="str">
        <x:v>どの作業を自動化・支援するか、入力と判断・操作の範囲、適用条件と人の残作業、2024からの機能差、採用・受注・効果の実測を確認する。</x:v>
      </x:c>
      <x:c r="S256" s="7" t="str">
        <x:v>EEX-EXH-2026-ae1a6fcc911ca14b
EEX-EXH-2024-98da3fb80aa564f7</x:v>
      </x:c>
      <x:c r="T256" s="7" t="str">
        <x:v>EEX-EXH-2026-ae1a6fcc911ca14b: https://www.jimtof.org/search/jp/ESdetails?e=taaGM0brdn8
EEX-EXH-2024-98da3fb80aa564f7: https://www.jimtof.org/2024/search/jp/ESdetails?e=ouI_rRePhFc</x:v>
      </x:c>
      <x:c r="U256" s="7" t="str">
        <x:v>出展説明の関連箇所に基づく一次分類</x:v>
      </x:c>
      <x:c r="V256" s="7"/>
      <x:c r="W256" s="7"/>
      <x:c r="X256" s="7"/>
      <x:c r="Y256" s="7"/>
      <x:c r="Z256" s="7"/>
      <x:c r="AA256" s="7"/>
      <x:c r="AB256" s="7"/>
    </x:row>
    <x:row r="257" ht="170" customHeight="1">
      <x:c r="A257" s="7" t="str">
        <x:v>AC195</x:v>
      </x:c>
      <x:c r="B257" s="20" t="str">
        <x:v>株式会社Fact Base</x:v>
      </x:c>
      <x:c r="C257" s="7" t="str">
        <x:v>ズメーン：図面・関連文書管理とAI</x:v>
      </x:c>
      <x:c r="D257" s="7" t="str">
        <x:v>S3017</x:v>
      </x:c>
      <x:c r="E257" s="7" t="str">
        <x:v>加工準備・業務AI
設計・製造DX
工場運用DX</x:v>
      </x:c>
      <x:c r="F257" s="7" t="str">
        <x:v>図面検索・見積検査書の関連付け</x:v>
      </x:c>
      <x:c r="G257" s="7" t="str">
        <x:v>図面管理ソフトウェア「ズメーン」</x:v>
      </x:c>
      <x:c r="H257" s="7" t="str">
        <x:v>図面検索・見積／検査書の関連付け</x:v>
      </x:c>
      <x:c r="I257" s="7" t="str">
        <x:v>登録する図面、図番等の文字、見積・工程指示書・検査書等</x:v>
      </x:c>
      <x:c r="J257" s="7" t="str">
        <x:v>メーカー掲載の顧客事例でAI・OCRの自動文字読取りを確認。登録AIの全機能・類似度方式は不明</x:v>
      </x:c>
      <x:c r="K257" s="7" t="str">
        <x:v>図面を登録・検索し周辺資料と紐付けて共有。AIが見積金額を決める証拠ではない</x:v>
      </x:c>
      <x:c r="L257" s="7" t="str">
        <x:v>事前準備：公式顧客事例：ドラッグ＆ドロップで登録、図面の回転・分割を利用／承認：公式顧客事例：文字読取り結果を人の目で確認・補正できる／例外対応：未記載：誤関連・版違い・検索漏れを検出する仕組みと権限</x:v>
      </x:c>
      <x:c r="M257" s="7" t="str">
        <x:v>同一名称の2024詳細なし。</x:v>
      </x:c>
      <x:c r="N257" s="7" t="str">
        <x:v>図面を検索し、見積・検査書等を紐づけ管理。AIで登録から運用を支援との説明。</x:v>
      </x:c>
      <x:c r="O257" s="7" t="str">
        <x:v>2024個別比較不能</x:v>
      </x:c>
      <x:c r="P257" s="7" t="str">
        <x:v>2026公式カタログ掲載・現地未確認</x:v>
      </x:c>
      <x:c r="Q257" s="7" t="str">
        <x:v>2026展示予定。既存製品・参考出展・構想等は原典で個別確認</x:v>
      </x:c>
      <x:c r="R257" s="7" t="str">
        <x:v>導入事例はメーカー編集の顧客発言。工数の因果・精度の独立検証ではない。OCRを自律エージェントと扱わない 現地質問：AIがOCR・類似検索・登録のどこを助けるか。図面改訂、品番、権限、誤関連の修正は。</x:v>
      </x:c>
      <x:c r="S257" s="7" t="str">
        <x:v>EEX-EXH-2026-3b6a1de81c17dfee
EDP-11</x:v>
      </x:c>
      <x:c r="T257" s="7" t="str">
        <x:v>EEX-EXH-2026-3b6a1de81c17dfee: https://www.jimtof.org/search/jp/ESdetails?e=hZaNogHdQM4
EDP-11: https://lp.zume-n.com/case-1/sagadainichi</x:v>
      </x:c>
      <x:c r="U257" s="7" t="str">
        <x:v>2026の原典全文を重点整理・2024同名原典なし</x:v>
      </x:c>
      <x:c r="V257" s="7" t="str">
        <x:v>図面文字の読取り・検索支援</x:v>
      </x:c>
      <x:c r="W257" s="7" t="str">
        <x:v>メーカー掲載の顧客事例でAI・OCRの自動文字読取りを確認。登録AIの全機能・類似度方式は不明</x:v>
      </x:c>
      <x:c r="X257" s="7" t="str">
        <x:v>図面を登録・検索し周辺資料と紐付けて共有。AIが見積金額を決める証拠ではない</x:v>
      </x:c>
      <x:c r="Y257" s="7" t="str">
        <x:v>公式顧客事例：ドラッグ＆ドロップで登録、図面の回転・分割を利用</x:v>
      </x:c>
      <x:c r="Z257" s="7" t="str">
        <x:v>公式顧客事例：文字読取り結果を人の目で確認・補正できる</x:v>
      </x:c>
      <x:c r="AA257" s="7" t="str">
        <x:v>未記載：誤関連・版違い・検索漏れを検出する仕組みと権限</x:v>
      </x:c>
      <x:c r="AB257" s="7" t="str">
        <x:v>導入事例はメーカー編集の顧客発言。工数の因果・精度の独立検証ではない。OCRを自律エージェントと扱わない</x:v>
      </x:c>
    </x:row>
    <x:row r="258" ht="170" customHeight="1">
      <x:c r="A258" s="7" t="str">
        <x:v>AC197</x:v>
      </x:c>
      <x:c r="B258" s="20" t="str">
        <x:v>フォルマー・ジャパン株式会社</x:v>
      </x:c>
      <x:c r="C258" s="7" t="str">
        <x:v>VGrind infinityは、直径0.2mmから200mmまでの工具加工に対応あらゆるサ イズを卓越した精度でカバーし、全円筒形状の工具も直径最大</x:v>
      </x:c>
      <x:c r="D258" s="7" t="str">
        <x:v>E2010</x:v>
      </x:c>
      <x:c r="E258" s="7" t="str">
        <x:v>自動化</x:v>
      </x:c>
      <x:c r="F258" s="7" t="str">
        <x:v>出展説明の関連用途（個別タスクの分解は未完了）</x:v>
      </x:c>
      <x:c r="G258" s="7" t="str">
        <x:v>出展説明に記載。実装位置の個別精査はカードの方式・未確認欄を参照</x:v>
      </x:c>
      <x:c r="H258" s="7" t="str">
        <x:v>原典抜粋：独自のマシンコンセプトと最適化された自動化ソリューションにより、単なる研削盤ではなくまさに万能の存在。 / また、2本のスピンドルと研磨砥石および放電電極の自動交換によるVOLLMERの革新的な多面加工が可能なVHybrid260は、工具加工における2つの重要なプロセスを完全に統合するための鍵となる。 / また、自動化の真のオールラウンダーとして、あらゆる生 産ニーズに対応する多彩なオプションを提供。</x:v>
      </x:c>
      <x:c r="I258" s="7" t="str">
        <x:v>個別入力の追加確認が必要</x:v>
      </x:c>
      <x:c r="J258" s="7" t="str">
        <x:v>原典抜粋：独自のマシンコンセプトと最適化された自動化ソリューションにより、単なる研削盤ではなくまさに万能の存在。 / また、2本のスピンドルと研磨砥石および放電電極の自動交換によるVOLLMERの革新的な多面加工が可能なVHybrid260は、工具加工における2つの重要なプロセスを完全に統合するための鍵となる。 / また、自動化の真のオールラウンダーとして、あらゆる生 産ニーズに対応する多彩なオプションを提供。</x:v>
      </x:c>
      <x:c r="K258" s="7" t="str">
        <x:v>独自のマシンコンセプトと最適化された自動化ソリューションにより、単なる研削盤ではなくまさに万能の存在。 / また、2本のスピンドルと研磨砥石および放電電極の自動交換によるVOLLMERの革新的な多面加工が可能なVHybrid260は、工具加工における2つの重要なプロセスを完全に統合するための鍵となる。 / また、自動化の真のオールラウンダーとして、あらゆる生 産ニーズに対応する多彩なオプションを提供。</x:v>
      </x:c>
      <x:c r="L258" s="7" t="str">
        <x:v>承認・例外対応・停止・復帰の境界は未確認</x:v>
      </x:c>
      <x:c r="M258" s="7" t="str">
        <x:v>2024原典抜粋：従来の放電や研削に加え、VOLLMERはPCD工具レーザー加工機VLaser370を開発。本機の登場により回転工具を加工する弊社のラインナップは完全なものになりました。VOLLMERでブースでは日本初出展となるVLaser370をはじめ、最新型の超硬工具研削盤VGrind360S、工具研削・放電加工機VHybrid260の3機種を出展。回転工具の製造再研磨に対し最適な加工方法をご提案します。 貴社のニーズをお聞かせください。 /PCD工具用レーザー加工機 VLaser370 PCD、CVD-DやMCDといった素材の</x:v>
      </x:c>
      <x:c r="N258" s="7" t="str">
        <x:v>2026原典抜粋：独自のマシンコンセプトと最適化された自動化ソリューションにより、単なる研削盤ではなくまさに万能の存在。 / また、2本のスピンドルと研磨砥石および放電電極の自動交換によるVOLLMERの革新的な多面加工が可能なVHybrid260は、工具加工における2つの重要なプロセスを完全に統合するための鍵となる。 / また、自動化の真のオールラウンダーとして、あらゆる生 産ニーズに対応する多彩なオプションを提供。</x:v>
      </x:c>
      <x:c r="O258" s="7" t="str">
        <x:v>両年原典あり・機能差未判定</x:v>
      </x:c>
      <x:c r="P258" s="7" t="str">
        <x:v>2026公式カタログ掲載・現地未確認</x:v>
      </x:c>
      <x:c r="Q258" s="7" t="str">
        <x:v>2026展示予定。既存製品・参考出展・構想等は原典で個別確認</x:v>
      </x:c>
      <x:c r="R258" s="7" t="str">
        <x:v>どの作業を自動化・支援するか、入力と判断・操作の範囲、適用条件と人の残作業、2024からの機能差、採用・受注・効果の実測を確認する。</x:v>
      </x:c>
      <x:c r="S258" s="7" t="str">
        <x:v>EEX-EXH-2026-7f8b2de5917f117e
EEX-EXH-2024-49a513b8f3742299</x:v>
      </x:c>
      <x:c r="T258" s="7" t="str">
        <x:v>EEX-EXH-2026-7f8b2de5917f117e: https://www.jimtof.org/search/jp/ESdetails?e=WUN4zdX-bpQ
EEX-EXH-2024-49a513b8f3742299: https://www.jimtof.org/2024/search/jp/ESdetails?e=46cG1q7GwI4</x:v>
      </x:c>
      <x:c r="U258" s="7" t="str">
        <x:v>出展説明の関連箇所に基づく一次分類</x:v>
      </x:c>
      <x:c r="V258" s="7"/>
      <x:c r="W258" s="7"/>
      <x:c r="X258" s="7"/>
      <x:c r="Y258" s="7"/>
      <x:c r="Z258" s="7"/>
      <x:c r="AA258" s="7"/>
      <x:c r="AB258" s="7"/>
    </x:row>
    <x:row r="259" ht="170" customHeight="1">
      <x:c r="A259" s="7" t="str">
        <x:v>AC198</x:v>
      </x:c>
      <x:c r="B259" s="20" t="str">
        <x:v>株式会社FUJI</x:v>
      </x:c>
      <x:c r="C259" s="7" t="str">
        <x:v>立型NC旋盤　「VN40」</x:v>
      </x:c>
      <x:c r="D259" s="7" t="str">
        <x:v>E3021</x:v>
      </x:c>
      <x:c r="E259" s="7" t="str">
        <x:v>自動化</x:v>
      </x:c>
      <x:c r="F259" s="7" t="str">
        <x:v>出展説明の関連用途（個別タスクの分解は未完了）</x:v>
      </x:c>
      <x:c r="G259" s="7" t="str">
        <x:v>出展説明に記載。実装位置の個別精査はカードの方式・未確認欄を参照</x:v>
      </x:c>
      <x:c r="H259" s="7" t="str">
        <x:v>原典抜粋：FUJIブースでは、『“つかみ方”で解決する自動化ソリューション』をコンセプトに、大径・重量物・異形ワークなど、従来は自動化が難しいとされてきた加工現場の課題に対する解決策をご提案します。 / 異形ワークのチャッキングを行うVN40、1スピンドルで表裏加工を完結するTN400ⅡR、大径・重量物ワークの半自動着脱に対応するACUFLEX400S、現場の工具・備品の受渡しを効率化するスマートロッカーシステムQuistを出展いたします。 / </x:v>
      </x:c>
      <x:c r="I259" s="7" t="str">
        <x:v>個別入力の追加確認が必要</x:v>
      </x:c>
      <x:c r="J259" s="7" t="str">
        <x:v>原典抜粋：FUJIブースでは、『“つかみ方”で解決する自動化ソリューション』をコンセプトに、大径・重量物・異形ワークなど、従来は自動化が難しいとされてきた加工現場の課題に対する解決策をご提案します。 / 異形ワークのチャッキングを行うVN40、1スピンドルで表裏加工を完結するTN400ⅡR、大径・重量物ワークの半自動着脱に対応するACUFLEX400S、現場の工具・備品の受渡しを効率化するスマートロッカーシステムQuistを出展いたします。 / </x:v>
      </x:c>
      <x:c r="K259" s="7" t="str">
        <x:v>FUJIブースでは、『“つかみ方”で解決する自動化ソリューション』をコンセプトに、大径・重量物・異形ワークなど、従来は自動化が難しいとされてきた加工現場の課題に対する解決策をご提案します。 / 異形ワークのチャッキングを行うVN40、1スピンドルで表裏加工を完結するTN400ⅡR、大径・重量物ワークの半自動着脱に対応するACUFLEX400S、現場の工具・備品の受渡しを効率化するスマートロッカーシステムQuistを出展いたします。 / </x:v>
      </x:c>
      <x:c r="L259" s="7" t="str">
        <x:v>承認・例外対応・停止・復帰の境界は未確認</x:v>
      </x:c>
      <x:c r="M259" s="7" t="str">
        <x:v>2024原典抜粋：JIMTOF2024ではJIMTOF初出展となります新複合旋盤ACUFLEX 400Sをはじめ、FUJIのターンキーソリューションをテーマに、対向2軸旋盤 ANW400ⅢH、正面2軸旋盤 CSD300Ⅱ、NC旋盤 TN300Ⅱの3台を使ってFUJIの様々なターンキーの事例をご紹介します。 さらにはFUJIのスマートロッカーシステムQuistを使った治具や刃具管理の提案も致します。 Y軸付き１タレット複合旋盤「ACUFLEX 400S」 対向２軸旋盤「ANW400ⅢH」 正面２軸旋盤「CSD300Ⅱ」 NC旋盤「TN</x:v>
      </x:c>
      <x:c r="N259" s="7" t="str">
        <x:v>2026原典抜粋：FUJIブースでは、『“つかみ方”で解決する自動化ソリューション』をコンセプトに、大径・重量物・異形ワークなど、従来は自動化が難しいとされてきた加工現場の課題に対する解決策をご提案します。 / 異形ワークのチャッキングを行うVN40、1スピンドルで表裏加工を完結するTN400ⅡR、大径・重量物ワークの半自動着脱に対応するACUFLEX400S、現場の工具・備品の受渡しを効率化するスマートロッカーシステムQuistを出展いたします。 / </x:v>
      </x:c>
      <x:c r="O259" s="7" t="str">
        <x:v>両年原典あり・機能差未判定</x:v>
      </x:c>
      <x:c r="P259" s="7" t="str">
        <x:v>2026公式カタログ掲載・現地未確認</x:v>
      </x:c>
      <x:c r="Q259" s="7" t="str">
        <x:v>2026展示予定。既存製品・参考出展・構想等は原典で個別確認</x:v>
      </x:c>
      <x:c r="R259" s="7" t="str">
        <x:v>どの作業を自動化・支援するか、入力と判断・操作の範囲、適用条件と人の残作業、2024からの機能差、採用・受注・効果の実測を確認する。</x:v>
      </x:c>
      <x:c r="S259" s="7" t="str">
        <x:v>EEX-EXH-2026-c0de70c161714618
EEX-EXH-2024-e023ed8f23dcf72e</x:v>
      </x:c>
      <x:c r="T259" s="7" t="str">
        <x:v>EEX-EXH-2026-c0de70c161714618: https://www.jimtof.org/search/jp/ESdetails?e=xJlXi-VNzio
EEX-EXH-2024-e023ed8f23dcf72e: https://www.jimtof.org/2024/search/jp/ESdetails?e=UZiobfgROkY</x:v>
      </x:c>
      <x:c r="U259" s="7" t="str">
        <x:v>出展説明の関連箇所に基づく一次分類</x:v>
      </x:c>
      <x:c r="V259" s="7"/>
      <x:c r="W259" s="7"/>
      <x:c r="X259" s="7"/>
      <x:c r="Y259" s="7"/>
      <x:c r="Z259" s="7"/>
      <x:c r="AA259" s="7"/>
      <x:c r="AB259" s="7"/>
    </x:row>
    <x:row r="260" ht="170" customHeight="1">
      <x:c r="A260" s="7" t="str">
        <x:v>AC199</x:v>
      </x:c>
      <x:c r="B260" s="20" t="str">
        <x:v>株式会社富士機工</x:v>
      </x:c>
      <x:c r="C260" s="7" t="str">
        <x:v>油圧プレス機【デスクロータリー】金型載せ替え不要。段取り時間を生産時間に。</x:v>
      </x:c>
      <x:c r="D260" s="7" t="str">
        <x:v>E1043</x:v>
      </x:c>
      <x:c r="E260" s="7" t="str">
        <x:v>自動化</x:v>
      </x:c>
      <x:c r="F260" s="7" t="str">
        <x:v>出展説明の関連用途（個別タスクの分解は未完了）</x:v>
      </x:c>
      <x:c r="G260" s="7" t="str">
        <x:v>出展説明に記載。実装位置の個別精査はカードの方式・未確認欄を参照</x:v>
      </x:c>
      <x:c r="H260" s="7" t="str">
        <x:v>原典抜粋：・【ボール盤NCβ２軸】自動位置決め装置付きで、長尺材の加工が速い。</x:v>
      </x:c>
      <x:c r="I260" s="7" t="str">
        <x:v>個別入力の追加確認が必要</x:v>
      </x:c>
      <x:c r="J260" s="7" t="str">
        <x:v>原典抜粋：・【ボール盤NCβ２軸】自動位置決め装置付きで、長尺材の加工が速い。</x:v>
      </x:c>
      <x:c r="K260" s="7" t="str">
        <x:v>・【ボール盤NCβ２軸】自動位置決め装置付きで、長尺材の加工が速い。</x:v>
      </x:c>
      <x:c r="L260" s="7" t="str">
        <x:v>承認・例外対応・停止・復帰の境界は未確認</x:v>
      </x:c>
      <x:c r="M260" s="7" t="str">
        <x:v>2024原典抜粋：開催当日は、パンチプレス・安全プレス機等を展示し実演加工を行う予定です。 メタルワークの省力化！ コストダウン！ 品質向上！さまざまな問題をご相談ください。 また、当社では新事業のエア漏れ診断サービスを始めました。 当日はサービスの概要のご説明をさせていただきます。 工場等でエア漏れによりロスしている電気代にご興味のある企業様、ぜひ当社ブースへお越しください。 社員一同心よりお待ちしております。 </x:v>
      </x:c>
      <x:c r="N260" s="7" t="str">
        <x:v>2026原典抜粋：・【ボール盤NCβ２軸】自動位置決め装置付きで、長尺材の加工が速い。</x:v>
      </x:c>
      <x:c r="O260" s="7" t="str">
        <x:v>両年原典あり・機能差未判定</x:v>
      </x:c>
      <x:c r="P260" s="7" t="str">
        <x:v>2026公式カタログ掲載・現地未確認</x:v>
      </x:c>
      <x:c r="Q260" s="7" t="str">
        <x:v>2026展示予定。既存製品・参考出展・構想等は原典で個別確認</x:v>
      </x:c>
      <x:c r="R260" s="7" t="str">
        <x:v>どの作業を自動化・支援するか、入力と判断・操作の範囲、適用条件と人の残作業、2024からの機能差、採用・受注・効果の実測を確認する。</x:v>
      </x:c>
      <x:c r="S260" s="7" t="str">
        <x:v>EEX-EXH-2026-dfd6e029520a8dd8
EEX-EXH-2024-c93a9fa942eb32d2</x:v>
      </x:c>
      <x:c r="T260" s="7" t="str">
        <x:v>EEX-EXH-2026-dfd6e029520a8dd8: https://www.jimtof.org/search/jp/ESdetails?e=krDglZoYKFc
EEX-EXH-2024-c93a9fa942eb32d2: https://www.jimtof.org/2024/search/jp/ESdetails?e=hGCfQjsQU9M</x:v>
      </x:c>
      <x:c r="U260" s="7" t="str">
        <x:v>出展説明の関連箇所に基づく一次分類</x:v>
      </x:c>
      <x:c r="V260" s="7"/>
      <x:c r="W260" s="7"/>
      <x:c r="X260" s="7"/>
      <x:c r="Y260" s="7"/>
      <x:c r="Z260" s="7"/>
      <x:c r="AA260" s="7"/>
      <x:c r="AB260" s="7"/>
    </x:row>
    <x:row r="261" ht="170" customHeight="1">
      <x:c r="A261" s="7" t="str">
        <x:v>AC201</x:v>
      </x:c>
      <x:c r="B261" s="20" t="str">
        <x:v>富士精工株式会社</x:v>
      </x:c>
      <x:c r="C261" s="7" t="str">
        <x:v>自働化ソリューション展示</x:v>
      </x:c>
      <x:c r="D261" s="7" t="str">
        <x:v>W1062</x:v>
      </x:c>
      <x:c r="E261" s="7" t="str">
        <x:v>自動化</x:v>
      </x:c>
      <x:c r="F261" s="7" t="str">
        <x:v>出展説明の関連用途（個別タスクの分解は未完了）</x:v>
      </x:c>
      <x:c r="G261" s="7" t="str">
        <x:v>出展説明に記載。実装位置の個別精査はカードの方式・未確認欄を参照</x:v>
      </x:c>
      <x:c r="H261" s="7" t="str">
        <x:v>原典抜粋：マシニングセンターなどの既存設備の自働化を促進する工具をはじめ、自動化の阻害要因となる切りくず、バリ、加工不良といった課題に対応する工具を展示します。 / 【ロボット】自働工具交換技術、バリ取りなど</x:v>
      </x:c>
      <x:c r="I261" s="7" t="str">
        <x:v>個別入力の追加確認が必要</x:v>
      </x:c>
      <x:c r="J261" s="7" t="str">
        <x:v>原典抜粋：マシニングセンターなどの既存設備の自働化を促進する工具をはじめ、自動化の阻害要因となる切りくず、バリ、加工不良といった課題に対応する工具を展示します。 / 【ロボット】自働工具交換技術、バリ取りなど</x:v>
      </x:c>
      <x:c r="K261" s="7" t="str">
        <x:v>マシニングセンターなどの既存設備の自働化を促進する工具をはじめ、自動化の阻害要因となる切りくず、バリ、加工不良といった課題に対応する工具を展示します。 / 【ロボット】自働工具交換技術、バリ取りなど</x:v>
      </x:c>
      <x:c r="L261" s="7" t="str">
        <x:v>承認・例外対応・停止・復帰の境界は未確認</x:v>
      </x:c>
      <x:c r="M261" s="7" t="str">
        <x:v>2024原典抜粋：昨年10月にHPをリニューアルした事に伴い、改めて当社製品の周知及び当社の モノづくりにフォーカスした展示をいたします。展示ではロボットを使った 動きものや触って体験できる展示などお客様により分かりやすい展示品をご用意しております。 切口は『新製品』、『ギヤツーリング製品』、『特殊工程製品』、『モノづくり技術力』、 『3Dプリント製品』、『サービス』にて展示をしております。 《注目製品》 ● 工具の再研自動化に最適な『ユニバーサルチャック』 ● 穴の外観検査の自動化が可能な『アナライザー』 《その他主な展示物》 ●</x:v>
      </x:c>
      <x:c r="N261" s="7" t="str">
        <x:v>2026原典抜粋：マシニングセンターなどの既存設備の自働化を促進する工具をはじめ、自動化の阻害要因となる切りくず、バリ、加工不良といった課題に対応する工具を展示します。 / 【ロボット】自働工具交換技術、バリ取りなど</x:v>
      </x:c>
      <x:c r="O261" s="7" t="str">
        <x:v>両年原典あり・機能差未判定</x:v>
      </x:c>
      <x:c r="P261" s="7" t="str">
        <x:v>2026公式カタログ掲載・現地未確認</x:v>
      </x:c>
      <x:c r="Q261" s="7" t="str">
        <x:v>2026展示予定。既存製品・参考出展・構想等は原典で個別確認</x:v>
      </x:c>
      <x:c r="R261" s="7" t="str">
        <x:v>どの作業を自動化・支援するか、入力と判断・操作の範囲、適用条件と人の残作業、2024からの機能差、採用・受注・効果の実測を確認する。</x:v>
      </x:c>
      <x:c r="S261" s="7" t="str">
        <x:v>EEX-EXH-2026-60ce989c04f949c1
EEX-EXH-2024-3433972cc02b009b</x:v>
      </x:c>
      <x:c r="T261" s="7" t="str">
        <x:v>EEX-EXH-2026-60ce989c04f949c1: https://www.jimtof.org/search/jp/ESdetails?e=4V4-l4rKNxY
EEX-EXH-2024-3433972cc02b009b: https://www.jimtof.org/2024/search/jp/ESdetails?e=85EwhsF0gYo</x:v>
      </x:c>
      <x:c r="U261" s="7" t="str">
        <x:v>出展説明の関連箇所に基づく一次分類</x:v>
      </x:c>
      <x:c r="V261" s="7"/>
      <x:c r="W261" s="7"/>
      <x:c r="X261" s="7"/>
      <x:c r="Y261" s="7"/>
      <x:c r="Z261" s="7"/>
      <x:c r="AA261" s="7"/>
      <x:c r="AB261" s="7"/>
    </x:row>
    <x:row r="262" ht="170" customHeight="1">
      <x:c r="A262" s="7" t="str">
        <x:v>AC203</x:v>
      </x:c>
      <x:c r="B262" s="20" t="str">
        <x:v>ブリンクマン・ポンプ・ジャパン株式会社</x:v>
      </x:c>
      <x:c r="C262" s="7" t="str">
        <x:v>クーラントポンプ</x:v>
      </x:c>
      <x:c r="D262" s="7" t="str">
        <x:v>W4091</x:v>
      </x:c>
      <x:c r="E262" s="7" t="str">
        <x:v>自動化</x:v>
      </x:c>
      <x:c r="F262" s="7" t="str">
        <x:v>出展説明の関連用途（個別タスクの分解は未完了）</x:v>
      </x:c>
      <x:c r="G262" s="7" t="str">
        <x:v>出展説明に記載。実装位置の個別精査はカードの方式・未確認欄を参照</x:v>
      </x:c>
      <x:c r="H262" s="7" t="str">
        <x:v>原典抜粋：自動化・省人化を実現するためには、工作機械だけでなく安定したクーラント供給が欠かせません。</x:v>
      </x:c>
      <x:c r="I262" s="7" t="str">
        <x:v>個別入力の追加確認が必要</x:v>
      </x:c>
      <x:c r="J262" s="7" t="str">
        <x:v>原典抜粋：自動化・省人化を実現するためには、工作機械だけでなく安定したクーラント供給が欠かせません。</x:v>
      </x:c>
      <x:c r="K262" s="7" t="str">
        <x:v>自動化・省人化を実現するためには、工作機械だけでなく安定したクーラント供給が欠かせません。</x:v>
      </x:c>
      <x:c r="L262" s="7" t="str">
        <x:v>承認・例外対応・停止・復帰の境界は未確認</x:v>
      </x:c>
      <x:c r="M262" s="7" t="str">
        <x:v>同一正規化名称の2024詳細なし。新規出展・技術不存在とは判断しない。</x:v>
      </x:c>
      <x:c r="N262" s="7" t="str">
        <x:v>2026原典抜粋：自動化・省人化を実現するためには、工作機械だけでなく安定したクーラント供給が欠かせません。</x:v>
      </x:c>
      <x:c r="O262" s="7" t="str">
        <x:v>2024個別比較不能</x:v>
      </x:c>
      <x:c r="P262" s="7" t="str">
        <x:v>2026公式カタログ掲載・現地未確認</x:v>
      </x:c>
      <x:c r="Q262" s="7" t="str">
        <x:v>2026展示予定。既存製品・参考出展・構想等は原典で個別確認</x:v>
      </x:c>
      <x:c r="R262" s="7" t="str">
        <x:v>どの作業を自動化・支援するか、入力と判断・操作の範囲、適用条件と人の残作業、2024からの機能差、採用・受注・効果の実測を確認する。</x:v>
      </x:c>
      <x:c r="S262" s="7" t="str">
        <x:v>EEX-EXH-2026-69c2d824f043f816</x:v>
      </x:c>
      <x:c r="T262" s="7" t="str">
        <x:v>EEX-EXH-2026-69c2d824f043f816: https://www.jimtof.org/search/jp/ESdetails?e=DtPO9o9IY_4</x:v>
      </x:c>
      <x:c r="U262" s="7" t="str">
        <x:v>出展説明の関連箇所に基づく一次分類</x:v>
      </x:c>
      <x:c r="V262" s="7"/>
      <x:c r="W262" s="7"/>
      <x:c r="X262" s="7"/>
      <x:c r="Y262" s="7"/>
      <x:c r="Z262" s="7"/>
      <x:c r="AA262" s="7"/>
      <x:c r="AB262" s="7"/>
    </x:row>
    <x:row r="263" ht="170" customHeight="1">
      <x:c r="A263" s="7" t="str">
        <x:v>AC204</x:v>
      </x:c>
      <x:c r="B263" s="20" t="str">
        <x:v>株式会社ブロードリーフ</x:v>
      </x:c>
      <x:c r="C263" s="7" t="str">
        <x:v>OTRS+AI：作業動画の自動分節</x:v>
      </x:c>
      <x:c r="D263" s="7" t="str">
        <x:v>S3068</x:v>
      </x:c>
      <x:c r="E263" s="7" t="str">
        <x:v>検査・診断・予測AI
工場運用DX
自動化</x:v>
      </x:c>
      <x:c r="F263" s="7" t="str">
        <x:v>作業動画の自動分節・分析</x:v>
      </x:c>
      <x:c r="G263" s="7" t="str">
        <x:v>OTRS+AIの作業動画分析。VPS NEXTは視線計測の別構成</x:v>
      </x:c>
      <x:c r="H263" s="7" t="str">
        <x:v>作業動画を分節し改善分析を助ける</x:v>
      </x:c>
      <x:c r="I263" s="7" t="str">
        <x:v>作業動画。視線データとの接続範囲は要確認</x:v>
      </x:c>
      <x:c r="J263" s="7" t="str">
        <x:v>2026は同系統の動画分析・自動分節を継続し、VPS NEXTアイトラッキングを追加記載。</x:v>
      </x:c>
      <x:c r="K263" s="7" t="str">
        <x:v>作業動画を分節し改善分析を助ける</x:v>
      </x:c>
      <x:c r="L263" s="7" t="str">
        <x:v>承認・例外対応・停止・復帰の境界は未確認</x:v>
      </x:c>
      <x:c r="M263" s="7" t="str">
        <x:v>2024にもOTRS10、OTRS+AI、Mobile OTRSを掲載。</x:v>
      </x:c>
      <x:c r="N263" s="7" t="str">
        <x:v>2026は同系統の動画分析・自動分節を継続し、VPS NEXTアイトラッキングを追加記載。</x:v>
      </x:c>
      <x:c r="O263" s="7" t="str">
        <x:v>2024から継続・構成を追加記載</x:v>
      </x:c>
      <x:c r="P263" s="7" t="str">
        <x:v>2026公式カタログ掲載・現地未確認</x:v>
      </x:c>
      <x:c r="Q263" s="7" t="str">
        <x:v>2026展示予定。既存製品・参考出展・構想等は原典で個別確認</x:v>
      </x:c>
      <x:c r="R263" s="7" t="str">
        <x:v>分節境界の修正工数、作業者差・工具差、視線データと工程指標の結び付けは。</x:v>
      </x:c>
      <x:c r="S263" s="7" t="str">
        <x:v>EEX-EXH-2026-8014e235f82da6ea
EEX-EXH-2024-0faf4a9595daca25</x:v>
      </x:c>
      <x:c r="T263" s="7" t="str">
        <x:v>EEX-EXH-2026-8014e235f82da6ea: https://www.jimtof.org/search/jp/ESdetails?e=Dt_yEexTCZo
EEX-EXH-2024-0faf4a9595daca25: https://www.jimtof.org/2024/search/jp/ESdetails?e=R_rANt3zYio</x:v>
      </x:c>
      <x:c r="U263" s="7" t="str">
        <x:v>2024・2026の原典全文を重点比較</x:v>
      </x:c>
      <x:c r="V263" s="7"/>
      <x:c r="W263" s="7"/>
      <x:c r="X263" s="7"/>
      <x:c r="Y263" s="7"/>
      <x:c r="Z263" s="7"/>
      <x:c r="AA263" s="7"/>
      <x:c r="AB263" s="7"/>
    </x:row>
    <x:row r="264" ht="170" customHeight="1">
      <x:c r="A264" s="7" t="str">
        <x:v>AC205</x:v>
      </x:c>
      <x:c r="B264" s="20" t="str">
        <x:v>株式会社ブンリ</x:v>
      </x:c>
      <x:c r="C264" s="7" t="str">
        <x:v>マグネティックセパレーター フェニックスNEO 『PXH』</x:v>
      </x:c>
      <x:c r="D264" s="7" t="str">
        <x:v>W4086</x:v>
      </x:c>
      <x:c r="E264" s="7" t="str">
        <x:v>自動化</x:v>
      </x:c>
      <x:c r="F264" s="7" t="str">
        <x:v>出展説明の関連用途（個別タスクの分解は未完了）</x:v>
      </x:c>
      <x:c r="G264" s="7" t="str">
        <x:v>出展説明に記載。実装位置の個別精査はカードの方式・未確認欄を参照</x:v>
      </x:c>
      <x:c r="H264" s="7" t="str">
        <x:v>原典抜粋：『資源も人も限られる時代に、生産を止めない。 / 』 / 現代の生産現場では、資源の有効活用・省人化の対応が課題です。 / 今回のJIMTOF2026では、弊社のクーラント濾過装置が「生産を止めない」ためにどのようにお手伝いできるかご提案いたします。 / 『濾過装置総合メーカーとしての提案』 / 弊社の特徴は、幅広い製品ラインナップ。 / オーダーメイドも可能で、あらゆる工作機械に設置可能です。 / 磁性体・非磁性体問わず、現場にとって</x:v>
      </x:c>
      <x:c r="I264" s="7" t="str">
        <x:v>個別入力の追加確認が必要</x:v>
      </x:c>
      <x:c r="J264" s="7" t="str">
        <x:v>原典抜粋：『資源も人も限られる時代に、生産を止めない。 / 』 / 現代の生産現場では、資源の有効活用・省人化の対応が課題です。 / 今回のJIMTOF2026では、弊社のクーラント濾過装置が「生産を止めない」ためにどのようにお手伝いできるかご提案いたします。 / 『濾過装置総合メーカーとしての提案』 / 弊社の特徴は、幅広い製品ラインナップ。 / オーダーメイドも可能で、あらゆる工作機械に設置可能です。 / 磁性体・非磁性体問わず、現場にとって</x:v>
      </x:c>
      <x:c r="K264" s="7" t="str">
        <x:v>『資源も人も限られる時代に、生産を止めない。 / 』 / 現代の生産現場では、資源の有効活用・省人化の対応が課題です。 / 今回のJIMTOF2026では、弊社のクーラント濾過装置が「生産を止めない」ためにどのようにお手伝いできるかご提案いたします。 / 『濾過装置総合メーカーとしての提案』 / 弊社の特徴は、幅広い製品ラインナップ。 / オーダーメイドも可能で、あらゆる工作機械に設置可能です。 / 磁性体・非磁性体問わず、現場にとって</x:v>
      </x:c>
      <x:c r="L264" s="7" t="str">
        <x:v>承認・例外対応・停止・復帰の境界は未確認</x:v>
      </x:c>
      <x:c r="M264" s="7" t="str">
        <x:v>2024原典抜粋：『濾過装置総合メーカーとしての提案』 当社の特徴は幅広い製品ラインナップです。 オーダーメイドも可能で、あらゆる工作機械に設置可能です。 磁性体・非磁性体問わず、総合的なご提案をいたします。 『労働環境への配慮』 当社は労働環境へ配慮した製品づくりを行っています。 スラッジ処理の負担軽減をお手伝いいたします。 『New Release』 今回のJIMTOF2024では、初公開になる製品を2機種展示いたします。 JIMTOF2022で初披露し、ご好評のフェニックスNEOと研削用ユニット「RTG」も展示いたします。 ●</x:v>
      </x:c>
      <x:c r="N264" s="7" t="str">
        <x:v>2026原典抜粋：『資源も人も限られる時代に、生産を止めない。 / 』 / 現代の生産現場では、資源の有効活用・省人化の対応が課題です。 / 今回のJIMTOF2026では、弊社のクーラント濾過装置が「生産を止めない」ためにどのようにお手伝いできるかご提案いたします。 / 『濾過装置総合メーカーとしての提案』 / 弊社の特徴は、幅広い製品ラインナップ。 / オーダーメイドも可能で、あらゆる工作機械に設置可能です。 / 磁性体・非磁性体問わず、現場にとって</x:v>
      </x:c>
      <x:c r="O264" s="7" t="str">
        <x:v>両年原典あり・機能差未判定</x:v>
      </x:c>
      <x:c r="P264" s="7" t="str">
        <x:v>2026公式カタログ掲載・現地未確認</x:v>
      </x:c>
      <x:c r="Q264" s="7" t="str">
        <x:v>2026展示予定。既存製品・参考出展・構想等は原典で個別確認</x:v>
      </x:c>
      <x:c r="R264" s="7" t="str">
        <x:v>どの作業を自動化・支援するか、入力と判断・操作の範囲、適用条件と人の残作業、2024からの機能差、採用・受注・効果の実測を確認する。</x:v>
      </x:c>
      <x:c r="S264" s="7" t="str">
        <x:v>EEX-EXH-2026-5453132e0eec20bd
EEX-EXH-2024-eb77af6d244f80e9</x:v>
      </x:c>
      <x:c r="T264" s="7" t="str">
        <x:v>EEX-EXH-2026-5453132e0eec20bd: https://www.jimtof.org/search/jp/ESdetails?e=r-Kxnh9Ctzg
EEX-EXH-2024-eb77af6d244f80e9: https://www.jimtof.org/2024/search/jp/ESdetails?e=vPG0XMiBzgY</x:v>
      </x:c>
      <x:c r="U264" s="7" t="str">
        <x:v>出展説明の関連箇所に基づく一次分類</x:v>
      </x:c>
      <x:c r="V264" s="7"/>
      <x:c r="W264" s="7"/>
      <x:c r="X264" s="7"/>
      <x:c r="Y264" s="7"/>
      <x:c r="Z264" s="7"/>
      <x:c r="AA264" s="7"/>
      <x:c r="AB264" s="7"/>
    </x:row>
    <x:row r="265" ht="170" customHeight="1">
      <x:c r="A265" s="7" t="str">
        <x:v>AC206</x:v>
      </x:c>
      <x:c r="B265" s="20" t="str">
        <x:v>ベクトリックス株式会社</x:v>
      </x:c>
      <x:c r="C265" s="7" t="str">
        <x:v>QC PRO シリーズ</x:v>
      </x:c>
      <x:c r="D265" s="7" t="str">
        <x:v>E7029</x:v>
      </x:c>
      <x:c r="E265" s="7" t="str">
        <x:v>設計・製造DX
工場運用DX</x:v>
      </x:c>
      <x:c r="F265" s="7" t="str">
        <x:v>出展説明の関連用途（個別タスクの分解は未完了）</x:v>
      </x:c>
      <x:c r="G265" s="7" t="str">
        <x:v>出展説明に記載。実装位置の個別精査はカードの方式・未確認欄を参照</x:v>
      </x:c>
      <x:c r="H265" s="7" t="str">
        <x:v>原典抜粋：SPC（統計的工程管理）に対応した品質管理ソフトウェア / ・検査成績書や管理図の自動作成機能 / エクセル自動入力・検査書作成ソフトウェア / ・ワイヤレス入力したデータを自動で合否判定 / ・指定日時の自動バックアップ機能 / ・回収指示書の自動メール配信 / ・QC PRO EX Plus（エクセル自動入力用ソフトウェア） / ・QC PRO MX（検査成績書自動作成ソフトウェア）</x:v>
      </x:c>
      <x:c r="I265" s="7" t="str">
        <x:v>個別入力の追加確認が必要</x:v>
      </x:c>
      <x:c r="J265" s="7" t="str">
        <x:v>原典抜粋：SPC（統計的工程管理）に対応した品質管理ソフトウェア / ・検査成績書や管理図の自動作成機能 / エクセル自動入力・検査書作成ソフトウェア / ・ワイヤレス入力したデータを自動で合否判定 / ・指定日時の自動バックアップ機能 / ・回収指示書の自動メール配信 / ・QC PRO EX Plus（エクセル自動入力用ソフトウェア） / ・QC PRO MX（検査成績書自動作成ソフトウェア）</x:v>
      </x:c>
      <x:c r="K265" s="7" t="str">
        <x:v>SPC（統計的工程管理）に対応した品質管理ソフトウェア / ・検査成績書や管理図の自動作成機能 / エクセル自動入力・検査書作成ソフトウェア / ・ワイヤレス入力したデータを自動で合否判定 / ・指定日時の自動バックアップ機能 / ・回収指示書の自動メール配信 / ・QC PRO EX Plus（エクセル自動入力用ソフトウェア） / ・QC PRO MX（検査成績書自動作成ソフトウェア）</x:v>
      </x:c>
      <x:c r="L265" s="7" t="str">
        <x:v>承認・例外対応・停止・復帰の境界は未確認</x:v>
      </x:c>
      <x:c r="M265" s="7" t="str">
        <x:v>2024原典抜粋：■QC PRO SPC（統計的工程管理）に対応した品質管理ソフトウェア ・検査成績書や管理図の自動作成機能 ・検査データの電子化により、品質管理のトレーサビリティ向上 ・基本統計量や工程能力指数をリアルタイムで表示 ・三次元測定機や画像測定機のデータも取込み可能 ・ログインIDごとに機能制限しデータ改ざんの抑止 ■QC PRO EX Plus エクセル自動入力・検査書作成ソフトウェア ・測定データワイヤレス入力機器「テレメジャーⅡ」対応 ・ワイヤレス入力したデータを自動で合否判定 ・外観検査ではOK・NGなど文字デ</x:v>
      </x:c>
      <x:c r="N265" s="7" t="str">
        <x:v>2026原典抜粋：SPC（統計的工程管理）に対応した品質管理ソフトウェア / ・検査成績書や管理図の自動作成機能 / エクセル自動入力・検査書作成ソフトウェア / ・ワイヤレス入力したデータを自動で合否判定 / ・指定日時の自動バックアップ機能 / ・回収指示書の自動メール配信 / ・QC PRO EX Plus（エクセル自動入力用ソフトウェア） / ・QC PRO MX（検査成績書自動作成ソフトウェア）</x:v>
      </x:c>
      <x:c r="O265" s="7" t="str">
        <x:v>両年原典あり・機能差未判定</x:v>
      </x:c>
      <x:c r="P265" s="7" t="str">
        <x:v>2026公式カタログ掲載・現地未確認</x:v>
      </x:c>
      <x:c r="Q265" s="7" t="str">
        <x:v>2026展示予定。既存製品・参考出展・構想等は原典で個別確認</x:v>
      </x:c>
      <x:c r="R265" s="7" t="str">
        <x:v>どの作業を自動化・支援するか、入力と判断・操作の範囲、適用条件と人の残作業、2024からの機能差、採用・受注・効果の実測を確認する。</x:v>
      </x:c>
      <x:c r="S265" s="7" t="str">
        <x:v>EEX-EXH-2026-051461fc275e164d
EEX-EXH-2024-59b99545162fe547</x:v>
      </x:c>
      <x:c r="T265" s="7" t="str">
        <x:v>EEX-EXH-2026-051461fc275e164d: https://www.jimtof.org/search/jp/ESdetails?e=P5HLZf3n2dk
EEX-EXH-2024-59b99545162fe547: https://www.jimtof.org/2024/search/jp/ESdetails?e=I5HEizw7p-o</x:v>
      </x:c>
      <x:c r="U265" s="7" t="str">
        <x:v>出展説明の関連箇所に基づく一次分類</x:v>
      </x:c>
      <x:c r="V265" s="7"/>
      <x:c r="W265" s="7"/>
      <x:c r="X265" s="7"/>
      <x:c r="Y265" s="7"/>
      <x:c r="Z265" s="7"/>
      <x:c r="AA265" s="7"/>
      <x:c r="AB265" s="7"/>
    </x:row>
    <x:row r="266" ht="170" customHeight="1">
      <x:c r="A266" s="7" t="str">
        <x:v>AC207</x:v>
      </x:c>
      <x:c r="B266" s="20" t="str">
        <x:v>ベクトル株式会社</x:v>
      </x:c>
      <x:c r="C266" s="7" t="str">
        <x:v>VM-M1マルチペンマーキング装置</x:v>
      </x:c>
      <x:c r="D266" s="7" t="str">
        <x:v>W3116</x:v>
      </x:c>
      <x:c r="E266" s="7" t="str">
        <x:v>工場運用DX</x:v>
      </x:c>
      <x:c r="F266" s="7" t="str">
        <x:v>出展説明の関連用途（個別タスクの分解は未完了）</x:v>
      </x:c>
      <x:c r="G266" s="7" t="str">
        <x:v>出展説明に記載。実装位置の個別精査はカードの方式・未確認欄を参照</x:v>
      </x:c>
      <x:c r="H266" s="7" t="str">
        <x:v>原典抜粋：日本国内の工場で製造される当社製品は、高精度・高耐久を誇り、自動車・航空・精密機械など幅広い業界で採用されています。 / 特に金属部品への深彫りや2次元コード刻印によるトレーサビリティ・IoT対応に強みを持ち、製造業のDX推進にも貢献します。</x:v>
      </x:c>
      <x:c r="I266" s="7" t="str">
        <x:v>個別入力の追加確認が必要</x:v>
      </x:c>
      <x:c r="J266" s="7" t="str">
        <x:v>原典抜粋：日本国内の工場で製造される当社製品は、高精度・高耐久を誇り、自動車・航空・精密機械など幅広い業界で採用されています。 / 特に金属部品への深彫りや2次元コード刻印によるトレーサビリティ・IoT対応に強みを持ち、製造業のDX推進にも貢献します。</x:v>
      </x:c>
      <x:c r="K266" s="7" t="str">
        <x:v>日本国内の工場で製造される当社製品は、高精度・高耐久を誇り、自動車・航空・精密機械など幅広い業界で採用されています。 / 特に金属部品への深彫りや2次元コード刻印によるトレーサビリティ・IoT対応に強みを持ち、製造業のDX推進にも貢献します。</x:v>
      </x:c>
      <x:c r="L266" s="7" t="str">
        <x:v>承認・例外対応・停止・復帰の境界は未確認</x:v>
      </x:c>
      <x:c r="M266" s="7" t="str">
        <x:v>同一正規化名称の2024詳細なし。新規出展・技術不存在とは判断しない。</x:v>
      </x:c>
      <x:c r="N266" s="7" t="str">
        <x:v>2026原典抜粋：日本国内の工場で製造される当社製品は、高精度・高耐久を誇り、自動車・航空・精密機械など幅広い業界で採用されています。 / 特に金属部品への深彫りや2次元コード刻印によるトレーサビリティ・IoT対応に強みを持ち、製造業のDX推進にも貢献します。</x:v>
      </x:c>
      <x:c r="O266" s="7" t="str">
        <x:v>2024個別比較不能</x:v>
      </x:c>
      <x:c r="P266" s="7" t="str">
        <x:v>2026公式カタログ掲載・現地未確認</x:v>
      </x:c>
      <x:c r="Q266" s="7" t="str">
        <x:v>2026展示予定。既存製品・参考出展・構想等は原典で個別確認</x:v>
      </x:c>
      <x:c r="R266" s="7" t="str">
        <x:v>どの作業を自動化・支援するか、入力と判断・操作の範囲、適用条件と人の残作業、2024からの機能差、採用・受注・効果の実測を確認する。</x:v>
      </x:c>
      <x:c r="S266" s="7" t="str">
        <x:v>EEX-EXH-2026-674c605ed0bd261d</x:v>
      </x:c>
      <x:c r="T266" s="7" t="str">
        <x:v>EEX-EXH-2026-674c605ed0bd261d: https://www.jimtof.org/search/jp/ESdetails?e=IPepQI4Pn3c</x:v>
      </x:c>
      <x:c r="U266" s="7" t="str">
        <x:v>出展説明の関連箇所に基づく一次分類</x:v>
      </x:c>
      <x:c r="V266" s="7"/>
      <x:c r="W266" s="7"/>
      <x:c r="X266" s="7"/>
      <x:c r="Y266" s="7"/>
      <x:c r="Z266" s="7"/>
      <x:c r="AA266" s="7"/>
      <x:c r="AB266" s="7"/>
    </x:row>
    <x:row r="267" ht="170" customHeight="1">
      <x:c r="A267" s="7" t="str">
        <x:v>AC208</x:v>
      </x:c>
      <x:c r="B267" s="20" t="str">
        <x:v>ヘラマンタイトン株式会社</x:v>
      </x:c>
      <x:c r="C267" s="7" t="str">
        <x:v>ローヘッドタイ</x:v>
      </x:c>
      <x:c r="D267" s="7" t="str">
        <x:v>S3063</x:v>
      </x:c>
      <x:c r="E267" s="7" t="str">
        <x:v>自動化
AI実装・連携基盤</x:v>
      </x:c>
      <x:c r="F267" s="7" t="str">
        <x:v>出展説明の関連用途（個別タスクの分解は未完了）</x:v>
      </x:c>
      <x:c r="G267" s="7" t="str">
        <x:v>出展説明に記載。実装位置の個別精査はカードの方式・未確認欄を参照</x:v>
      </x:c>
      <x:c r="H267" s="7" t="str">
        <x:v>原典抜粋：ヘラマンタイトン株式会社は、結束バンドの代名詞「インシュロック」をはじめとした、配線結束・固定・保護製品を展開する配線資材メーカーです。 / 会場では、製造現場の省人化・作業品質向上を実現するソリューションや、新製品も紹介いたしますので是非お立ち寄りください。 / ●ローヘッドタイ / 周辺の電線被覆を傷つけにくい、作業者にも安全なデザインの省スペース用結束バンドです。 / ●アルミパイプフレーム用固定具 / 生産現場の設備ユニットのア</x:v>
      </x:c>
      <x:c r="I267" s="7" t="str">
        <x:v>個別入力の追加確認が必要</x:v>
      </x:c>
      <x:c r="J267" s="7" t="str">
        <x:v>原典抜粋：ヘラマンタイトン株式会社は、結束バンドの代名詞「インシュロック」をはじめとした、配線結束・固定・保護製品を展開する配線資材メーカーです。 / 会場では、製造現場の省人化・作業品質向上を実現するソリューションや、新製品も紹介いたしますので是非お立ち寄りください。 / ●ローヘッドタイ / 周辺の電線被覆を傷つけにくい、作業者にも安全なデザインの省スペース用結束バンドです。 / ●アルミパイプフレーム用固定具 / 生産現場の設備ユニットのア</x:v>
      </x:c>
      <x:c r="K267" s="7" t="str">
        <x:v>ヘラマンタイトン株式会社は、結束バンドの代名詞「インシュロック」をはじめとした、配線結束・固定・保護製品を展開する配線資材メーカーです。 / 会場では、製造現場の省人化・作業品質向上を実現するソリューションや、新製品も紹介いたしますので是非お立ち寄りください。 / ●ローヘッドタイ / 周辺の電線被覆を傷つけにくい、作業者にも安全なデザインの省スペース用結束バンドです。 / ●アルミパイプフレーム用固定具 / 生産現場の設備ユニットのア</x:v>
      </x:c>
      <x:c r="L267" s="7" t="str">
        <x:v>承認・例外対応・停止・復帰の境界は未確認</x:v>
      </x:c>
      <x:c r="M267" s="7" t="str">
        <x:v>同一正規化名称の2024詳細なし。新規出展・技術不存在とは判断しない。</x:v>
      </x:c>
      <x:c r="N267" s="7" t="str">
        <x:v>2026原典抜粋：ヘラマンタイトン株式会社は、結束バンドの代名詞「インシュロック」をはじめとした、配線結束・固定・保護製品を展開する配線資材メーカーです。 / 会場では、製造現場の省人化・作業品質向上を実現するソリューションや、新製品も紹介いたしますので是非お立ち寄りください。 / ●ローヘッドタイ / 周辺の電線被覆を傷つけにくい、作業者にも安全なデザインの省スペース用結束バンドです。 / ●アルミパイプフレーム用固定具 / 生産現場の設備ユニットのア</x:v>
      </x:c>
      <x:c r="O267" s="7" t="str">
        <x:v>2024個別比較不能</x:v>
      </x:c>
      <x:c r="P267" s="7" t="str">
        <x:v>2026公式カタログ掲載・現地未確認</x:v>
      </x:c>
      <x:c r="Q267" s="7" t="str">
        <x:v>2026展示予定。既存製品・参考出展・構想等は原典で個別確認</x:v>
      </x:c>
      <x:c r="R267" s="7" t="str">
        <x:v>どの作業を自動化・支援するか、入力と判断・操作の範囲、適用条件と人の残作業、2024からの機能差、採用・受注・効果の実測を確認する。</x:v>
      </x:c>
      <x:c r="S267" s="7" t="str">
        <x:v>EEX-EXH-2026-61c5e32e01981e4b</x:v>
      </x:c>
      <x:c r="T267" s="7" t="str">
        <x:v>EEX-EXH-2026-61c5e32e01981e4b: https://www.jimtof.org/search/jp/ESdetails?e=xEXdOEK7Vpc</x:v>
      </x:c>
      <x:c r="U267" s="7" t="str">
        <x:v>出展説明の関連箇所に基づく一次分類</x:v>
      </x:c>
      <x:c r="V267" s="7"/>
      <x:c r="W267" s="7"/>
      <x:c r="X267" s="7"/>
      <x:c r="Y267" s="7"/>
      <x:c r="Z267" s="7"/>
      <x:c r="AA267" s="7"/>
      <x:c r="AB267" s="7"/>
    </x:row>
    <x:row r="268" ht="170" customHeight="1">
      <x:c r="A268" s="7" t="str">
        <x:v>AC209</x:v>
      </x:c>
      <x:c r="B268" s="20" t="str">
        <x:v>牧野フライス精機株式会社</x:v>
      </x:c>
      <x:c r="C268" s="7" t="str">
        <x:v>高精密CNC工具研削盤SG10EX</x:v>
      </x:c>
      <x:c r="D268" s="7" t="str">
        <x:v>E7090</x:v>
      </x:c>
      <x:c r="E268" s="7" t="str">
        <x:v>自動化</x:v>
      </x:c>
      <x:c r="F268" s="7" t="str">
        <x:v>出展説明の関連用途（個別タスクの分解は未完了）</x:v>
      </x:c>
      <x:c r="G268" s="7" t="str">
        <x:v>出展説明に記載。実装位置の個別精査はカードの方式・未確認欄を参照</x:v>
      </x:c>
      <x:c r="H268" s="7" t="str">
        <x:v>原典抜粋：弊社は、工具製造のさらなる高精度化・自動化を実現する最新技術を出展。 / 今回の展示では、新機種1台を含む計3台のCNC工具研削盤を出展するほか、内蔵型マイクロビジョンシステム「monocam2」の新機能を公開。 / また、小径工具の機内測定に対応する新システム「nanocam」を発表し、小径工具研削の新たなソリューションを提案。</x:v>
      </x:c>
      <x:c r="I268" s="7" t="str">
        <x:v>個別入力の追加確認が必要</x:v>
      </x:c>
      <x:c r="J268" s="7" t="str">
        <x:v>原典抜粋：弊社は、工具製造のさらなる高精度化・自動化を実現する最新技術を出展。 / 今回の展示では、新機種1台を含む計3台のCNC工具研削盤を出展するほか、内蔵型マイクロビジョンシステム「monocam2」の新機能を公開。 / また、小径工具の機内測定に対応する新システム「nanocam」を発表し、小径工具研削の新たなソリューションを提案。</x:v>
      </x:c>
      <x:c r="K268" s="7" t="str">
        <x:v>弊社は、工具製造のさらなる高精度化・自動化を実現する最新技術を出展。 / 今回の展示では、新機種1台を含む計3台のCNC工具研削盤を出展するほか、内蔵型マイクロビジョンシステム「monocam2」の新機能を公開。 / また、小径工具の機内測定に対応する新システム「nanocam」を発表し、小径工具研削の新たなソリューションを提案。</x:v>
      </x:c>
      <x:c r="L268" s="7" t="str">
        <x:v>承認・例外対応・停止・復帰の境界は未確認</x:v>
      </x:c>
      <x:c r="M268" s="7" t="str">
        <x:v>2024原典抜粋：・Tool Creator® 標準工具から特殊工具まで対応する弊社の第三世代ソフトウェア。自動化などを想定し、様々な外部機器との連携やデータ読み込みなど、高度な拡張性を備える。 ・高精密CNC工具研削盤AGE30FX 自動ワーク交換装置と砥石・研削液ノズル交換装置を標準搭載した全自動機。会場では内蔵型マイクロビジョンシステムmonocam2による、最新の画像認識技術を使用した超硬ドリル刃先のホーニング加工デモを行う。 ・高精密CNC工具研削盤SG10 小径から中径工具を高精度に生産可能なコンパクト全自動機。会場では</x:v>
      </x:c>
      <x:c r="N268" s="7" t="str">
        <x:v>2026原典抜粋：弊社は、工具製造のさらなる高精度化・自動化を実現する最新技術を出展。 / 今回の展示では、新機種1台を含む計3台のCNC工具研削盤を出展するほか、内蔵型マイクロビジョンシステム「monocam2」の新機能を公開。 / また、小径工具の機内測定に対応する新システム「nanocam」を発表し、小径工具研削の新たなソリューションを提案。</x:v>
      </x:c>
      <x:c r="O268" s="7" t="str">
        <x:v>両年原典あり・機能差未判定</x:v>
      </x:c>
      <x:c r="P268" s="7" t="str">
        <x:v>2026公式カタログ掲載・現地未確認</x:v>
      </x:c>
      <x:c r="Q268" s="7" t="str">
        <x:v>2026展示予定。既存製品・参考出展・構想等は原典で個別確認</x:v>
      </x:c>
      <x:c r="R268" s="7" t="str">
        <x:v>どの作業を自動化・支援するか、入力と判断・操作の範囲、適用条件と人の残作業、2024からの機能差、採用・受注・効果の実測を確認する。</x:v>
      </x:c>
      <x:c r="S268" s="7" t="str">
        <x:v>EEX-EXH-2026-41a8f9ad241e4c0e
EEX-EXH-2024-8678f2b8e7d82522</x:v>
      </x:c>
      <x:c r="T268" s="7" t="str">
        <x:v>EEX-EXH-2026-41a8f9ad241e4c0e: https://www.jimtof.org/search/jp/ESdetails?e=jlC7OSSk2O4
EEX-EXH-2024-8678f2b8e7d82522: https://www.jimtof.org/2024/search/jp/ESdetails?e=uvTY1qMfjes</x:v>
      </x:c>
      <x:c r="U268" s="7" t="str">
        <x:v>出展説明の関連箇所に基づく一次分類</x:v>
      </x:c>
      <x:c r="V268" s="7"/>
      <x:c r="W268" s="7"/>
      <x:c r="X268" s="7"/>
      <x:c r="Y268" s="7"/>
      <x:c r="Z268" s="7"/>
      <x:c r="AA268" s="7"/>
      <x:c r="AB268" s="7"/>
    </x:row>
    <x:row r="269" ht="170" customHeight="1">
      <x:c r="A269" s="7" t="str">
        <x:v>AC210</x:v>
      </x:c>
      <x:c r="B269" s="20" t="str">
        <x:v>株式会社マザーツール</x:v>
      </x:c>
      <x:c r="C269" s="7" t="str">
        <x:v>【AIカメラ】</x:v>
      </x:c>
      <x:c r="D269" s="7" t="str">
        <x:v>S4038</x:v>
      </x:c>
      <x:c r="E269" s="7" t="str">
        <x:v>検査・診断・予測AI
工場運用DX
自動化
AI実装・連携基盤</x:v>
      </x:c>
      <x:c r="F269" s="7" t="str">
        <x:v>出展説明の関連用途（個別タスクの分解は未完了）</x:v>
      </x:c>
      <x:c r="G269" s="7" t="str">
        <x:v>出展説明に記載。実装位置の個別精査はカードの方式・未確認欄を参照</x:v>
      </x:c>
      <x:c r="H269" s="7" t="str">
        <x:v>原典抜粋：サーモグラフィカメラによる設備の温度監視・異常発熱の検知、高解像度カメラによる作業状況の記録など、カメラを活用した「見える化」を実現します。 / AIカメラでは、作業者の危険箇所への侵入を検知して設備停止につなげたり、一人作業の現場や薬品庫など、人が常駐しないエリアでの転倒を検知してアラームでお知らせしたりするなど、工場内の安全対策もサポートします。 / その他にも、簡単に導入できるワイヤレスカメラモニターセット、熱を持つ設備の保守点検</x:v>
      </x:c>
      <x:c r="I269" s="7" t="str">
        <x:v>個別入力の追加確認が必要</x:v>
      </x:c>
      <x:c r="J269" s="7" t="str">
        <x:v>原典抜粋：サーモグラフィカメラによる設備の温度監視・異常発熱の検知、高解像度カメラによる作業状況の記録など、カメラを活用した「見える化」を実現します。 / AIカメラでは、作業者の危険箇所への侵入を検知して設備停止につなげたり、一人作業の現場や薬品庫など、人が常駐しないエリアでの転倒を検知してアラームでお知らせしたりするなど、工場内の安全対策もサポートします。 / その他にも、簡単に導入できるワイヤレスカメラモニターセット、熱を持つ設備の保守点検</x:v>
      </x:c>
      <x:c r="K269" s="7" t="str">
        <x:v>サーモグラフィカメラによる設備の温度監視・異常発熱の検知、高解像度カメラによる作業状況の記録など、カメラを活用した「見える化」を実現します。 / AIカメラでは、作業者の危険箇所への侵入を検知して設備停止につなげたり、一人作業の現場や薬品庫など、人が常駐しないエリアでの転倒を検知してアラームでお知らせしたりするなど、工場内の安全対策もサポートします。 / その他にも、簡単に導入できるワイヤレスカメラモニターセット、熱を持つ設備の保守点検</x:v>
      </x:c>
      <x:c r="L269" s="7" t="str">
        <x:v>承認・例外対応・停止・復帰の境界は未確認</x:v>
      </x:c>
      <x:c r="M269" s="7" t="str">
        <x:v>2024原典抜粋：AI画像解析を搭載したカメラや温度変化をトリガーにアラーム出力可能な設置型サーモグラフィ、高画質8メガピクセルのネットワークIPカメラ等、カメラシステムを活用した安全対策をご提案いたします。 【AI画像解析カメラシステム】 AI画像解析を搭載したカメラシステムにより、人に特化した様々な検知が可能。 作業者の転倒、指定したエリアへの侵入・居残り、人数、境界線横断等をトリガーとしてアラーム信号出力が可能。警報機との連動や機械の制御等、作業者の安全対策に貢献します。 【サーモグラフィカメラ】 撮影範囲内で最大12箇所のエ</x:v>
      </x:c>
      <x:c r="N269" s="7" t="str">
        <x:v>2026原典抜粋：サーモグラフィカメラによる設備の温度監視・異常発熱の検知、高解像度カメラによる作業状況の記録など、カメラを活用した「見える化」を実現します。 / AIカメラでは、作業者の危険箇所への侵入を検知して設備停止につなげたり、一人作業の現場や薬品庫など、人が常駐しないエリアでの転倒を検知してアラームでお知らせしたりするなど、工場内の安全対策もサポートします。 / その他にも、簡単に導入できるワイヤレスカメラモニターセット、熱を持つ設備の保守点検</x:v>
      </x:c>
      <x:c r="O269" s="7" t="str">
        <x:v>両年原典あり・機能差未判定</x:v>
      </x:c>
      <x:c r="P269" s="7" t="str">
        <x:v>2026公式カタログ掲載・現地未確認</x:v>
      </x:c>
      <x:c r="Q269" s="7" t="str">
        <x:v>2026展示予定。既存製品・参考出展・構想等は原典で個別確認</x:v>
      </x:c>
      <x:c r="R269" s="7" t="str">
        <x:v>どの作業を自動化・支援するか、入力と判断・操作の範囲、適用条件と人の残作業、2024からの機能差、採用・受注・効果の実測を確認する。</x:v>
      </x:c>
      <x:c r="S269" s="7" t="str">
        <x:v>EEX-EXH-2026-57f4a98dc1098522
EEX-EXH-2024-441f129a7817c620</x:v>
      </x:c>
      <x:c r="T269" s="7" t="str">
        <x:v>EEX-EXH-2026-57f4a98dc1098522: https://www.jimtof.org/search/jp/ESdetails?e=BoITLU2Wxfk
EEX-EXH-2024-441f129a7817c620: https://www.jimtof.org/2024/search/jp/ESdetails?e=kBYy2TOLHlc</x:v>
      </x:c>
      <x:c r="U269" s="7" t="str">
        <x:v>出展説明の関連箇所に基づく一次分類</x:v>
      </x:c>
      <x:c r="V269" s="7"/>
      <x:c r="W269" s="7"/>
      <x:c r="X269" s="7"/>
      <x:c r="Y269" s="7"/>
      <x:c r="Z269" s="7"/>
      <x:c r="AA269" s="7"/>
      <x:c r="AB269" s="7"/>
    </x:row>
    <x:row r="270" ht="170" customHeight="1">
      <x:c r="A270" s="7" t="str">
        <x:v>AC211</x:v>
      </x:c>
      <x:c r="B270" s="20" t="str">
        <x:v>株式会社マシンソル</x:v>
      </x:c>
      <x:c r="C270" s="7" t="str">
        <x:v>①【ms-Machine monitor】 機械稼働監視システム</x:v>
      </x:c>
      <x:c r="D270" s="7" t="str">
        <x:v>S4006</x:v>
      </x:c>
      <x:c r="E270" s="7" t="str">
        <x:v>工場運用DX</x:v>
      </x:c>
      <x:c r="F270" s="7" t="str">
        <x:v>出展説明の関連用途（個別タスクの分解は未完了）</x:v>
      </x:c>
      <x:c r="G270" s="7" t="str">
        <x:v>出展説明に記載。実装位置の個別精査はカードの方式・未確認欄を参照</x:v>
      </x:c>
      <x:c r="H270" s="7" t="str">
        <x:v>原典抜粋：弊社独自の機械稼働監視システム【ms-Machinemonitor】、工程スケジューラ＆進捗管理システム / また、薬品を使わずに工場の冷却塔・配管に付着するスケールを全自動で除去する、電気分解式スケール除去装置の【ElectoroLife】も同時展示しております。 / ①【ms-Machine monitor】 機械稼働監視システム / ②【ms-Pro management】スケジューラ＆進捗監視システム / ⑤【ms-Mainte</x:v>
      </x:c>
      <x:c r="I270" s="7" t="str">
        <x:v>個別入力の追加確認が必要</x:v>
      </x:c>
      <x:c r="J270" s="7" t="str">
        <x:v>原典抜粋：弊社独自の機械稼働監視システム【ms-Machinemonitor】、工程スケジューラ＆進捗管理システム / また、薬品を使わずに工場の冷却塔・配管に付着するスケールを全自動で除去する、電気分解式スケール除去装置の【ElectoroLife】も同時展示しております。 / ①【ms-Machine monitor】 機械稼働監視システム / ②【ms-Pro management】スケジューラ＆進捗監視システム / ⑤【ms-Mainte</x:v>
      </x:c>
      <x:c r="K270" s="7" t="str">
        <x:v>弊社独自の機械稼働監視システム【ms-Machinemonitor】、工程スケジューラ＆進捗管理システム / また、薬品を使わずに工場の冷却塔・配管に付着するスケールを全自動で除去する、電気分解式スケール除去装置の【ElectoroLife】も同時展示しております。 / ①【ms-Machine monitor】 機械稼働監視システム / ②【ms-Pro management】スケジューラ＆進捗監視システム / ⑤【ms-Mainte</x:v>
      </x:c>
      <x:c r="L270" s="7" t="str">
        <x:v>承認・例外対応・停止・復帰の境界は未確認</x:v>
      </x:c>
      <x:c r="M270" s="7" t="str">
        <x:v>2024原典抜粋：工場・製造現場の見える化を実現する「機械稼働・管理集計システム」や、製造現場向けの使いやすい 「部品工程スケジューラ＆進捗管理システム」を出展します。 また、冷却塔などの循環水系に付着するスケールを電解技術を用いて強力に除去する装置や、銅イオンを利用し藻の発生を抑制する殺藻装置も同時展示致します。 ① ms-Machine monitor 「機械稼働管理・集計システム」 ② ms-Pro management 「部品工程スケジューラ＆進捗管理システム」 ③ Electro Life 「循環冷却水系に付着するスケール</x:v>
      </x:c>
      <x:c r="N270" s="7" t="str">
        <x:v>2026原典抜粋：弊社独自の機械稼働監視システム【ms-Machinemonitor】、工程スケジューラ＆進捗管理システム / また、薬品を使わずに工場の冷却塔・配管に付着するスケールを全自動で除去する、電気分解式スケール除去装置の【ElectoroLife】も同時展示しております。 / ①【ms-Machine monitor】 機械稼働監視システム / ②【ms-Pro management】スケジューラ＆進捗監視システム / ⑤【ms-Mainte</x:v>
      </x:c>
      <x:c r="O270" s="7" t="str">
        <x:v>両年原典あり・機能差未判定</x:v>
      </x:c>
      <x:c r="P270" s="7" t="str">
        <x:v>2026公式カタログ掲載・現地未確認</x:v>
      </x:c>
      <x:c r="Q270" s="7" t="str">
        <x:v>2026展示予定。既存製品・参考出展・構想等は原典で個別確認</x:v>
      </x:c>
      <x:c r="R270" s="7" t="str">
        <x:v>どの作業を自動化・支援するか、入力と判断・操作の範囲、適用条件と人の残作業、2024からの機能差、採用・受注・効果の実測を確認する。</x:v>
      </x:c>
      <x:c r="S270" s="7" t="str">
        <x:v>EEX-EXH-2026-c8322aa501c4ccac
EEX-EXH-2024-d72d23dab7df27a9</x:v>
      </x:c>
      <x:c r="T270" s="7" t="str">
        <x:v>EEX-EXH-2026-c8322aa501c4ccac: https://www.jimtof.org/search/jp/ESdetails?e=5mtGGNcGld4
EEX-EXH-2024-d72d23dab7df27a9: https://www.jimtof.org/2024/search/jp/ESdetails?e=GXCeK2ebc-k</x:v>
      </x:c>
      <x:c r="U270" s="7" t="str">
        <x:v>出展説明の関連箇所に基づく一次分類</x:v>
      </x:c>
      <x:c r="V270" s="7"/>
      <x:c r="W270" s="7"/>
      <x:c r="X270" s="7"/>
      <x:c r="Y270" s="7"/>
      <x:c r="Z270" s="7"/>
      <x:c r="AA270" s="7"/>
      <x:c r="AB270" s="7"/>
    </x:row>
    <x:row r="271" ht="170" customHeight="1">
      <x:c r="A271" s="7" t="str">
        <x:v>AC212</x:v>
      </x:c>
      <x:c r="B271" s="20" t="str">
        <x:v>マツザワマシナリー株式会社</x:v>
      </x:c>
      <x:c r="C271" s="7" t="str">
        <x:v>（段差）円筒研削盤は、先進的な研削技術と研削盤製造の理念を融合して研究開発・製造され</x:v>
      </x:c>
      <x:c r="D271" s="7" t="str">
        <x:v>S1065</x:v>
      </x:c>
      <x:c r="E271" s="7" t="str">
        <x:v>自動化</x:v>
      </x:c>
      <x:c r="F271" s="7" t="str">
        <x:v>出展説明の関連用途（個別タスクの分解は未完了）</x:v>
      </x:c>
      <x:c r="G271" s="7" t="str">
        <x:v>出展説明に記載。実装位置の個別精査はカードの方式・未確認欄を参照</x:v>
      </x:c>
      <x:c r="H271" s="7" t="str">
        <x:v>原典抜粋：たもので、円棒や異形ワークの横方向・半径方向研削に適用され、0.8-16/25mmの超硬合金棒材のショルダ径、 外径成形研削、複雑形状の工具、大長径比のダブルパンチ及び金型ワークの高速・高精度・全自動研削に用いられます。 / 全自動ツールポリッシュマシン / 切削工具の刃先R付けとポリッシングを自動化 / たもので、円棒や異形ワークの横方向・半径方向研削に適用され、0.8-16/25mmの超硬合金棒材のショルダ径、 外径成形研削、複雑形</x:v>
      </x:c>
      <x:c r="I271" s="7" t="str">
        <x:v>個別入力の追加確認が必要</x:v>
      </x:c>
      <x:c r="J271" s="7" t="str">
        <x:v>原典抜粋：たもので、円棒や異形ワークの横方向・半径方向研削に適用され、0.8-16/25mmの超硬合金棒材のショルダ径、 外径成形研削、複雑形状の工具、大長径比のダブルパンチ及び金型ワークの高速・高精度・全自動研削に用いられます。 / 全自動ツールポリッシュマシン / 切削工具の刃先R付けとポリッシングを自動化 / たもので、円棒や異形ワークの横方向・半径方向研削に適用され、0.8-16/25mmの超硬合金棒材のショルダ径、 外径成形研削、複雑形</x:v>
      </x:c>
      <x:c r="K271" s="7" t="str">
        <x:v>たもので、円棒や異形ワークの横方向・半径方向研削に適用され、0.8-16/25mmの超硬合金棒材のショルダ径、 外径成形研削、複雑形状の工具、大長径比のダブルパンチ及び金型ワークの高速・高精度・全自動研削に用いられます。 / 全自動ツールポリッシュマシン / 切削工具の刃先R付けとポリッシングを自動化 / たもので、円棒や異形ワークの横方向・半径方向研削に適用され、0.8-16/25mmの超硬合金棒材のショルダ径、 外径成形研削、複雑形</x:v>
      </x:c>
      <x:c r="L271" s="7" t="str">
        <x:v>承認・例外対応・停止・復帰の境界は未確認</x:v>
      </x:c>
      <x:c r="M271" s="7" t="str">
        <x:v>2024原典抜粋：今までご好評いただいていた、各種工具研削盤メーカー松澤が新たに生まれ変わりマツザワマシナリーと して今回JIMTOFに出展させていただきました。同時に新しいマツザワマシナリーとして外周段付き円筒研削盤を販売させていただきます。従来の松澤の良い伝統を引き継ぎ、新しい未来に前進する意味でこの外周研削盤にMZを引き継ぎました。ぜひ、弊社のブースにお立ち寄りいただき我々の新しい決意を感じてください。 ８軸制御研削盤MZ-205 ブラストマシーン 測定器</x:v>
      </x:c>
      <x:c r="N271" s="7" t="str">
        <x:v>2026原典抜粋：たもので、円棒や異形ワークの横方向・半径方向研削に適用され、0.8-16/25mmの超硬合金棒材のショルダ径、 外径成形研削、複雑形状の工具、大長径比のダブルパンチ及び金型ワークの高速・高精度・全自動研削に用いられます。 / 全自動ツールポリッシュマシン / 切削工具の刃先R付けとポリッシングを自動化 / たもので、円棒や異形ワークの横方向・半径方向研削に適用され、0.8-16/25mmの超硬合金棒材のショルダ径、 外径成形研削、複雑形</x:v>
      </x:c>
      <x:c r="O271" s="7" t="str">
        <x:v>両年原典あり・機能差未判定</x:v>
      </x:c>
      <x:c r="P271" s="7" t="str">
        <x:v>2026公式カタログ掲載・現地未確認</x:v>
      </x:c>
      <x:c r="Q271" s="7" t="str">
        <x:v>2026展示予定。既存製品・参考出展・構想等は原典で個別確認</x:v>
      </x:c>
      <x:c r="R271" s="7" t="str">
        <x:v>どの作業を自動化・支援するか、入力と判断・操作の範囲、適用条件と人の残作業、2024からの機能差、採用・受注・効果の実測を確認する。</x:v>
      </x:c>
      <x:c r="S271" s="7" t="str">
        <x:v>EEX-EXH-2026-5b194844c6be3f53
EEX-EXH-2024-29beff07dabb63f0</x:v>
      </x:c>
      <x:c r="T271" s="7" t="str">
        <x:v>EEX-EXH-2026-5b194844c6be3f53: https://www.jimtof.org/search/jp/ESdetails?e=z-dR3pMeEyA
EEX-EXH-2024-29beff07dabb63f0: https://www.jimtof.org/2024/search/jp/ESdetails?e=zWtwHxsaw3Q</x:v>
      </x:c>
      <x:c r="U271" s="7" t="str">
        <x:v>出展説明の関連箇所に基づく一次分類</x:v>
      </x:c>
      <x:c r="V271" s="7"/>
      <x:c r="W271" s="7"/>
      <x:c r="X271" s="7"/>
      <x:c r="Y271" s="7"/>
      <x:c r="Z271" s="7"/>
      <x:c r="AA271" s="7"/>
      <x:c r="AB271" s="7"/>
    </x:row>
    <x:row r="272" ht="170" customHeight="1">
      <x:c r="A272" s="7" t="str">
        <x:v>AC213</x:v>
      </x:c>
      <x:c r="B272" s="20" t="str">
        <x:v>マツモト機械株式会社</x:v>
      </x:c>
      <x:c r="C272" s="7" t="str">
        <x:v>パイプえぐり加工機「Rカット」</x:v>
      </x:c>
      <x:c r="D272" s="7" t="str">
        <x:v>S1064</x:v>
      </x:c>
      <x:c r="E272" s="7" t="str">
        <x:v>自動化</x:v>
      </x:c>
      <x:c r="F272" s="7" t="str">
        <x:v>出展説明の関連用途（個別タスクの分解は未完了）</x:v>
      </x:c>
      <x:c r="G272" s="7" t="str">
        <x:v>出展説明に記載。実装位置の個別精査はカードの方式・未確認欄を参照</x:v>
      </x:c>
      <x:c r="H272" s="7" t="str">
        <x:v>原典抜粋：弊社は、ロボットシステムやレーザ溶接システム、溶接装置とその周辺機器および自動機械の設計、製作を行っております。 / 本展示会では、パイプりぐり加工機、ベンディングロール、簡易自動溶接装置、固定管自動溶接装置の出展を予定しております。 / ・簡易自動溶接装置「トータルマック」 / ・デジタル制御・配管自動溶接装置</x:v>
      </x:c>
      <x:c r="I272" s="7" t="str">
        <x:v>個別入力の追加確認が必要</x:v>
      </x:c>
      <x:c r="J272" s="7" t="str">
        <x:v>原典抜粋：弊社は、ロボットシステムやレーザ溶接システム、溶接装置とその周辺機器および自動機械の設計、製作を行っております。 / 本展示会では、パイプりぐり加工機、ベンディングロール、簡易自動溶接装置、固定管自動溶接装置の出展を予定しております。 / ・簡易自動溶接装置「トータルマック」 / ・デジタル制御・配管自動溶接装置</x:v>
      </x:c>
      <x:c r="K272" s="7" t="str">
        <x:v>弊社は、ロボットシステムやレーザ溶接システム、溶接装置とその周辺機器および自動機械の設計、製作を行っております。 / 本展示会では、パイプりぐり加工機、ベンディングロール、簡易自動溶接装置、固定管自動溶接装置の出展を予定しております。 / ・簡易自動溶接装置「トータルマック」 / ・デジタル制御・配管自動溶接装置</x:v>
      </x:c>
      <x:c r="L272" s="7" t="str">
        <x:v>承認・例外対応・停止・復帰の境界は未確認</x:v>
      </x:c>
      <x:c r="M272" s="7" t="str">
        <x:v>同一正規化名称の2024詳細なし。新規出展・技術不存在とは判断しない。</x:v>
      </x:c>
      <x:c r="N272" s="7" t="str">
        <x:v>2026原典抜粋：弊社は、ロボットシステムやレーザ溶接システム、溶接装置とその周辺機器および自動機械の設計、製作を行っております。 / 本展示会では、パイプりぐり加工機、ベンディングロール、簡易自動溶接装置、固定管自動溶接装置の出展を予定しております。 / ・簡易自動溶接装置「トータルマック」 / ・デジタル制御・配管自動溶接装置</x:v>
      </x:c>
      <x:c r="O272" s="7" t="str">
        <x:v>2024個別比較不能</x:v>
      </x:c>
      <x:c r="P272" s="7" t="str">
        <x:v>2026公式カタログ掲載・現地未確認</x:v>
      </x:c>
      <x:c r="Q272" s="7" t="str">
        <x:v>2026展示予定。既存製品・参考出展・構想等は原典で個別確認</x:v>
      </x:c>
      <x:c r="R272" s="7" t="str">
        <x:v>どの作業を自動化・支援するか、入力と判断・操作の範囲、適用条件と人の残作業、2024からの機能差、採用・受注・効果の実測を確認する。</x:v>
      </x:c>
      <x:c r="S272" s="7" t="str">
        <x:v>EEX-EXH-2026-bacd8437326ccedb</x:v>
      </x:c>
      <x:c r="T272" s="7" t="str">
        <x:v>EEX-EXH-2026-bacd8437326ccedb: https://www.jimtof.org/search/jp/ESdetails?e=yVcAwif6HR0</x:v>
      </x:c>
      <x:c r="U272" s="7" t="str">
        <x:v>出展説明の関連箇所に基づく一次分類</x:v>
      </x:c>
      <x:c r="V272" s="7"/>
      <x:c r="W272" s="7"/>
      <x:c r="X272" s="7"/>
      <x:c r="Y272" s="7"/>
      <x:c r="Z272" s="7"/>
      <x:c r="AA272" s="7"/>
      <x:c r="AB272" s="7"/>
    </x:row>
    <x:row r="273" ht="170" customHeight="1">
      <x:c r="A273" s="7" t="str">
        <x:v>AC214</x:v>
      </x:c>
      <x:c r="B273" s="20" t="str">
        <x:v>松本機械工業株式会社</x:v>
      </x:c>
      <x:c r="C273" s="7" t="str">
        <x:v>Smart Terrace Adv／爪・CAPTO工具の交換</x:v>
      </x:c>
      <x:c r="D273" s="7" t="str">
        <x:v>W2070</x:v>
      </x:c>
      <x:c r="E273" s="7" t="str">
        <x:v>自動化</x:v>
      </x:c>
      <x:c r="F273" s="7" t="str">
        <x:v>ワーク・爪・工具・ケレの交換</x:v>
      </x:c>
      <x:c r="G273" s="7" t="str">
        <x:v>Smart Terrace Adv等の工作機械向け段取りシステム</x:v>
      </x:c>
      <x:c r="H273" s="7" t="str">
        <x:v>既設機のワーク・爪・工具・ケレを交換</x:v>
      </x:c>
      <x:c r="I273" s="7" t="str">
        <x:v>人が入力するワーク寸法と、出荷時組込みのロボットプログラム</x:v>
      </x:c>
      <x:c r="J273" s="7" t="str">
        <x:v>寸法から動作を設定するセンサーレス自動ティーチング。学習AIの軌道生成とは未確認</x:v>
      </x:c>
      <x:c r="K273" s="7" t="str">
        <x:v>既設機のワーク・爪・工具等の段取り替え。機外計測によるNC補正は構成次第</x:v>
      </x:c>
      <x:c r="L273" s="7" t="str">
        <x:v>事前準備：公式：作業者がティーチングBOXで寸法入力。初期プログラムはメーカーが組込み／承認：未記載：交換確認・計測補正の採用基準。手動段取り用のアクセスを確保／例外対応：未記載：掴み損ね・識別誤り・計測異常時の停止復帰</x:v>
      </x:c>
      <x:c r="M273" s="7" t="str">
        <x:v>2024/11/11の企業出展報告で、爪交換・ケレ交換・自動計測に加え、CAPTO工具交換とMACチャック丸ごと交換を展示会初披露と明記。</x:v>
      </x:c>
      <x:c r="N273" s="7" t="str">
        <x:v>2026は既設機向けAdvを追加し、爪・CAPTO工具・ケレ交換等を具体展示。</x:v>
      </x:c>
      <x:c r="O273" s="7" t="str">
        <x:v>2024から継続・Adv構成と提供方法を具体化</x:v>
      </x:c>
      <x:c r="P273" s="7" t="str">
        <x:v>2026公式カタログ掲載・現地未確認</x:v>
      </x:c>
      <x:c r="Q273" s="7" t="str">
        <x:v>2026展示予定。既存製品・参考出展・構想等は原典で個別確認</x:v>
      </x:c>
      <x:c r="R273" s="7" t="str">
        <x:v>2024にもCAPTO・チャック丸ごと交換を初披露。2026差分はAdvの後付け・構成・提供方法を中心に見る 現地質問：既設機の改造点、交換後の確認、品種データ・爪段取りの人手、段取り全体の残作業は。</x:v>
      </x:c>
      <x:c r="S273" s="7" t="str">
        <x:v>EEX-EXH-2026-0daa587f8abf6076
EEX-EXH-2024-1dc10e3b594ed9d8
EDP-26
EDP-27
EDP-28</x:v>
      </x:c>
      <x:c r="T273" s="7" t="str">
        <x:v>EEX-EXH-2026-0daa587f8abf6076: https://www.jimtof.org/search/jp/ESdetails?e=bhpEIIjKNb4
EEX-EXH-2024-1dc10e3b594ed9d8: https://www.jimtof.org/2024/search/jp/ESdetails?e=1cGhqW04Qes
EDP-26: https://mmkchuck.com/product/7218/
EDP-27: https://mmkchuck.com/news/2024/5903/
EDP-28: https://mmkchuck.com/news/2026/7380/</x:v>
      </x:c>
      <x:c r="U273" s="7" t="str">
        <x:v>2024・2026の原典全文を重点比較</x:v>
      </x:c>
      <x:c r="V273" s="7" t="str">
        <x:v>寸法パラメータによる自動化・AIは未確認</x:v>
      </x:c>
      <x:c r="W273" s="7" t="str">
        <x:v>寸法から動作を設定するセンサーレス自動ティーチング。学習AIの軌道生成とは未確認</x:v>
      </x:c>
      <x:c r="X273" s="7" t="str">
        <x:v>既設機のワーク・爪・工具等の段取り替え。機外計測によるNC補正は構成次第</x:v>
      </x:c>
      <x:c r="Y273" s="7" t="str">
        <x:v>公式：作業者がティーチングBOXで寸法入力。初期プログラムはメーカーが組込み</x:v>
      </x:c>
      <x:c r="Z273" s="7" t="str">
        <x:v>未記載：交換確認・計測補正の採用基準。手動段取り用のアクセスを確保</x:v>
      </x:c>
      <x:c r="AA273" s="7" t="str">
        <x:v>未記載：掴み損ね・識別誤り・計測異常時の停止復帰</x:v>
      </x:c>
      <x:c r="AB273" s="7" t="str">
        <x:v>2024にもCAPTO・チャック丸ごと交換を初披露。2026差分はAdvの後付け・構成・提供方法を中心に見る</x:v>
      </x:c>
    </x:row>
    <x:row r="274" ht="170" customHeight="1">
      <x:c r="A274" s="7" t="str">
        <x:v>AC215</x:v>
      </x:c>
      <x:c r="B274" s="20" t="str">
        <x:v>丸紅情報システムズ株式会社</x:v>
      </x:c>
      <x:c r="C274" s="7" t="str">
        <x:v>ZEISS社　コンパクトクラス高機能3Dスキャナ / ATOS Q</x:v>
      </x:c>
      <x:c r="D274" s="7" t="str">
        <x:v>S3081</x:v>
      </x:c>
      <x:c r="E274" s="7" t="str">
        <x:v>設計・製造DX
工場運用DX</x:v>
      </x:c>
      <x:c r="F274" s="7" t="str">
        <x:v>出展説明の関連用途（個別タスクの分解は未完了）</x:v>
      </x:c>
      <x:c r="G274" s="7" t="str">
        <x:v>出展説明に記載。実装位置の個別精査はカードの方式・未確認欄を参照</x:v>
      </x:c>
      <x:c r="H274" s="7" t="str">
        <x:v>原典抜粋：「製造DX x 非接触3Dスキャナで計測工程を刷新」 / ZEISS社の3Dスキャナを軸に、製品の検査・品質管理から始まり、取得した3次元測定データと既存のCAMデータを活用し、金型加工（肉盛り補修など）の最適化を行うなど様々な事例をご紹介いたします。 / 3Dスキャナも据え置き式はもちろん、ロボットを利用した自動化システム、ハンディタイプなど様々ラインナップしております。 / その他生産管理システム（MES)や、現物にCADデータをA</x:v>
      </x:c>
      <x:c r="I274" s="7" t="str">
        <x:v>個別入力の追加確認が必要</x:v>
      </x:c>
      <x:c r="J274" s="7" t="str">
        <x:v>原典抜粋：「製造DX x 非接触3Dスキャナで計測工程を刷新」 / ZEISS社の3Dスキャナを軸に、製品の検査・品質管理から始まり、取得した3次元測定データと既存のCAMデータを活用し、金型加工（肉盛り補修など）の最適化を行うなど様々な事例をご紹介いたします。 / 3Dスキャナも据え置き式はもちろん、ロボットを利用した自動化システム、ハンディタイプなど様々ラインナップしております。 / その他生産管理システム（MES)や、現物にCADデータをA</x:v>
      </x:c>
      <x:c r="K274" s="7" t="str">
        <x:v>「製造DX x 非接触3Dスキャナで計測工程を刷新」 / ZEISS社の3Dスキャナを軸に、製品の検査・品質管理から始まり、取得した3次元測定データと既存のCAMデータを活用し、金型加工（肉盛り補修など）の最適化を行うなど様々な事例をご紹介いたします。 / 3Dスキャナも据え置き式はもちろん、ロボットを利用した自動化システム、ハンディタイプなど様々ラインナップしております。 / その他生産管理システム（MES)や、現物にCADデータをA</x:v>
      </x:c>
      <x:c r="L274" s="7" t="str">
        <x:v>承認・例外対応・停止・復帰の境界は未確認</x:v>
      </x:c>
      <x:c r="M274" s="7" t="str">
        <x:v>2024原典抜粋：丸紅情報システムズは、製造業界におけるリードタイムの短縮、人材不足、コストダウンといった課題に計測・検査分野での自動化・標準化にデジタルデータの一層の活用を後押しする製品・サービスをご提案します。JIMTOF2024では、軽量・持ち運びやすさが特徴のドイツZEISS社の3DスキャナATOS QとT-SCAN hawk 2を出展します。置き型の測定機と異なり、開発部門、製造現場などに手軽に持ち込んで高精細な3D測定が可能です。その他に、ZEISS社の完全自動測定システムScanBox の映像展示やタブレット端末を使っ</x:v>
      </x:c>
      <x:c r="N274" s="7" t="str">
        <x:v>2026原典抜粋：「製造DX x 非接触3Dスキャナで計測工程を刷新」 / ZEISS社の3Dスキャナを軸に、製品の検査・品質管理から始まり、取得した3次元測定データと既存のCAMデータを活用し、金型加工（肉盛り補修など）の最適化を行うなど様々な事例をご紹介いたします。 / 3Dスキャナも据え置き式はもちろん、ロボットを利用した自動化システム、ハンディタイプなど様々ラインナップしております。 / その他生産管理システム（MES)や、現物にCADデータをA</x:v>
      </x:c>
      <x:c r="O274" s="7" t="str">
        <x:v>両年原典あり・機能差未判定</x:v>
      </x:c>
      <x:c r="P274" s="7" t="str">
        <x:v>2026公式カタログ掲載・現地未確認</x:v>
      </x:c>
      <x:c r="Q274" s="7" t="str">
        <x:v>2026展示予定。既存製品・参考出展・構想等は原典で個別確認</x:v>
      </x:c>
      <x:c r="R274" s="7" t="str">
        <x:v>どの作業を自動化・支援するか、入力と判断・操作の範囲、適用条件と人の残作業、2024からの機能差、採用・受注・効果の実測を確認する。</x:v>
      </x:c>
      <x:c r="S274" s="7" t="str">
        <x:v>EEX-EXH-2026-724ec4dafc442c95
EEX-EXH-2024-5b8ef7edef2e3a9f
EEX-EXH-2024-86ebabfaad40bf26</x:v>
      </x:c>
      <x:c r="T274" s="7" t="str">
        <x:v>EEX-EXH-2026-724ec4dafc442c95: https://www.jimtof.org/search/jp/ESdetails?e=CYlrKSmBqPU
EEX-EXH-2024-5b8ef7edef2e3a9f: https://www.jimtof.org/2024/search/jp/ESdetails?e=su6bJFFHGAk
EEX-EXH-2024-86ebabfaad40bf26: https://www.jimtof.org/2024/search/jp/ESdetails?e=LeucwRYk1Qg</x:v>
      </x:c>
      <x:c r="U274" s="7" t="str">
        <x:v>出展説明の関連箇所に基づく一次分類</x:v>
      </x:c>
      <x:c r="V274" s="7"/>
      <x:c r="W274" s="7"/>
      <x:c r="X274" s="7"/>
      <x:c r="Y274" s="7"/>
      <x:c r="Z274" s="7"/>
      <x:c r="AA274" s="7"/>
      <x:c r="AB274" s="7"/>
    </x:row>
    <x:row r="275" ht="170" customHeight="1">
      <x:c r="A275" s="7" t="str">
        <x:v>AC216</x:v>
      </x:c>
      <x:c r="B275" s="20" t="str">
        <x:v>株式会社ミスミ</x:v>
      </x:c>
      <x:c r="C275" s="7" t="str">
        <x:v>間接材トータルコストダウンサービス「MISUMI floow」自販機2種とミスミの切削工具を展示します。</x:v>
      </x:c>
      <x:c r="D275" s="7" t="str">
        <x:v>W3099</x:v>
      </x:c>
      <x:c r="E275" s="7" t="str">
        <x:v>工場運用DX
自動化</x:v>
      </x:c>
      <x:c r="F275" s="7" t="str">
        <x:v>出展説明の関連用途（個別タスクの分解は未完了）</x:v>
      </x:c>
      <x:c r="G275" s="7" t="str">
        <x:v>出展説明に記載。実装位置の個別精査はカードの方式・未確認欄を参照</x:v>
      </x:c>
      <x:c r="H275" s="7" t="str">
        <x:v>原典抜粋：自販機内在庫は重量センサーで管理し取り出し数量や在庫数を自動把握。 / 補充分も自動発注しお届けします。</x:v>
      </x:c>
      <x:c r="I275" s="7" t="str">
        <x:v>個別入力の追加確認が必要</x:v>
      </x:c>
      <x:c r="J275" s="7" t="str">
        <x:v>原典抜粋：自販機内在庫は重量センサーで管理し取り出し数量や在庫数を自動把握。 / 補充分も自動発注しお届けします。</x:v>
      </x:c>
      <x:c r="K275" s="7" t="str">
        <x:v>自販機内在庫は重量センサーで管理し取り出し数量や在庫数を自動把握。 / 補充分も自動発注しお届けします。</x:v>
      </x:c>
      <x:c r="L275" s="7" t="str">
        <x:v>承認・例外対応・停止・復帰の境界は未確認</x:v>
      </x:c>
      <x:c r="M275" s="7" t="str">
        <x:v>同一正規化名称の2024詳細なし。新規出展・技術不存在とは判断しない。</x:v>
      </x:c>
      <x:c r="N275" s="7" t="str">
        <x:v>2026原典抜粋：自販機内在庫は重量センサーで管理し取り出し数量や在庫数を自動把握。 / 補充分も自動発注しお届けします。</x:v>
      </x:c>
      <x:c r="O275" s="7" t="str">
        <x:v>2024個別比較不能</x:v>
      </x:c>
      <x:c r="P275" s="7" t="str">
        <x:v>2026公式カタログ掲載・現地未確認</x:v>
      </x:c>
      <x:c r="Q275" s="7" t="str">
        <x:v>2026展示予定。既存製品・参考出展・構想等は原典で個別確認</x:v>
      </x:c>
      <x:c r="R275" s="7" t="str">
        <x:v>どの作業を自動化・支援するか、入力と判断・操作の範囲、適用条件と人の残作業、2024からの機能差、採用・受注・効果の実測を確認する。</x:v>
      </x:c>
      <x:c r="S275" s="7" t="str">
        <x:v>EEX-EXH-2026-df2de585aa6fd08a</x:v>
      </x:c>
      <x:c r="T275" s="7" t="str">
        <x:v>EEX-EXH-2026-df2de585aa6fd08a: https://www.jimtof.org/search/jp/ESdetails?e=h6ienur8wVM</x:v>
      </x:c>
      <x:c r="U275" s="7" t="str">
        <x:v>出展説明の関連箇所に基づく一次分類</x:v>
      </x:c>
      <x:c r="V275" s="7"/>
      <x:c r="W275" s="7"/>
      <x:c r="X275" s="7"/>
      <x:c r="Y275" s="7"/>
      <x:c r="Z275" s="7"/>
      <x:c r="AA275" s="7"/>
      <x:c r="AB275" s="7"/>
    </x:row>
    <x:row r="276" ht="170" customHeight="1">
      <x:c r="A276" s="7" t="str">
        <x:v>AC217</x:v>
      </x:c>
      <x:c r="B276" s="20" t="str">
        <x:v>株式会社ミスミ</x:v>
      </x:c>
      <x:c r="C276" s="7" t="str">
        <x:v>間接材トータルコストダウンサービス「MISUMI floow」自販機2種とミスミの切削工具を展示します。</x:v>
      </x:c>
      <x:c r="D276" s="7" t="str">
        <x:v>W1085</x:v>
      </x:c>
      <x:c r="E276" s="7" t="str">
        <x:v>工場運用DX
自動化</x:v>
      </x:c>
      <x:c r="F276" s="7" t="str">
        <x:v>出展説明の関連用途（個別タスクの分解は未完了）</x:v>
      </x:c>
      <x:c r="G276" s="7" t="str">
        <x:v>出展説明に記載。実装位置の個別精査はカードの方式・未確認欄を参照</x:v>
      </x:c>
      <x:c r="H276" s="7" t="str">
        <x:v>原典抜粋：自販機内在庫は重量センサーで管理し取り出し数量や在庫数を自動把握。 / 補充分も自動発注しお届けします。</x:v>
      </x:c>
      <x:c r="I276" s="7" t="str">
        <x:v>個別入力の追加確認が必要</x:v>
      </x:c>
      <x:c r="J276" s="7" t="str">
        <x:v>原典抜粋：自販機内在庫は重量センサーで管理し取り出し数量や在庫数を自動把握。 / 補充分も自動発注しお届けします。</x:v>
      </x:c>
      <x:c r="K276" s="7" t="str">
        <x:v>自販機内在庫は重量センサーで管理し取り出し数量や在庫数を自動把握。 / 補充分も自動発注しお届けします。</x:v>
      </x:c>
      <x:c r="L276" s="7" t="str">
        <x:v>承認・例外対応・停止・復帰の境界は未確認</x:v>
      </x:c>
      <x:c r="M276" s="7" t="str">
        <x:v>同一正規化名称の2024詳細なし。新規出展・技術不存在とは判断しない。</x:v>
      </x:c>
      <x:c r="N276" s="7" t="str">
        <x:v>2026原典抜粋：自販機内在庫は重量センサーで管理し取り出し数量や在庫数を自動把握。 / 補充分も自動発注しお届けします。</x:v>
      </x:c>
      <x:c r="O276" s="7" t="str">
        <x:v>2024個別比較不能</x:v>
      </x:c>
      <x:c r="P276" s="7" t="str">
        <x:v>2026公式カタログ掲載・現地未確認</x:v>
      </x:c>
      <x:c r="Q276" s="7" t="str">
        <x:v>2026展示予定。既存製品・参考出展・構想等は原典で個別確認</x:v>
      </x:c>
      <x:c r="R276" s="7" t="str">
        <x:v>どの作業を自動化・支援するか、入力と判断・操作の範囲、適用条件と人の残作業、2024からの機能差、採用・受注・効果の実測を確認する。</x:v>
      </x:c>
      <x:c r="S276" s="7" t="str">
        <x:v>EEX-EXH-2026-e80bcf8092a2c421</x:v>
      </x:c>
      <x:c r="T276" s="7" t="str">
        <x:v>EEX-EXH-2026-e80bcf8092a2c421: https://www.jimtof.org/search/jp/ESdetails?e=LcjgLguZjr4</x:v>
      </x:c>
      <x:c r="U276" s="7" t="str">
        <x:v>出展説明の関連箇所に基づく一次分類</x:v>
      </x:c>
      <x:c r="V276" s="7"/>
      <x:c r="W276" s="7"/>
      <x:c r="X276" s="7"/>
      <x:c r="Y276" s="7"/>
      <x:c r="Z276" s="7"/>
      <x:c r="AA276" s="7"/>
      <x:c r="AB276" s="7"/>
    </x:row>
    <x:row r="277" ht="170" customHeight="1">
      <x:c r="A277" s="7" t="str">
        <x:v>AC218</x:v>
      </x:c>
      <x:c r="B277" s="20" t="str">
        <x:v>三鷹光器株式会社</x:v>
      </x:c>
      <x:c r="C277" s="7" t="str">
        <x:v>〇非接触全周三次元測定装置　MLP-3SP</x:v>
      </x:c>
      <x:c r="D277" s="7" t="str">
        <x:v>E7019</x:v>
      </x:c>
      <x:c r="E277" s="7" t="str">
        <x:v>自動化</x:v>
      </x:c>
      <x:c r="F277" s="7" t="str">
        <x:v>出展説明の関連用途（個別タスクの分解は未完了）</x:v>
      </x:c>
      <x:c r="G277" s="7" t="str">
        <x:v>出展説明に記載。実装位置の個別精査はカードの方式・未確認欄を参照</x:v>
      </x:c>
      <x:c r="H277" s="7" t="str">
        <x:v>原典抜粋：・自動測定ソフトウェア：刃先自動検出機能を使い、簡単に高精度測定が可能 / ・外部制御：搬送機と接続し、ワークを自動供給搬出</x:v>
      </x:c>
      <x:c r="I277" s="7" t="str">
        <x:v>個別入力の追加確認が必要</x:v>
      </x:c>
      <x:c r="J277" s="7" t="str">
        <x:v>原典抜粋：・自動測定ソフトウェア：刃先自動検出機能を使い、簡単に高精度測定が可能 / ・外部制御：搬送機と接続し、ワークを自動供給搬出</x:v>
      </x:c>
      <x:c r="K277" s="7" t="str">
        <x:v>・自動測定ソフトウェア：刃先自動検出機能を使い、簡単に高精度測定が可能 / ・外部制御：搬送機と接続し、ワークを自動供給搬出</x:v>
      </x:c>
      <x:c r="L277" s="7" t="str">
        <x:v>承認・例外対応・停止・復帰の境界は未確認</x:v>
      </x:c>
      <x:c r="M277" s="7" t="str">
        <x:v>2024原典抜粋：測定速度の向上やロボットとの連携、さらに測定支援機能の強化など、測定の自動化をテーマにした展示を行います。また、急成長を遂げている半導体関連分野へのご提案として、ウェハ検査装置をご紹介いたします。 〇新型非接触三次元測定装置 NHs-1515 [New] ・ポイントオートフォーカス法のベストセラー測定機 NHシリーズを改良。 AFモータをDDモータ化、静粛性と速度が向上 測定画面も一新。スムーズな操作性を実現 〇非接触表面性状測定装置 PF-60 ・AI機能、搬送ロボットとの組み合わせ、傷の深さを検出 ・観察用カメ</x:v>
      </x:c>
      <x:c r="N277" s="7" t="str">
        <x:v>2026原典抜粋：・自動測定ソフトウェア：刃先自動検出機能を使い、簡単に高精度測定が可能 / ・外部制御：搬送機と接続し、ワークを自動供給搬出</x:v>
      </x:c>
      <x:c r="O277" s="7" t="str">
        <x:v>両年原典あり・機能差未判定</x:v>
      </x:c>
      <x:c r="P277" s="7" t="str">
        <x:v>2026公式カタログ掲載・現地未確認</x:v>
      </x:c>
      <x:c r="Q277" s="7" t="str">
        <x:v>2026展示予定。既存製品・参考出展・構想等は原典で個別確認</x:v>
      </x:c>
      <x:c r="R277" s="7" t="str">
        <x:v>どの作業を自動化・支援するか、入力と判断・操作の範囲、適用条件と人の残作業、2024からの機能差、採用・受注・効果の実測を確認する。</x:v>
      </x:c>
      <x:c r="S277" s="7" t="str">
        <x:v>EEX-EXH-2026-076c9523ffcd57c6
EEX-EXH-2024-3ff8e089103b63d5</x:v>
      </x:c>
      <x:c r="T277" s="7" t="str">
        <x:v>EEX-EXH-2026-076c9523ffcd57c6: https://www.jimtof.org/search/jp/ESdetails?e=5ypc5wYKnUk
EEX-EXH-2024-3ff8e089103b63d5: https://www.jimtof.org/2024/search/jp/ESdetails?e=eBI5ClKa4-g</x:v>
      </x:c>
      <x:c r="U277" s="7" t="str">
        <x:v>出展説明の関連箇所に基づく一次分類</x:v>
      </x:c>
      <x:c r="V277" s="7"/>
      <x:c r="W277" s="7"/>
      <x:c r="X277" s="7"/>
      <x:c r="Y277" s="7"/>
      <x:c r="Z277" s="7"/>
      <x:c r="AA277" s="7"/>
      <x:c r="AB277" s="7"/>
    </x:row>
    <x:row r="278" ht="170" customHeight="1">
      <x:c r="A278" s="7" t="str">
        <x:v>AC219</x:v>
      </x:c>
      <x:c r="B278" s="20" t="str">
        <x:v>三井精機工業株式会社</x:v>
      </x:c>
      <x:c r="C278" s="7" t="str">
        <x:v>5軸制御横形マシニングセンタ　HPX63-5X</x:v>
      </x:c>
      <x:c r="D278" s="7" t="str">
        <x:v>E3029</x:v>
      </x:c>
      <x:c r="E278" s="7" t="str">
        <x:v>自動化</x:v>
      </x:c>
      <x:c r="F278" s="7" t="str">
        <x:v>出展説明の関連用途（個別タスクの分解は未完了）</x:v>
      </x:c>
      <x:c r="G278" s="7" t="str">
        <x:v>出展説明に記載。実装位置の個別精査はカードの方式・未確認欄を参照</x:v>
      </x:c>
      <x:c r="H278" s="7" t="str">
        <x:v>原典抜粋：自動化をより効率よく行うためにU軸ストロークを最適化、対話型ソフト「G-MAPS」の直感操作で高精度加工と生産性の向上。</x:v>
      </x:c>
      <x:c r="I278" s="7" t="str">
        <x:v>個別入力の追加確認が必要</x:v>
      </x:c>
      <x:c r="J278" s="7" t="str">
        <x:v>原典抜粋：自動化をより効率よく行うためにU軸ストロークを最適化、対話型ソフト「G-MAPS」の直感操作で高精度加工と生産性の向上。</x:v>
      </x:c>
      <x:c r="K278" s="7" t="str">
        <x:v>自動化をより効率よく行うためにU軸ストロークを最適化、対話型ソフト「G-MAPS」の直感操作で高精度加工と生産性の向上。</x:v>
      </x:c>
      <x:c r="L278" s="7" t="str">
        <x:v>承認・例外対応・停止・復帰の境界は未確認</x:v>
      </x:c>
      <x:c r="M278" s="7" t="str">
        <x:v>2024原典抜粋：新機種の大型横形マシニングセンタ「HPX150」、更なる高精度を追求したジグ研削盤「J350GⅡ」の2台と省エネを極めた新機種のオイル式インバータコンプレッサ「ZV15AX3-R」を展示し、工作機械とコンプレッサが融合したカーボンニュートラルの事例をご紹介いたします。 ・大型横形マシニングセンタ HPX150 ・高精度ジグ研削盤 J350GⅡ ・オイル式インバーターコンプレッサ ZV15AX3-R</x:v>
      </x:c>
      <x:c r="N278" s="7" t="str">
        <x:v>2026原典抜粋：自動化をより効率よく行うためにU軸ストロークを最適化、対話型ソフト「G-MAPS」の直感操作で高精度加工と生産性の向上。</x:v>
      </x:c>
      <x:c r="O278" s="7" t="str">
        <x:v>両年原典あり・機能差未判定</x:v>
      </x:c>
      <x:c r="P278" s="7" t="str">
        <x:v>2026公式カタログ掲載・現地未確認</x:v>
      </x:c>
      <x:c r="Q278" s="7" t="str">
        <x:v>2026展示予定。既存製品・参考出展・構想等は原典で個別確認</x:v>
      </x:c>
      <x:c r="R278" s="7" t="str">
        <x:v>どの作業を自動化・支援するか、入力と判断・操作の範囲、適用条件と人の残作業、2024からの機能差、採用・受注・効果の実測を確認する。</x:v>
      </x:c>
      <x:c r="S278" s="7" t="str">
        <x:v>EEX-EXH-2026-7fc72cdc86a3c989
EEX-EXH-2024-31180bf9a4f26c86</x:v>
      </x:c>
      <x:c r="T278" s="7" t="str">
        <x:v>EEX-EXH-2026-7fc72cdc86a3c989: https://www.jimtof.org/search/jp/ESdetails?e=Nzaw4M44lcw
EEX-EXH-2024-31180bf9a4f26c86: https://www.jimtof.org/2024/search/jp/ESdetails?e=hIIJWwmaNOY</x:v>
      </x:c>
      <x:c r="U278" s="7" t="str">
        <x:v>出展説明の関連箇所に基づく一次分類</x:v>
      </x:c>
      <x:c r="V278" s="7"/>
      <x:c r="W278" s="7"/>
      <x:c r="X278" s="7"/>
      <x:c r="Y278" s="7"/>
      <x:c r="Z278" s="7"/>
      <x:c r="AA278" s="7"/>
      <x:c r="AB278" s="7"/>
    </x:row>
    <x:row r="279" ht="170" customHeight="1">
      <x:c r="A279" s="7" t="str">
        <x:v>AC220</x:v>
      </x:c>
      <x:c r="B279" s="20" t="str">
        <x:v>株式会社三井ハイテック</x:v>
      </x:c>
      <x:c r="C279" s="7" t="str">
        <x:v>精密NC研削盤(自動搬送、機上計測）</x:v>
      </x:c>
      <x:c r="D279" s="7" t="str">
        <x:v>E7071</x:v>
      </x:c>
      <x:c r="E279" s="7" t="str">
        <x:v>設計・製造DX
工場運用DX
自動化</x:v>
      </x:c>
      <x:c r="F279" s="7" t="str">
        <x:v>出展説明の関連用途（個別タスクの分解は未完了）</x:v>
      </x:c>
      <x:c r="G279" s="7" t="str">
        <x:v>出展説明に記載。実装位置の個別精査はカードの方式・未確認欄を参照</x:v>
      </x:c>
      <x:c r="H279" s="7" t="str">
        <x:v>原典抜粋：三井ハイテックは、精密加工を実現する小型多機能研削盤と、C&amp;Gシステムズの自動化生産支援システムを連携させたスマート研削加工ソリューションを展示します。 / デジタル技術を活用した作業の標準化、人的ミスの低減、効率的な工程管理により、段取り時間の短縮、品質の安定化、省人化を実現。 / ・精密NC研削盤(自動搬送、機上計測）</x:v>
      </x:c>
      <x:c r="I279" s="7" t="str">
        <x:v>個別入力の追加確認が必要</x:v>
      </x:c>
      <x:c r="J279" s="7" t="str">
        <x:v>原典抜粋：三井ハイテックは、精密加工を実現する小型多機能研削盤と、C&amp;Gシステムズの自動化生産支援システムを連携させたスマート研削加工ソリューションを展示します。 / デジタル技術を活用した作業の標準化、人的ミスの低減、効率的な工程管理により、段取り時間の短縮、品質の安定化、省人化を実現。 / ・精密NC研削盤(自動搬送、機上計測）</x:v>
      </x:c>
      <x:c r="K279" s="7" t="str">
        <x:v>三井ハイテックは、精密加工を実現する小型多機能研削盤と、C&amp;Gシステムズの自動化生産支援システムを連携させたスマート研削加工ソリューションを展示します。 / デジタル技術を活用した作業の標準化、人的ミスの低減、効率的な工程管理により、段取り時間の短縮、品質の安定化、省人化を実現。 / ・精密NC研削盤(自動搬送、機上計測）</x:v>
      </x:c>
      <x:c r="L279" s="7" t="str">
        <x:v>承認・例外対応・停止・復帰の境界は未確認</x:v>
      </x:c>
      <x:c r="M279" s="7" t="str">
        <x:v>2024原典抜粋：三井ハイテックは福岡県北九州市に本社を置く平面研削盤メーカーです。 この度、金型部品の基本となる超精密6面体の仕上げ加工を全自動で行うことができる自動外周6面加工機を新開発し、初めての展示会出展となりました。 本加工機は平面研削盤で加工を行う上で必要となる研削機能、ワーク搬送、ワークセット、測定、加工後の清掃といった全ての要素を人が介入する事無く完全自動で行うことが可能です。 本機は将来危ぶまれている人手不足の解消を目的として開発されており、熟練加工者が持つ研削技能の継承や若手加工者への教育を不要とします。これは金</x:v>
      </x:c>
      <x:c r="N279" s="7" t="str">
        <x:v>2026原典抜粋：三井ハイテックは、精密加工を実現する小型多機能研削盤と、C&amp;Gシステムズの自動化生産支援システムを連携させたスマート研削加工ソリューションを展示します。 / デジタル技術を活用した作業の標準化、人的ミスの低減、効率的な工程管理により、段取り時間の短縮、品質の安定化、省人化を実現。 / ・精密NC研削盤(自動搬送、機上計測）</x:v>
      </x:c>
      <x:c r="O279" s="7" t="str">
        <x:v>両年原典あり・機能差未判定</x:v>
      </x:c>
      <x:c r="P279" s="7" t="str">
        <x:v>2026公式カタログ掲載・現地未確認</x:v>
      </x:c>
      <x:c r="Q279" s="7" t="str">
        <x:v>2026展示予定。既存製品・参考出展・構想等は原典で個別確認</x:v>
      </x:c>
      <x:c r="R279" s="7" t="str">
        <x:v>どの作業を自動化・支援するか、入力と判断・操作の範囲、適用条件と人の残作業、2024からの機能差、採用・受注・効果の実測を確認する。</x:v>
      </x:c>
      <x:c r="S279" s="7" t="str">
        <x:v>EEX-EXH-2026-8278ec058d2d2947
EEX-EXH-2024-02567a674fcc12c9</x:v>
      </x:c>
      <x:c r="T279" s="7" t="str">
        <x:v>EEX-EXH-2026-8278ec058d2d2947: https://www.jimtof.org/search/jp/ESdetails?e=qoCbIK0OzT4
EEX-EXH-2024-02567a674fcc12c9: https://www.jimtof.org/2024/search/jp/ESdetails?e=s4tEvaiPXOo</x:v>
      </x:c>
      <x:c r="U279" s="7" t="str">
        <x:v>出展説明の関連箇所に基づく一次分類</x:v>
      </x:c>
      <x:c r="V279" s="7"/>
      <x:c r="W279" s="7"/>
      <x:c r="X279" s="7"/>
      <x:c r="Y279" s="7"/>
      <x:c r="Z279" s="7"/>
      <x:c r="AA279" s="7"/>
      <x:c r="AB279" s="7"/>
    </x:row>
    <x:row r="280" ht="170" customHeight="1">
      <x:c r="A280" s="7" t="str">
        <x:v>AC221</x:v>
      </x:c>
      <x:c r="B280" s="20" t="str">
        <x:v>ミツテック株式会社</x:v>
      </x:c>
      <x:c r="C280" s="7" t="str">
        <x:v>立体物の6面検査を実現する「高速外観検査装置MAR3500 レボニー」</x:v>
      </x:c>
      <x:c r="D280" s="7" t="str">
        <x:v>W2060</x:v>
      </x:c>
      <x:c r="E280" s="7" t="str">
        <x:v>自動化</x:v>
      </x:c>
      <x:c r="F280" s="7" t="str">
        <x:v>出展説明の関連用途（個別タスクの分解は未完了）</x:v>
      </x:c>
      <x:c r="G280" s="7" t="str">
        <x:v>出展説明に記載。実装位置の個別精査はカードの方式・未確認欄を参照</x:v>
      </x:c>
      <x:c r="H280" s="7" t="str">
        <x:v>原典抜粋：今回展示するモデルは、反転ユニットの搭載により従来は目視に頼っていた裏面検査を自動化し、立体物の6面検査を可能にした高速外観検査装置です。 / また、目視検査自動化に向けた検査基準づくりや導入検討に関するご相談も承ります。 / これまで目視検査に依存していた、多品種・多面・多項目の検査工程を自動化。</x:v>
      </x:c>
      <x:c r="I280" s="7" t="str">
        <x:v>個別入力の追加確認が必要</x:v>
      </x:c>
      <x:c r="J280" s="7" t="str">
        <x:v>原典抜粋：今回展示するモデルは、反転ユニットの搭載により従来は目視に頼っていた裏面検査を自動化し、立体物の6面検査を可能にした高速外観検査装置です。 / また、目視検査自動化に向けた検査基準づくりや導入検討に関するご相談も承ります。 / これまで目視検査に依存していた、多品種・多面・多項目の検査工程を自動化。</x:v>
      </x:c>
      <x:c r="K280" s="7" t="str">
        <x:v>今回展示するモデルは、反転ユニットの搭載により従来は目視に頼っていた裏面検査を自動化し、立体物の6面検査を可能にした高速外観検査装置です。 / また、目視検査自動化に向けた検査基準づくりや導入検討に関するご相談も承ります。 / これまで目視検査に依存していた、多品種・多面・多項目の検査工程を自動化。</x:v>
      </x:c>
      <x:c r="L280" s="7" t="str">
        <x:v>承認・例外対応・停止・復帰の境界は未確認</x:v>
      </x:c>
      <x:c r="M280" s="7" t="str">
        <x:v>同一正規化名称の2024詳細なし。新規出展・技術不存在とは判断しない。</x:v>
      </x:c>
      <x:c r="N280" s="7" t="str">
        <x:v>2026原典抜粋：今回展示するモデルは、反転ユニットの搭載により従来は目視に頼っていた裏面検査を自動化し、立体物の6面検査を可能にした高速外観検査装置です。 / また、目視検査自動化に向けた検査基準づくりや導入検討に関するご相談も承ります。 / これまで目視検査に依存していた、多品種・多面・多項目の検査工程を自動化。</x:v>
      </x:c>
      <x:c r="O280" s="7" t="str">
        <x:v>2024個別比較不能</x:v>
      </x:c>
      <x:c r="P280" s="7" t="str">
        <x:v>2026公式カタログ掲載・現地未確認</x:v>
      </x:c>
      <x:c r="Q280" s="7" t="str">
        <x:v>2026展示予定。既存製品・参考出展・構想等は原典で個別確認</x:v>
      </x:c>
      <x:c r="R280" s="7" t="str">
        <x:v>どの作業を自動化・支援するか、入力と判断・操作の範囲、適用条件と人の残作業、2024からの機能差、採用・受注・効果の実測を確認する。</x:v>
      </x:c>
      <x:c r="S280" s="7" t="str">
        <x:v>EEX-EXH-2026-1232fea08643b011</x:v>
      </x:c>
      <x:c r="T280" s="7" t="str">
        <x:v>EEX-EXH-2026-1232fea08643b011: https://www.jimtof.org/search/jp/ESdetails?e=kOA339rt0Co</x:v>
      </x:c>
      <x:c r="U280" s="7" t="str">
        <x:v>出展説明の関連箇所に基づく一次分類</x:v>
      </x:c>
      <x:c r="V280" s="7"/>
      <x:c r="W280" s="7"/>
      <x:c r="X280" s="7"/>
      <x:c r="Y280" s="7"/>
      <x:c r="Z280" s="7"/>
      <x:c r="AA280" s="7"/>
      <x:c r="AB280" s="7"/>
    </x:row>
    <x:row r="281" ht="170" customHeight="1">
      <x:c r="A281" s="7" t="str">
        <x:v>AC222</x:v>
      </x:c>
      <x:c r="B281" s="20" t="str">
        <x:v>ミネベアミツミ株式会社</x:v>
      </x:c>
      <x:c r="C281" s="7" t="str">
        <x:v>アキシャル/ラジアルベアリング</x:v>
      </x:c>
      <x:c r="D281" s="7" t="str">
        <x:v>W2029</x:v>
      </x:c>
      <x:c r="E281" s="7" t="str">
        <x:v>自動化
AI実装・連携基盤</x:v>
      </x:c>
      <x:c r="F281" s="7" t="str">
        <x:v>出展説明の関連用途（個別タスクの分解は未完了）</x:v>
      </x:c>
      <x:c r="G281" s="7" t="str">
        <x:v>出展説明に記載。実装位置の個別精査はカードの方式・未確認欄を参照</x:v>
      </x:c>
      <x:c r="H281" s="7" t="str">
        <x:v>原典抜粋：ミネベアミツミブースでは、工作機械やロボットの高度化・自動化に貢献する製品群を3つのカテゴリで一堂に展示いたします。 / ②【精密な駆動とセンシング】：高い応答性と制御性を誇るHB（ハイブリッド）モーターに加え、ロボットの精密動作や力加減を感知する6軸力覚センサーなど、高度な自動化を支える駆動・センシングソリューションをご提案します。</x:v>
      </x:c>
      <x:c r="I281" s="7" t="str">
        <x:v>個別入力の追加確認が必要</x:v>
      </x:c>
      <x:c r="J281" s="7" t="str">
        <x:v>原典抜粋：ミネベアミツミブースでは、工作機械やロボットの高度化・自動化に貢献する製品群を3つのカテゴリで一堂に展示いたします。 / ②【精密な駆動とセンシング】：高い応答性と制御性を誇るHB（ハイブリッド）モーターに加え、ロボットの精密動作や力加減を感知する6軸力覚センサーなど、高度な自動化を支える駆動・センシングソリューションをご提案します。</x:v>
      </x:c>
      <x:c r="K281" s="7" t="str">
        <x:v>ミネベアミツミブースでは、工作機械やロボットの高度化・自動化に貢献する製品群を3つのカテゴリで一堂に展示いたします。 / ②【精密な駆動とセンシング】：高い応答性と制御性を誇るHB（ハイブリッド）モーターに加え、ロボットの精密動作や力加減を感知する6軸力覚センサーなど、高度な自動化を支える駆動・センシングソリューションをご提案します。</x:v>
      </x:c>
      <x:c r="L281" s="7" t="str">
        <x:v>承認・例外対応・停止・復帰の境界は未確認</x:v>
      </x:c>
      <x:c r="M281" s="7" t="str">
        <x:v>2024原典抜粋：ミネベアミツミは、機械・電子技術と制御技術を融合した「エレクトロ メカニクス ソリューションズ®」プロバイダーとして、ベアリングに代表される超精密機械加工技術から、モーター、センサーや、半導体、無線技術に至るまで、幅広い先端技術を組み合わせ、常識を超えた「違い」で新しい価値をつくり、オンリーワンのものづくりに取り組む企業です。 当ブースでは、工作機械を通して社会的課題解決、持続可能な社会の実現に貢献できる技術や製品を提案します。 ・高剛性と高回転を兼ね備えたアキシャル／ラジアルベアリング ・可動式のノズルで切削油や</x:v>
      </x:c>
      <x:c r="N281" s="7" t="str">
        <x:v>2026原典抜粋：ミネベアミツミブースでは、工作機械やロボットの高度化・自動化に貢献する製品群を3つのカテゴリで一堂に展示いたします。 / ②【精密な駆動とセンシング】：高い応答性と制御性を誇るHB（ハイブリッド）モーターに加え、ロボットの精密動作や力加減を感知する6軸力覚センサーなど、高度な自動化を支える駆動・センシングソリューションをご提案します。</x:v>
      </x:c>
      <x:c r="O281" s="7" t="str">
        <x:v>両年原典あり・機能差未判定</x:v>
      </x:c>
      <x:c r="P281" s="7" t="str">
        <x:v>2026公式カタログ掲載・現地未確認</x:v>
      </x:c>
      <x:c r="Q281" s="7" t="str">
        <x:v>2026展示予定。既存製品・参考出展・構想等は原典で個別確認</x:v>
      </x:c>
      <x:c r="R281" s="7" t="str">
        <x:v>どの作業を自動化・支援するか、入力と判断・操作の範囲、適用条件と人の残作業、2024からの機能差、採用・受注・効果の実測を確認する。</x:v>
      </x:c>
      <x:c r="S281" s="7" t="str">
        <x:v>EEX-EXH-2026-fb52066b04681c9c
EEX-EXH-2024-326deb313eadde88</x:v>
      </x:c>
      <x:c r="T281" s="7" t="str">
        <x:v>EEX-EXH-2026-fb52066b04681c9c: https://www.jimtof.org/search/jp/ESdetails?e=-h838KuejOA
EEX-EXH-2024-326deb313eadde88: https://www.jimtof.org/2024/search/jp/ESdetails?e=llp9NQ2Y7ps</x:v>
      </x:c>
      <x:c r="U281" s="7" t="str">
        <x:v>出展説明の関連箇所に基づく一次分類</x:v>
      </x:c>
      <x:c r="V281" s="7"/>
      <x:c r="W281" s="7"/>
      <x:c r="X281" s="7"/>
      <x:c r="Y281" s="7"/>
      <x:c r="Z281" s="7"/>
      <x:c r="AA281" s="7"/>
      <x:c r="AB281" s="7"/>
    </x:row>
    <x:row r="282" ht="170" customHeight="1">
      <x:c r="A282" s="7" t="str">
        <x:v>AC223</x:v>
      </x:c>
      <x:c r="B282" s="20" t="str">
        <x:v>株式会社ムラキ</x:v>
      </x:c>
      <x:c r="C282" s="7" t="str">
        <x:v>MRA超硬バー、MRAバリ取りホルダ、GEMエアグラインダ、MRAエアグラインダ、MRA ERコレットシステム、ガンドリル、バリ取りブラシ、AWCワー</x:v>
      </x:c>
      <x:c r="D282" s="7" t="str">
        <x:v>W1061</x:v>
      </x:c>
      <x:c r="E282" s="7" t="str">
        <x:v>自動化</x:v>
      </x:c>
      <x:c r="F282" s="7" t="str">
        <x:v>出展説明の関連用途（個別タスクの分解は未完了）</x:v>
      </x:c>
      <x:c r="G282" s="7" t="str">
        <x:v>出展説明に記載。実装位置の個別精査はカードの方式・未確認欄を参照</x:v>
      </x:c>
      <x:c r="H282" s="7" t="str">
        <x:v>原典抜粋：また、SYIC社の“AWCワーククランプシステム”及びCAPTOタイプ“スタティックツールホルダ”の展示を行い、各種作業の自動化・省人化をサポートいたします。 / 併せて会期中はロボットアームを用いたバリ取り加工の実演を実施いたします。 / ロボットアームへMRAバリ取りホルダ“でばりん”を搭載した、高効率なバリ取りをご覧ください。</x:v>
      </x:c>
      <x:c r="I282" s="7" t="str">
        <x:v>個別入力の追加確認が必要</x:v>
      </x:c>
      <x:c r="J282" s="7" t="str">
        <x:v>原典抜粋：また、SYIC社の“AWCワーククランプシステム”及びCAPTOタイプ“スタティックツールホルダ”の展示を行い、各種作業の自動化・省人化をサポートいたします。 / 併せて会期中はロボットアームを用いたバリ取り加工の実演を実施いたします。 / ロボットアームへMRAバリ取りホルダ“でばりん”を搭載した、高効率なバリ取りをご覧ください。</x:v>
      </x:c>
      <x:c r="K282" s="7" t="str">
        <x:v>また、SYIC社の“AWCワーククランプシステム”及びCAPTOタイプ“スタティックツールホルダ”の展示を行い、各種作業の自動化・省人化をサポートいたします。 / 併せて会期中はロボットアームを用いたバリ取り加工の実演を実施いたします。 / ロボットアームへMRAバリ取りホルダ“でばりん”を搭載した、高効率なバリ取りをご覧ください。</x:v>
      </x:c>
      <x:c r="L282" s="7" t="str">
        <x:v>承認・例外対応・停止・復帰の境界は未確認</x:v>
      </x:c>
      <x:c r="M282" s="7" t="str">
        <x:v>2024原典抜粋：自社ブランドである“MRA”グラインダに新たなモデルがラインナップしました。 エコタイプの拡充やピンツール採用の新たな3mmグラインダを追加し、各種ニーズに合わせた選択が可能となります。 また、SYIC社の“AWCワーククランプシステム”の販売を新たに開始しました。 AWCジグツールホルダ及びAWCクランプベースにて構成され、ロボット等を用い マシニングセンタで自動ワーク交換を実現する画期的なワーククランプシステムとなります。 併せて会期中はロボットアームを用いたバリ取り加工の実演を行います。 ロボットアームへMR</x:v>
      </x:c>
      <x:c r="N282" s="7" t="str">
        <x:v>2026原典抜粋：また、SYIC社の“AWCワーククランプシステム”及びCAPTOタイプ“スタティックツールホルダ”の展示を行い、各種作業の自動化・省人化をサポートいたします。 / 併せて会期中はロボットアームを用いたバリ取り加工の実演を実施いたします。 / ロボットアームへMRAバリ取りホルダ“でばりん”を搭載した、高効率なバリ取りをご覧ください。</x:v>
      </x:c>
      <x:c r="O282" s="7" t="str">
        <x:v>両年原典あり・機能差未判定</x:v>
      </x:c>
      <x:c r="P282" s="7" t="str">
        <x:v>2026公式カタログ掲載・現地未確認</x:v>
      </x:c>
      <x:c r="Q282" s="7" t="str">
        <x:v>2026展示予定。既存製品・参考出展・構想等は原典で個別確認</x:v>
      </x:c>
      <x:c r="R282" s="7" t="str">
        <x:v>どの作業を自動化・支援するか、入力と判断・操作の範囲、適用条件と人の残作業、2024からの機能差、採用・受注・効果の実測を確認する。</x:v>
      </x:c>
      <x:c r="S282" s="7" t="str">
        <x:v>EEX-EXH-2026-2f9afa9947d91429
EEX-EXH-2024-d1228f049f28882d</x:v>
      </x:c>
      <x:c r="T282" s="7" t="str">
        <x:v>EEX-EXH-2026-2f9afa9947d91429: https://www.jimtof.org/search/jp/ESdetails?e=qIDqZhLSNgg
EEX-EXH-2024-d1228f049f28882d: https://www.jimtof.org/2024/search/jp/ESdetails?e=kch9Awhyci8</x:v>
      </x:c>
      <x:c r="U282" s="7" t="str">
        <x:v>出展説明の関連箇所に基づく一次分類</x:v>
      </x:c>
      <x:c r="V282" s="7"/>
      <x:c r="W282" s="7"/>
      <x:c r="X282" s="7"/>
      <x:c r="Y282" s="7"/>
      <x:c r="Z282" s="7"/>
      <x:c r="AA282" s="7"/>
      <x:c r="AB282" s="7"/>
    </x:row>
    <x:row r="283" ht="170" customHeight="1">
      <x:c r="A283" s="7" t="str">
        <x:v>AC224</x:v>
      </x:c>
      <x:c r="B283" s="20" t="str">
        <x:v>村田機械株式会社</x:v>
      </x:c>
      <x:c r="C283" s="7" t="str">
        <x:v>【NEW】大型・重量ワークの自動化</x:v>
      </x:c>
      <x:c r="D283" s="7" t="str">
        <x:v>E3031</x:v>
      </x:c>
      <x:c r="E283" s="7" t="str">
        <x:v>工場運用DX
自動化</x:v>
      </x:c>
      <x:c r="F283" s="7" t="str">
        <x:v>出展説明の関連用途（個別タスクの分解は未完了）</x:v>
      </x:c>
      <x:c r="G283" s="7" t="str">
        <x:v>出展説明に記載。実装位置の個別精査はカードの方式・未確認欄を参照</x:v>
      </x:c>
      <x:c r="H283" s="7" t="str">
        <x:v>原典抜粋：製造業における人手不足や技能継承の課題を背景に、省人化・自動化へのニーズはますます高まっています。 / ムラテックでは、長年培ってきた自動化システムの実績とノウハウを活かし、生産現場に合わせた最適な自動化をご提案します。 / 今回の出展では、ガントリーローダによる大型・重量ワーク搬送の自動化を実現する立型CNCターニングセンタ「MVH600」や、 / これから自動化を始めるお客様に向け、導入しやすい自動化仕様をワンパッケージ化した「MS</x:v>
      </x:c>
      <x:c r="I283" s="7" t="str">
        <x:v>個別入力の追加確認が必要</x:v>
      </x:c>
      <x:c r="J283" s="7" t="str">
        <x:v>原典抜粋：製造業における人手不足や技能継承の課題を背景に、省人化・自動化へのニーズはますます高まっています。 / ムラテックでは、長年培ってきた自動化システムの実績とノウハウを活かし、生産現場に合わせた最適な自動化をご提案します。 / 今回の出展では、ガントリーローダによる大型・重量ワーク搬送の自動化を実現する立型CNCターニングセンタ「MVH600」や、 / これから自動化を始めるお客様に向け、導入しやすい自動化仕様をワンパッケージ化した「MS</x:v>
      </x:c>
      <x:c r="K283" s="7" t="str">
        <x:v>製造業における人手不足や技能継承の課題を背景に、省人化・自動化へのニーズはますます高まっています。 / ムラテックでは、長年培ってきた自動化システムの実績とノウハウを活かし、生産現場に合わせた最適な自動化をご提案します。 / 今回の出展では、ガントリーローダによる大型・重量ワーク搬送の自動化を実現する立型CNCターニングセンタ「MVH600」や、 / これから自動化を始めるお客様に向け、導入しやすい自動化仕様をワンパッケージ化した「MS</x:v>
      </x:c>
      <x:c r="L283" s="7" t="str">
        <x:v>承認・例外対応・停止・復帰の境界は未確認</x:v>
      </x:c>
      <x:c r="M283" s="7" t="str">
        <x:v>2024原典抜粋：昨今の労働人口問題やモノづくりにおける人手不足により、省人化や自動化が注目を集め、さまざまな生産現場に導入されています。かつては量産目的の自動化が一般的なイメージでしたが、現在では、それぞれの環境に最適な自動化が求められています。 ムラテックは、30年以上にわたる自動化生産システムの経験と実績を活かし、皆様に期待を抱いて頂けるような提案でご要望にお応えします。 今回の出展では生産設備の自動化だけでなく、材料投入や完成品の取り出し、段取り替えなど作業者の介入を要する場面での省人化・自動化をコンセプトとしました。お客様</x:v>
      </x:c>
      <x:c r="N283" s="7" t="str">
        <x:v>2026原典抜粋：製造業における人手不足や技能継承の課題を背景に、省人化・自動化へのニーズはますます高まっています。 / ムラテックでは、長年培ってきた自動化システムの実績とノウハウを活かし、生産現場に合わせた最適な自動化をご提案します。 / 今回の出展では、ガントリーローダによる大型・重量ワーク搬送の自動化を実現する立型CNCターニングセンタ「MVH600」や、 / これから自動化を始めるお客様に向け、導入しやすい自動化仕様をワンパッケージ化した「MS</x:v>
      </x:c>
      <x:c r="O283" s="7" t="str">
        <x:v>両年原典あり・機能差未判定</x:v>
      </x:c>
      <x:c r="P283" s="7" t="str">
        <x:v>2026公式カタログ掲載・現地未確認</x:v>
      </x:c>
      <x:c r="Q283" s="7" t="str">
        <x:v>2026展示予定。既存製品・参考出展・構想等は原典で個別確認</x:v>
      </x:c>
      <x:c r="R283" s="7" t="str">
        <x:v>どの作業を自動化・支援するか、入力と判断・操作の範囲、適用条件と人の残作業、2024からの機能差、採用・受注・効果の実測を確認する。</x:v>
      </x:c>
      <x:c r="S283" s="7" t="str">
        <x:v>EEX-EXH-2026-8add052d1108d4ea
EEX-EXH-2024-4853ea05faa8c415</x:v>
      </x:c>
      <x:c r="T283" s="7" t="str">
        <x:v>EEX-EXH-2026-8add052d1108d4ea: https://www.jimtof.org/search/jp/ESdetails?e=Jc5GYaUqS1I
EEX-EXH-2024-4853ea05faa8c415: https://www.jimtof.org/2024/search/jp/ESdetails?e=adMRptVL49I</x:v>
      </x:c>
      <x:c r="U283" s="7" t="str">
        <x:v>出展説明の関連箇所に基づく一次分類</x:v>
      </x:c>
      <x:c r="V283" s="7"/>
      <x:c r="W283" s="7"/>
      <x:c r="X283" s="7"/>
      <x:c r="Y283" s="7"/>
      <x:c r="Z283" s="7"/>
      <x:c r="AA283" s="7"/>
      <x:c r="AB283" s="7"/>
    </x:row>
    <x:row r="284" ht="170" customHeight="1">
      <x:c r="A284" s="7" t="str">
        <x:v>AC225</x:v>
      </x:c>
      <x:c r="B284" s="20" t="str">
        <x:v>ムラテックＣＣＳ株式会社</x:v>
      </x:c>
      <x:c r="C284" s="7" t="str">
        <x:v>プライマリドクタサービス：稼働中データのAI診断</x:v>
      </x:c>
      <x:c r="D284" s="7" t="str">
        <x:v>E3031</x:v>
      </x:c>
      <x:c r="E284" s="7" t="str">
        <x:v>検査・診断・予測AI
工場運用DX</x:v>
      </x:c>
      <x:c r="F284" s="7" t="str">
        <x:v>稼働中の設備データ取得・AI診断</x:v>
      </x:c>
      <x:c r="G284" s="7" t="str">
        <x:v>重要部位の計測機器・AI分析・診断レポート／追加点検</x:v>
      </x:c>
      <x:c r="H284" s="7" t="str">
        <x:v>設備を止めずデータ取得・AI診断・点検提案</x:v>
      </x:c>
      <x:c r="I284" s="7" t="str">
        <x:v>駆動モーター電流・振動、新品時のデータ、補正入力回数・軸負荷</x:v>
      </x:c>
      <x:c r="J284" s="7" t="str">
        <x:v>抵抗増大に伴う電流や振動の変化を新品データと比較し、軸受・ガイド等の劣化・異常を判断</x:v>
      </x:c>
      <x:c r="K284" s="7" t="str">
        <x:v>リモート診断とレポート・追加点検の提案。自動修理・制御補正は確認できない</x:v>
      </x:c>
      <x:c r="L284" s="7" t="str">
        <x:v>事前準備：公式出展説明：計測機器で稼働中データを取得。2025技術説明で信号種を具体化／承認：未記載：診断を受けた点検・部品交換の最終判断者と基準／例外対応：未記載：誤警報・低サンプリング・新品基準との差が小さい故障の扱い</x:v>
      </x:c>
      <x:c r="M284" s="7" t="str">
        <x:v>2024に容易に脱着できる機器で稼働中の重要部位データを取得し、AI診断・レポート・追加点検を説明。</x:v>
      </x:c>
      <x:c r="N284" s="7" t="str">
        <x:v>2026も同名AIリモート診断を掲載。</x:v>
      </x:c>
      <x:c r="O284" s="7" t="str">
        <x:v>2024から継続</x:v>
      </x:c>
      <x:c r="P284" s="7" t="str">
        <x:v>2026公式カタログ掲載・現地未確認</x:v>
      </x:c>
      <x:c r="Q284" s="7" t="str">
        <x:v>2026展示予定。既存製品・参考出展・構想等は原典で個別確認</x:v>
      </x:c>
      <x:c r="R284" s="7" t="str">
        <x:v>2024から同名サービスを掲載。2025の方式説明を2026の新機能と混同しない 現地質問：対象故障・必要信号・計測時間、診断専用NCとの違い、誤警報、報告後の保全判断と採用実績は。</x:v>
      </x:c>
      <x:c r="S284" s="7" t="str">
        <x:v>EEX-EXH-2026-308c5194f12fe009
EEX-EXH-2024-b0a94c1cd407ea8a
EDP-13</x:v>
      </x:c>
      <x:c r="T284" s="7" t="str">
        <x:v>EEX-EXH-2026-308c5194f12fe009: https://www.jimtof.org/search/jp/ESdetails?e=Z_SbvK_hxBY
EEX-EXH-2024-b0a94c1cd407ea8a: https://www.jimtof.org/2024/search/jp/ESdetails?e=2N7pXq5Aehs
EDP-13: https://www.muratec.jp/company/ti/rd/detail.php?id=7540</x:v>
      </x:c>
      <x:c r="U284" s="7" t="str">
        <x:v>2024・2026の原典全文を重点比較</x:v>
      </x:c>
      <x:c r="V284" s="7" t="str">
        <x:v>設備劣化・異常の診断</x:v>
      </x:c>
      <x:c r="W284" s="7" t="str">
        <x:v>抵抗増大に伴う電流や振動の変化を新品データと比較し、軸受・ガイド等の劣化・異常を判断</x:v>
      </x:c>
      <x:c r="X284" s="7" t="str">
        <x:v>リモート診断とレポート・追加点検の提案。自動修理・制御補正は確認できない</x:v>
      </x:c>
      <x:c r="Y284" s="7" t="str">
        <x:v>公式出展説明：計測機器で稼働中データを取得。2025技術説明で信号種を具体化</x:v>
      </x:c>
      <x:c r="Z284" s="7" t="str">
        <x:v>未記載：診断を受けた点検・部品交換の最終判断者と基準</x:v>
      </x:c>
      <x:c r="AA284" s="7" t="str">
        <x:v>未記載：誤警報・低サンプリング・新品基準との差が小さい故障の扱い</x:v>
      </x:c>
      <x:c r="AB284" s="7" t="str">
        <x:v>2024から同名サービスを掲載。2025の方式説明を2026の新機能と混同しない</x:v>
      </x:c>
    </x:row>
    <x:row r="285" ht="170" customHeight="1">
      <x:c r="A285" s="7" t="str">
        <x:v>AC226</x:v>
      </x:c>
      <x:c r="B285" s="20" t="str">
        <x:v>ムラテックフロンティア株式会社</x:v>
      </x:c>
      <x:c r="C285" s="7" t="str">
        <x:v>中小製造業向け生産管理システム「GrowingMIS」</x:v>
      </x:c>
      <x:c r="D285" s="7" t="str">
        <x:v>S3012</x:v>
      </x:c>
      <x:c r="E285" s="7" t="str">
        <x:v>工場運用DX</x:v>
      </x:c>
      <x:c r="F285" s="7" t="str">
        <x:v>出展説明の関連用途（個別タスクの分解は未完了）</x:v>
      </x:c>
      <x:c r="G285" s="7" t="str">
        <x:v>出展説明に記載。実装位置の個別精査はカードの方式・未確認欄を参照</x:v>
      </x:c>
      <x:c r="H285" s="7" t="str">
        <x:v>原典抜粋：私たちは産業機械メーカーである村田機械グループで蓄積されたノウハウを活かして開発した生産管理システムを多岐にわたる製造業のお客様に提供してきました。 / 多種多様な製品を取り扱う村田機械グループにおいて、大量生産は元より多品種少量生産の現場で厳しく鍛えられてきた私たちは、生産管理に求められる本当のニーズを知っています。 / 今回の出展では、金属加工や装置組立などの製造業に適した生産管理システム製品を始め、人手不足や属人化といった製造業の</x:v>
      </x:c>
      <x:c r="I285" s="7" t="str">
        <x:v>個別入力の追加確認が必要</x:v>
      </x:c>
      <x:c r="J285" s="7" t="str">
        <x:v>原典抜粋：私たちは産業機械メーカーである村田機械グループで蓄積されたノウハウを活かして開発した生産管理システムを多岐にわたる製造業のお客様に提供してきました。 / 多種多様な製品を取り扱う村田機械グループにおいて、大量生産は元より多品種少量生産の現場で厳しく鍛えられてきた私たちは、生産管理に求められる本当のニーズを知っています。 / 今回の出展では、金属加工や装置組立などの製造業に適した生産管理システム製品を始め、人手不足や属人化といった製造業の</x:v>
      </x:c>
      <x:c r="K285" s="7" t="str">
        <x:v>私たちは産業機械メーカーである村田機械グループで蓄積されたノウハウを活かして開発した生産管理システムを多岐にわたる製造業のお客様に提供してきました。 / 多種多様な製品を取り扱う村田機械グループにおいて、大量生産は元より多品種少量生産の現場で厳しく鍛えられてきた私たちは、生産管理に求められる本当のニーズを知っています。 / 今回の出展では、金属加工や装置組立などの製造業に適した生産管理システム製品を始め、人手不足や属人化といった製造業の</x:v>
      </x:c>
      <x:c r="L285" s="7" t="str">
        <x:v>承認・例外対応・停止・復帰の境界は未確認</x:v>
      </x:c>
      <x:c r="M285" s="7" t="str">
        <x:v>2024原典抜粋：村田機械のものづくりを支えて30年。 私たちは産業機械メーカーである村田機械グループで蓄積されたノウハウを活かして開発した生産管理システムを多岐にわたる製造業のお客様に提供してきました。 その一番の強みは自らも製造業であること。多種多様な製品を取り扱う村田機械グループにおいて、大量生産は元より多品種少量生産の現場で厳しく鍛えられてきた私たちは、生産管理に求められる本当のニーズを知っています。単にシステムの機能だけではなく、お客様の業務との適合性や実現性、将来の拡張性までを見据え、豊富なノウハウを活かしたソリューショ</x:v>
      </x:c>
      <x:c r="N285" s="7" t="str">
        <x:v>2026原典抜粋：私たちは産業機械メーカーである村田機械グループで蓄積されたノウハウを活かして開発した生産管理システムを多岐にわたる製造業のお客様に提供してきました。 / 多種多様な製品を取り扱う村田機械グループにおいて、大量生産は元より多品種少量生産の現場で厳しく鍛えられてきた私たちは、生産管理に求められる本当のニーズを知っています。 / 今回の出展では、金属加工や装置組立などの製造業に適した生産管理システム製品を始め、人手不足や属人化といった製造業の</x:v>
      </x:c>
      <x:c r="O285" s="7" t="str">
        <x:v>両年原典あり・機能差未判定</x:v>
      </x:c>
      <x:c r="P285" s="7" t="str">
        <x:v>2026公式カタログ掲載・現地未確認</x:v>
      </x:c>
      <x:c r="Q285" s="7" t="str">
        <x:v>2026展示予定。既存製品・参考出展・構想等は原典で個別確認</x:v>
      </x:c>
      <x:c r="R285" s="7" t="str">
        <x:v>どの作業を自動化・支援するか、入力と判断・操作の範囲、適用条件と人の残作業、2024からの機能差、採用・受注・効果の実測を確認する。</x:v>
      </x:c>
      <x:c r="S285" s="7" t="str">
        <x:v>EEX-EXH-2026-859260bbab50e467
EEX-EXH-2024-01d5fdf5311a78d2</x:v>
      </x:c>
      <x:c r="T285" s="7" t="str">
        <x:v>EEX-EXH-2026-859260bbab50e467: https://www.jimtof.org/search/jp/ESdetails?e=YWmIOEUq2KQ
EEX-EXH-2024-01d5fdf5311a78d2: https://www.jimtof.org/2024/search/jp/ESdetails?e=5mtGGNcGld4</x:v>
      </x:c>
      <x:c r="U285" s="7" t="str">
        <x:v>出展説明の関連箇所に基づく一次分類</x:v>
      </x:c>
      <x:c r="V285" s="7"/>
      <x:c r="W285" s="7"/>
      <x:c r="X285" s="7"/>
      <x:c r="Y285" s="7"/>
      <x:c r="Z285" s="7"/>
      <x:c r="AA285" s="7"/>
      <x:c r="AB285" s="7"/>
    </x:row>
    <x:row r="286" ht="170" customHeight="1">
      <x:c r="A286" s="7" t="str">
        <x:v>AC227</x:v>
      </x:c>
      <x:c r="B286" s="20" t="str">
        <x:v>株式会社メトロール</x:v>
      </x:c>
      <x:c r="C286" s="7" t="str">
        <x:v>【エアミクロンセンサ】</x:v>
      </x:c>
      <x:c r="D286" s="7" t="str">
        <x:v>S4022</x:v>
      </x:c>
      <x:c r="E286" s="7" t="str">
        <x:v>工場運用DX
自動化
AI実装・連携基盤</x:v>
      </x:c>
      <x:c r="F286" s="7" t="str">
        <x:v>出展説明の関連用途（個別タスクの分解は未完了）</x:v>
      </x:c>
      <x:c r="G286" s="7" t="str">
        <x:v>出展説明に記載。実装位置の個別精査はカードの方式・未確認欄を参照</x:v>
      </x:c>
      <x:c r="H286" s="7" t="str">
        <x:v>原典抜粋：ワークの着座確認はもちろん、NC研削盤における回転砥石の自動位置決めなど、さまざまな用途で活用可能です。 / 「加工不良を減らしたい」「設備を安定稼働させたい」「自動化をさらに進めたい」 / ・主な用途：ワークと治具の密着確認・NC研削盤の回転砥石の自動位置決め</x:v>
      </x:c>
      <x:c r="I286" s="7" t="str">
        <x:v>個別入力の追加確認が必要</x:v>
      </x:c>
      <x:c r="J286" s="7" t="str">
        <x:v>原典抜粋：ワークの着座確認はもちろん、NC研削盤における回転砥石の自動位置決めなど、さまざまな用途で活用可能です。 / 「加工不良を減らしたい」「設備を安定稼働させたい」「自動化をさらに進めたい」 / ・主な用途：ワークと治具の密着確認・NC研削盤の回転砥石の自動位置決め</x:v>
      </x:c>
      <x:c r="K286" s="7" t="str">
        <x:v>ワークの着座確認はもちろん、NC研削盤における回転砥石の自動位置決めなど、さまざまな用途で活用可能です。 / 「加工不良を減らしたい」「設備を安定稼働させたい」「自動化をさらに進めたい」 / ・主な用途：ワークと治具の密着確認・NC研削盤の回転砥石の自動位置決め</x:v>
      </x:c>
      <x:c r="L286" s="7" t="str">
        <x:v>承認・例外対応・停止・復帰の境界は未確認</x:v>
      </x:c>
      <x:c r="M286" s="7" t="str">
        <x:v>2024原典抜粋：メトロールは工作機械、設備、ロボット向けの「位置決めセンサ」の専門メーカーです。当社のセンサは高精度で低価格、さらに豊富なカスタマイズにも対応。世界74カ国、7,000社以上の企業で生産設備の自動化に貢献しています。 【見どころ】 唯一の日本製！『無線式タッチプローブ』 ・製品価格＋取付費で50万円～ ・繰り返し精度1μm ・国内メーカーならではの迅速なアフターフォロー ・ブースではデモ機でワーク測定動作をご覧いただけます。 ・既存機への「センサ後付けサービス」も分かりやすいプレゼンテーションでご紹介いたします。 </x:v>
      </x:c>
      <x:c r="N286" s="7" t="str">
        <x:v>2026原典抜粋：ワークの着座確認はもちろん、NC研削盤における回転砥石の自動位置決めなど、さまざまな用途で活用可能です。 / 「加工不良を減らしたい」「設備を安定稼働させたい」「自動化をさらに進めたい」 / ・主な用途：ワークと治具の密着確認・NC研削盤の回転砥石の自動位置決め</x:v>
      </x:c>
      <x:c r="O286" s="7" t="str">
        <x:v>両年原典あり・機能差未判定</x:v>
      </x:c>
      <x:c r="P286" s="7" t="str">
        <x:v>2026公式カタログ掲載・現地未確認</x:v>
      </x:c>
      <x:c r="Q286" s="7" t="str">
        <x:v>2026展示予定。既存製品・参考出展・構想等は原典で個別確認</x:v>
      </x:c>
      <x:c r="R286" s="7" t="str">
        <x:v>どの作業を自動化・支援するか、入力と判断・操作の範囲、適用条件と人の残作業、2024からの機能差、採用・受注・効果の実測を確認する。</x:v>
      </x:c>
      <x:c r="S286" s="7" t="str">
        <x:v>EEX-EXH-2026-d1b2346e07cb38c8
EEX-EXH-2024-f7a252ea37e4dc94</x:v>
      </x:c>
      <x:c r="T286" s="7" t="str">
        <x:v>EEX-EXH-2026-d1b2346e07cb38c8: https://www.jimtof.org/search/jp/ESdetails?e=wCfQP1f4Amo
EEX-EXH-2024-f7a252ea37e4dc94: https://www.jimtof.org/2024/search/jp/ESdetails?e=Rjf40-Z2n88</x:v>
      </x:c>
      <x:c r="U286" s="7" t="str">
        <x:v>出展説明の関連箇所に基づく一次分類</x:v>
      </x:c>
      <x:c r="V286" s="7"/>
      <x:c r="W286" s="7"/>
      <x:c r="X286" s="7"/>
      <x:c r="Y286" s="7"/>
      <x:c r="Z286" s="7"/>
      <x:c r="AA286" s="7"/>
      <x:c r="AB286" s="7"/>
    </x:row>
    <x:row r="287" ht="170" customHeight="1">
      <x:c r="A287" s="7" t="str">
        <x:v>AC228</x:v>
      </x:c>
      <x:c r="B287" s="20" t="str">
        <x:v>株式会社モアソンジャパン</x:v>
      </x:c>
      <x:c r="C287" s="7" t="str">
        <x:v>ポータブル3Dスキャナー HandySCAN 3D|EVOシリーズ</x:v>
      </x:c>
      <x:c r="D287" s="7" t="str">
        <x:v>E2022</x:v>
      </x:c>
      <x:c r="E287" s="7" t="str">
        <x:v>設計・製造DX</x:v>
      </x:c>
      <x:c r="F287" s="7" t="str">
        <x:v>出展説明の関連用途（個別タスクの分解は未完了）</x:v>
      </x:c>
      <x:c r="G287" s="7" t="str">
        <x:v>出展説明に記載。実装位置の個別精査はカードの方式・未確認欄を参照</x:v>
      </x:c>
      <x:c r="H287" s="7" t="str">
        <x:v>原典抜粋：製造現場の3D測定から設計・検査までを効率化する、次世代の3Dデジタルソリューションをご提案します。 / 取得したデータは、リバースエンジニアリングソフトウェア【Geomagic Design X】を用いて、履歴情報を持つ高精度なCADデータへと高速で変換。 / 各種CAD等へ履歴情報ごと直接移行でき、図面のない部品の設計・製品化を強力に支援します。 / レポート作成までを自動化して検査リードタイムを短縮し、人によるブレのない安定した品</x:v>
      </x:c>
      <x:c r="I287" s="7" t="str">
        <x:v>個別入力の追加確認が必要</x:v>
      </x:c>
      <x:c r="J287" s="7" t="str">
        <x:v>原典抜粋：製造現場の3D測定から設計・検査までを効率化する、次世代の3Dデジタルソリューションをご提案します。 / 取得したデータは、リバースエンジニアリングソフトウェア【Geomagic Design X】を用いて、履歴情報を持つ高精度なCADデータへと高速で変換。 / 各種CAD等へ履歴情報ごと直接移行でき、図面のない部品の設計・製品化を強力に支援します。 / レポート作成までを自動化して検査リードタイムを短縮し、人によるブレのない安定した品</x:v>
      </x:c>
      <x:c r="K287" s="7" t="str">
        <x:v>製造現場の3D測定から設計・検査までを効率化する、次世代の3Dデジタルソリューションをご提案します。 / 取得したデータは、リバースエンジニアリングソフトウェア【Geomagic Design X】を用いて、履歴情報を持つ高精度なCADデータへと高速で変換。 / 各種CAD等へ履歴情報ごと直接移行でき、図面のない部品の設計・製品化を強力に支援します。 / レポート作成までを自動化して検査リードタイムを短縮し、人によるブレのない安定した品</x:v>
      </x:c>
      <x:c r="L287" s="7" t="str">
        <x:v>承認・例外対応・停止・復帰の境界は未確認</x:v>
      </x:c>
      <x:c r="M287" s="7" t="str">
        <x:v>2024原典抜粋：大きな工作物を手間なく計測し、加工漏れなどを簡単に発見するソリューションを紹介します 10tクレーンで設置する様な大型の工作物の孔加工ミスをスマホ撮影で簡単に素早く発見出来るシステム「PiCveri（ピックベリー：picture-cad-verification）」を開発しました。スマホで対象物を撮影した写真画像から複数の孔を自動認識し、数回のクリックでCADデータと比較。孔の位置ズレや空け忘れ等を素早く発見できます。加工ミスを発見するシステムは多々ありますが、大型の主型などの孔を検査するニッチな市場において、iP</x:v>
      </x:c>
      <x:c r="N287" s="7" t="str">
        <x:v>2026原典抜粋：製造現場の3D測定から設計・検査までを効率化する、次世代の3Dデジタルソリューションをご提案します。 / 取得したデータは、リバースエンジニアリングソフトウェア【Geomagic Design X】を用いて、履歴情報を持つ高精度なCADデータへと高速で変換。 / 各種CAD等へ履歴情報ごと直接移行でき、図面のない部品の設計・製品化を強力に支援します。 / レポート作成までを自動化して検査リードタイムを短縮し、人によるブレのない安定した品</x:v>
      </x:c>
      <x:c r="O287" s="7" t="str">
        <x:v>両年原典あり・機能差未判定</x:v>
      </x:c>
      <x:c r="P287" s="7" t="str">
        <x:v>2026公式カタログ掲載・現地未確認</x:v>
      </x:c>
      <x:c r="Q287" s="7" t="str">
        <x:v>2026展示予定。既存製品・参考出展・構想等は原典で個別確認</x:v>
      </x:c>
      <x:c r="R287" s="7" t="str">
        <x:v>どの作業を自動化・支援するか、入力と判断・操作の範囲、適用条件と人の残作業、2024からの機能差、採用・受注・効果の実測を確認する。</x:v>
      </x:c>
      <x:c r="S287" s="7" t="str">
        <x:v>EEX-EXH-2026-d241e6d6ecb5d3ae
EEX-EXH-2024-14f5dfac2e2d51ae</x:v>
      </x:c>
      <x:c r="T287" s="7" t="str">
        <x:v>EEX-EXH-2026-d241e6d6ecb5d3ae: https://www.jimtof.org/search/jp/ESdetails?e=BA-QSlPL32I
EEX-EXH-2024-14f5dfac2e2d51ae: https://www.jimtof.org/2024/search/jp/ESdetails?e=mFWgprFAl9k</x:v>
      </x:c>
      <x:c r="U287" s="7" t="str">
        <x:v>出展説明の関連箇所に基づく一次分類</x:v>
      </x:c>
      <x:c r="V287" s="7"/>
      <x:c r="W287" s="7"/>
      <x:c r="X287" s="7"/>
      <x:c r="Y287" s="7"/>
      <x:c r="Z287" s="7"/>
      <x:c r="AA287" s="7"/>
      <x:c r="AB287" s="7"/>
    </x:row>
    <x:row r="288" ht="170" customHeight="1">
      <x:c r="A288" s="7" t="str">
        <x:v>AC229</x:v>
      </x:c>
      <x:c r="B288" s="20" t="str">
        <x:v>モバック株式会社</x:v>
      </x:c>
      <x:c r="C288" s="7" t="str">
        <x:v>独自開発ロボットを使用した狙い撃ち CNC 高圧洗浄機で自動車部品・油圧部品の生産現場に省スペース化と高効率化を提案します。 / ①独自開発 Scar</x:v>
      </x:c>
      <x:c r="D288" s="7" t="str">
        <x:v>S2004</x:v>
      </x:c>
      <x:c r="E288" s="7" t="str">
        <x:v>自動化</x:v>
      </x:c>
      <x:c r="F288" s="7" t="str">
        <x:v>出展説明の関連用途（個別タスクの分解は未完了）</x:v>
      </x:c>
      <x:c r="G288" s="7" t="str">
        <x:v>出展説明に記載。実装位置の個別精査はカードの方式・未確認欄を参照</x:v>
      </x:c>
      <x:c r="H288" s="7" t="str">
        <x:v>原典抜粋：独自開発ロボットを使用した狙い撃ち CNC 高圧洗浄機で自動車部品・油圧部品の生産現場に省スペース化と高効率化を提案します。 / ①独自開発 Scara 型ロボットの使用により従来機種と比較して設置面積 1/3、早送り速度 2 倍を実現します。</x:v>
      </x:c>
      <x:c r="I288" s="7" t="str">
        <x:v>個別入力の追加確認が必要</x:v>
      </x:c>
      <x:c r="J288" s="7" t="str">
        <x:v>原典抜粋：独自開発ロボットを使用した狙い撃ち CNC 高圧洗浄機で自動車部品・油圧部品の生産現場に省スペース化と高効率化を提案します。 / ①独自開発 Scara 型ロボットの使用により従来機種と比較して設置面積 1/3、早送り速度 2 倍を実現します。</x:v>
      </x:c>
      <x:c r="K288" s="7" t="str">
        <x:v>独自開発ロボットを使用した狙い撃ち CNC 高圧洗浄機で自動車部品・油圧部品の生産現場に省スペース化と高効率化を提案します。 / ①独自開発 Scara 型ロボットの使用により従来機種と比較して設置面積 1/3、早送り速度 2 倍を実現します。</x:v>
      </x:c>
      <x:c r="L288" s="7" t="str">
        <x:v>承認・例外対応・停止・復帰の境界は未確認</x:v>
      </x:c>
      <x:c r="M288" s="7" t="str">
        <x:v>同一正規化名称の2024詳細なし。新規出展・技術不存在とは判断しない。</x:v>
      </x:c>
      <x:c r="N288" s="7" t="str">
        <x:v>2026原典抜粋：独自開発ロボットを使用した狙い撃ち CNC 高圧洗浄機で自動車部品・油圧部品の生産現場に省スペース化と高効率化を提案します。 / ①独自開発 Scara 型ロボットの使用により従来機種と比較して設置面積 1/3、早送り速度 2 倍を実現します。</x:v>
      </x:c>
      <x:c r="O288" s="7" t="str">
        <x:v>2024個別比較不能</x:v>
      </x:c>
      <x:c r="P288" s="7" t="str">
        <x:v>2026公式カタログ掲載・現地未確認</x:v>
      </x:c>
      <x:c r="Q288" s="7" t="str">
        <x:v>2026展示予定。既存製品・参考出展・構想等は原典で個別確認</x:v>
      </x:c>
      <x:c r="R288" s="7" t="str">
        <x:v>どの作業を自動化・支援するか、入力と判断・操作の範囲、適用条件と人の残作業、2024からの機能差、採用・受注・効果の実測を確認する。</x:v>
      </x:c>
      <x:c r="S288" s="7" t="str">
        <x:v>EEX-EXH-2026-fa86a6a592392b7e</x:v>
      </x:c>
      <x:c r="T288" s="7" t="str">
        <x:v>EEX-EXH-2026-fa86a6a592392b7e: https://www.jimtof.org/search/jp/ESdetails?e=o9Igifyx28Y</x:v>
      </x:c>
      <x:c r="U288" s="7" t="str">
        <x:v>出展説明の関連箇所に基づく一次分類</x:v>
      </x:c>
      <x:c r="V288" s="7"/>
      <x:c r="W288" s="7"/>
      <x:c r="X288" s="7"/>
      <x:c r="Y288" s="7"/>
      <x:c r="Z288" s="7"/>
      <x:c r="AA288" s="7"/>
      <x:c r="AB288" s="7"/>
    </x:row>
    <x:row r="289" ht="170" customHeight="1">
      <x:c r="A289" s="7" t="str">
        <x:v>AC230</x:v>
      </x:c>
      <x:c r="B289" s="20" t="str">
        <x:v>柳瀬株式会社</x:v>
      </x:c>
      <x:c r="C289" s="7" t="str">
        <x:v>FeRrobotics・自動バリ取り機用ホイール(ストレートクラゲ・スリットクラゲ)・楽斬・ベベルグレート・コードレスフラップサンダー・バリキレブラシ</x:v>
      </x:c>
      <x:c r="D289" s="7" t="str">
        <x:v>W4041</x:v>
      </x:c>
      <x:c r="E289" s="7" t="str">
        <x:v>自動化</x:v>
      </x:c>
      <x:c r="F289" s="7" t="str">
        <x:v>出展説明の関連用途（個別タスクの分解は未完了）</x:v>
      </x:c>
      <x:c r="G289" s="7" t="str">
        <x:v>出展説明に記載。実装位置の個別精査はカードの方式・未確認欄を参照</x:v>
      </x:c>
      <x:c r="H289" s="7" t="str">
        <x:v>原典抜粋：柳瀬の研磨ロボットは、オーストリア・ＦＥＲＲＯＢＯＴＩＣＳ社製のエンドエフェクタを日本代理店として取り扱いし、自動化提案している。 / 一定の押し付け圧を保持して研磨作業を自動化でき、ワークの段差や砥石摩耗に対しても約４ミリ秒で高速追従する。 / エンドエフェクタが軽量なため、可搬重量の小さい協働ロボットへの搭載が可能。 / FeRrobotics・自動バリ取り機用ホイール(ストレートクラゲ・スリットクラゲ)・楽斬・ベベルグレート・コー</x:v>
      </x:c>
      <x:c r="I289" s="7" t="str">
        <x:v>個別入力の追加確認が必要</x:v>
      </x:c>
      <x:c r="J289" s="7" t="str">
        <x:v>原典抜粋：柳瀬の研磨ロボットは、オーストリア・ＦＥＲＲＯＢＯＴＩＣＳ社製のエンドエフェクタを日本代理店として取り扱いし、自動化提案している。 / 一定の押し付け圧を保持して研磨作業を自動化でき、ワークの段差や砥石摩耗に対しても約４ミリ秒で高速追従する。 / エンドエフェクタが軽量なため、可搬重量の小さい協働ロボットへの搭載が可能。 / FeRrobotics・自動バリ取り機用ホイール(ストレートクラゲ・スリットクラゲ)・楽斬・ベベルグレート・コー</x:v>
      </x:c>
      <x:c r="K289" s="7" t="str">
        <x:v>柳瀬の研磨ロボットは、オーストリア・ＦＥＲＲＯＢＯＴＩＣＳ社製のエンドエフェクタを日本代理店として取り扱いし、自動化提案している。 / 一定の押し付け圧を保持して研磨作業を自動化でき、ワークの段差や砥石摩耗に対しても約４ミリ秒で高速追従する。 / エンドエフェクタが軽量なため、可搬重量の小さい協働ロボットへの搭載が可能。 / FeRrobotics・自動バリ取り機用ホイール(ストレートクラゲ・スリットクラゲ)・楽斬・ベベルグレート・コー</x:v>
      </x:c>
      <x:c r="L289" s="7" t="str">
        <x:v>承認・例外対応・停止・復帰の境界は未確認</x:v>
      </x:c>
      <x:c r="M289" s="7" t="str">
        <x:v>2024原典抜粋：弊社柳瀬は、機械工具商、ＨＣ(ホームセンター)通販などを通して研磨製品を日本国内及び海外の工場や工事現場にお届けしております。その他にはダイヤモンド電着やチップソー(オーダーメイドを含む)などの販売もしております。そして近年ロボット自動化が進んでる中オーストリアのＦＥＲＲＯＢＴＩＣＳ(ファーロボティクス)社の日本の正式代理店になり今回の出展製品である研磨エンドエフェクターを拡販しております。柳瀬ＳＮＳではLINE、YouTube、Instagramなどお客様のお役に立つコンテンツを各種にご用意しておりLINEで”ケ</x:v>
      </x:c>
      <x:c r="N289" s="7" t="str">
        <x:v>2026原典抜粋：柳瀬の研磨ロボットは、オーストリア・ＦＥＲＲＯＢＯＴＩＣＳ社製のエンドエフェクタを日本代理店として取り扱いし、自動化提案している。 / 一定の押し付け圧を保持して研磨作業を自動化でき、ワークの段差や砥石摩耗に対しても約４ミリ秒で高速追従する。 / エンドエフェクタが軽量なため、可搬重量の小さい協働ロボットへの搭載が可能。 / FeRrobotics・自動バリ取り機用ホイール(ストレートクラゲ・スリットクラゲ)・楽斬・ベベルグレート・コー</x:v>
      </x:c>
      <x:c r="O289" s="7" t="str">
        <x:v>両年原典あり・機能差未判定</x:v>
      </x:c>
      <x:c r="P289" s="7" t="str">
        <x:v>2026公式カタログ掲載・現地未確認</x:v>
      </x:c>
      <x:c r="Q289" s="7" t="str">
        <x:v>2026展示予定。既存製品・参考出展・構想等は原典で個別確認</x:v>
      </x:c>
      <x:c r="R289" s="7" t="str">
        <x:v>どの作業を自動化・支援するか、入力と判断・操作の範囲、適用条件と人の残作業、2024からの機能差、採用・受注・効果の実測を確認する。</x:v>
      </x:c>
      <x:c r="S289" s="7" t="str">
        <x:v>EEX-EXH-2026-2c9090a62c406e00
EEX-EXH-2024-45242386ffbf5c68</x:v>
      </x:c>
      <x:c r="T289" s="7" t="str">
        <x:v>EEX-EXH-2026-2c9090a62c406e00: https://www.jimtof.org/search/jp/ESdetails?e=VB1iAf4ngXo
EEX-EXH-2024-45242386ffbf5c68: https://www.jimtof.org/2024/search/jp/ESdetails?e=u5TMHxWUeCQ</x:v>
      </x:c>
      <x:c r="U289" s="7" t="str">
        <x:v>出展説明の関連箇所に基づく一次分類</x:v>
      </x:c>
      <x:c r="V289" s="7"/>
      <x:c r="W289" s="7"/>
      <x:c r="X289" s="7"/>
      <x:c r="Y289" s="7"/>
      <x:c r="Z289" s="7"/>
      <x:c r="AA289" s="7"/>
      <x:c r="AB289" s="7"/>
    </x:row>
    <x:row r="290" ht="170" customHeight="1">
      <x:c r="A290" s="7" t="str">
        <x:v>AC231</x:v>
      </x:c>
      <x:c r="B290" s="20" t="str">
        <x:v>山口産業株式会社</x:v>
      </x:c>
      <x:c r="C290" s="7" t="str">
        <x:v>【RDI】</x:v>
      </x:c>
      <x:c r="D290" s="7" t="str">
        <x:v>E7032</x:v>
      </x:c>
      <x:c r="E290" s="7" t="str">
        <x:v>工場運用DX</x:v>
      </x:c>
      <x:c r="F290" s="7" t="str">
        <x:v>出展説明の関連用途（個別タスクの分解は未完了）</x:v>
      </x:c>
      <x:c r="G290" s="7" t="str">
        <x:v>出展説明に記載。実装位置の個別精査はカードの方式・未確認欄を参照</x:v>
      </x:c>
      <x:c r="H290" s="7" t="str">
        <x:v>原典抜粋：非接触振動可視化システム Iris aiONE / 振動状態監視用カメラ Iris EDGE / 振動状態監視用サーバ Iris CM / 自動潤滑システム LUBExpert ON-GUARD / 状態監視システム VIGILANT / モーター状態監視モジュール PdMA EYE / 回転機状態監視システム e-MCM / 2D計測機能付きデジタルマイクロスコープ Omni3 / 人工知能搭載デジタルマイクロスコープ ACUMEN </x:v>
      </x:c>
      <x:c r="I290" s="7" t="str">
        <x:v>個別入力の追加確認が必要</x:v>
      </x:c>
      <x:c r="J290" s="7" t="str">
        <x:v>原典抜粋：非接触振動可視化システム Iris aiONE / 振動状態監視用カメラ Iris EDGE / 振動状態監視用サーバ Iris CM / 自動潤滑システム LUBExpert ON-GUARD / 状態監視システム VIGILANT / モーター状態監視モジュール PdMA EYE / 回転機状態監視システム e-MCM / 2D計測機能付きデジタルマイクロスコープ Omni3 / 人工知能搭載デジタルマイクロスコープ ACUMEN </x:v>
      </x:c>
      <x:c r="K290" s="7" t="str">
        <x:v>非接触振動可視化システム Iris aiONE / 振動状態監視用カメラ Iris EDGE / 振動状態監視用サーバ Iris CM / 自動潤滑システム LUBExpert ON-GUARD / 状態監視システム VIGILANT / モーター状態監視モジュール PdMA EYE / 回転機状態監視システム e-MCM / 2D計測機能付きデジタルマイクロスコープ Omni3 / 人工知能搭載デジタルマイクロスコープ ACUMEN </x:v>
      </x:c>
      <x:c r="L290" s="7" t="str">
        <x:v>承認・例外対応・停止・復帰の境界は未確認</x:v>
      </x:c>
      <x:c r="M290" s="7" t="str">
        <x:v>2024原典抜粋：機械設備の予知保全やメンテナンスに関する機器をご紹介します。 機械の状態を知り、予期せぬダウンタイムやメンテナンスにかかるコストを削減するための機器を多数取り扱っています。貴社の設備を最大限有効活用できるよう、メンテナンス方法の改善や作業時間短縮に有効な機器をご提案いたします。 【RDI】 次世代振動測定装置 Iris M 高周波用オプションカメラ Iris MX 振動監視用オプションカメラ Iris EDGE SPOT積載用遠隔操作システム Iris Explorer その他振動測定システム、オプション 【SDT</x:v>
      </x:c>
      <x:c r="N290" s="7" t="str">
        <x:v>2026原典抜粋：非接触振動可視化システム Iris aiONE / 振動状態監視用カメラ Iris EDGE / 振動状態監視用サーバ Iris CM / 自動潤滑システム LUBExpert ON-GUARD / 状態監視システム VIGILANT / モーター状態監視モジュール PdMA EYE / 回転機状態監視システム e-MCM / 2D計測機能付きデジタルマイクロスコープ Omni3 / 人工知能搭載デジタルマイクロスコープ ACUMEN </x:v>
      </x:c>
      <x:c r="O290" s="7" t="str">
        <x:v>両年原典あり・機能差未判定</x:v>
      </x:c>
      <x:c r="P290" s="7" t="str">
        <x:v>2026公式カタログ掲載・現地未確認</x:v>
      </x:c>
      <x:c r="Q290" s="7" t="str">
        <x:v>2026展示予定。既存製品・参考出展・構想等は原典で個別確認</x:v>
      </x:c>
      <x:c r="R290" s="7" t="str">
        <x:v>どの作業を自動化・支援するか、入力と判断・操作の範囲、適用条件と人の残作業、2024からの機能差、採用・受注・効果の実測を確認する。</x:v>
      </x:c>
      <x:c r="S290" s="7" t="str">
        <x:v>EEX-EXH-2026-b6977c805d302165
EEX-EXH-2024-4e79e2f65ee27f6c</x:v>
      </x:c>
      <x:c r="T290" s="7" t="str">
        <x:v>EEX-EXH-2026-b6977c805d302165: https://www.jimtof.org/search/jp/ESdetails?e=swNETGQjKXM
EEX-EXH-2024-4e79e2f65ee27f6c: https://www.jimtof.org/2024/search/jp/ESdetails?e=4DzCn6Z5EGw</x:v>
      </x:c>
      <x:c r="U290" s="7" t="str">
        <x:v>出展説明の関連箇所に基づく一次分類</x:v>
      </x:c>
      <x:c r="V290" s="7"/>
      <x:c r="W290" s="7"/>
      <x:c r="X290" s="7"/>
      <x:c r="Y290" s="7"/>
      <x:c r="Z290" s="7"/>
      <x:c r="AA290" s="7"/>
      <x:c r="AB290" s="7"/>
    </x:row>
    <x:row r="291" ht="170" customHeight="1">
      <x:c r="A291" s="7" t="str">
        <x:v>AC232</x:v>
      </x:c>
      <x:c r="B291" s="20" t="str">
        <x:v>株式会社山善</x:v>
      </x:c>
      <x:c r="C291" s="7" t="str">
        <x:v>コンパクトマシニングセンタ（ブラザー：SPEEDIO S300Xd2）</x:v>
      </x:c>
      <x:c r="D291" s="7" t="str">
        <x:v>S1056</x:v>
      </x:c>
      <x:c r="E291" s="7" t="str">
        <x:v>工場運用DX
自動化</x:v>
      </x:c>
      <x:c r="F291" s="7" t="str">
        <x:v>出展説明の関連用途（個別タスクの分解は未完了）</x:v>
      </x:c>
      <x:c r="G291" s="7" t="str">
        <x:v>出展説明に記載。実装位置の個別精査はカードの方式・未確認欄を参照</x:v>
      </x:c>
      <x:c r="H291" s="7" t="str">
        <x:v>原典抜粋：自動化・省人化をテーマに、コンパクトマシニングセンタ、協働ロボット、現場設置型三次元測定機を融合した自動化セルを実機展示します。 / また、設備管理や図面管理など製造現場のデジタル化を支援する「ゲンバト」も展示します。 / 自動化からデジタル化まで、製造現場の課題解決につながる実践的なソリューションをご覧いただけます。 / 協働ロボット（ファナック：CRX-20iA）</x:v>
      </x:c>
      <x:c r="I291" s="7" t="str">
        <x:v>個別入力の追加確認が必要</x:v>
      </x:c>
      <x:c r="J291" s="7" t="str">
        <x:v>原典抜粋：自動化・省人化をテーマに、コンパクトマシニングセンタ、協働ロボット、現場設置型三次元測定機を融合した自動化セルを実機展示します。 / また、設備管理や図面管理など製造現場のデジタル化を支援する「ゲンバト」も展示します。 / 自動化からデジタル化まで、製造現場の課題解決につながる実践的なソリューションをご覧いただけます。 / 協働ロボット（ファナック：CRX-20iA）</x:v>
      </x:c>
      <x:c r="K291" s="7" t="str">
        <x:v>自動化・省人化をテーマに、コンパクトマシニングセンタ、協働ロボット、現場設置型三次元測定機を融合した自動化セルを実機展示します。 / また、設備管理や図面管理など製造現場のデジタル化を支援する「ゲンバト」も展示します。 / 自動化からデジタル化まで、製造現場の課題解決につながる実践的なソリューションをご覧いただけます。 / 協働ロボット（ファナック：CRX-20iA）</x:v>
      </x:c>
      <x:c r="L291" s="7" t="str">
        <x:v>承認・例外対応・停止・復帰の境界は未確認</x:v>
      </x:c>
      <x:c r="M291" s="7" t="str">
        <x:v>2024原典抜粋：製造『現場と』ともに、「ゲンバト」。 図面管理や不良記録、設備管理など、製造現場のデジタル化をサポートするものづくり企業向け複合型 SaaS プラットフォーム「ゲンバト」を出展致します。 製造業を取り巻く環境は大きく変わり、人手不足、技術（事業）承継、技術開発の停滞、営業力不足など課題は様々です。ゲンバトは、これらの課題を解決する様々なサービスを使いたいものだけ、すぐに始められる、安価なサブスクリプションでご提供します。 サービスの品揃えは、生産性向上、事業機会の創出支援、技術（事業）承継のサポート、ホームページ作</x:v>
      </x:c>
      <x:c r="N291" s="7" t="str">
        <x:v>2026原典抜粋：自動化・省人化をテーマに、コンパクトマシニングセンタ、協働ロボット、現場設置型三次元測定機を融合した自動化セルを実機展示します。 / また、設備管理や図面管理など製造現場のデジタル化を支援する「ゲンバト」も展示します。 / 自動化からデジタル化まで、製造現場の課題解決につながる実践的なソリューションをご覧いただけます。 / 協働ロボット（ファナック：CRX-20iA）</x:v>
      </x:c>
      <x:c r="O291" s="7" t="str">
        <x:v>両年原典あり・機能差未判定</x:v>
      </x:c>
      <x:c r="P291" s="7" t="str">
        <x:v>2026公式カタログ掲載・現地未確認</x:v>
      </x:c>
      <x:c r="Q291" s="7" t="str">
        <x:v>2026展示予定。既存製品・参考出展・構想等は原典で個別確認</x:v>
      </x:c>
      <x:c r="R291" s="7" t="str">
        <x:v>どの作業を自動化・支援するか、入力と判断・操作の範囲、適用条件と人の残作業、2024からの機能差、採用・受注・効果の実測を確認する。</x:v>
      </x:c>
      <x:c r="S291" s="7" t="str">
        <x:v>EEX-EXH-2026-4be1498c7e4dd9c4
EEX-EXH-2024-665608a64c76471c</x:v>
      </x:c>
      <x:c r="T291" s="7" t="str">
        <x:v>EEX-EXH-2026-4be1498c7e4dd9c4: https://www.jimtof.org/search/jp/ESdetails?e=KSoLpsGPfRQ
EEX-EXH-2024-665608a64c76471c: https://www.jimtof.org/2024/search/jp/ESdetails?e=ef8JkkY-hq4</x:v>
      </x:c>
      <x:c r="U291" s="7" t="str">
        <x:v>出展説明の関連箇所に基づく一次分類</x:v>
      </x:c>
      <x:c r="V291" s="7"/>
      <x:c r="W291" s="7"/>
      <x:c r="X291" s="7"/>
      <x:c r="Y291" s="7"/>
      <x:c r="Z291" s="7"/>
      <x:c r="AA291" s="7"/>
      <x:c r="AB291" s="7"/>
    </x:row>
    <x:row r="292" ht="170" customHeight="1">
      <x:c r="A292" s="7" t="str">
        <x:v>AC233</x:v>
      </x:c>
      <x:c r="B292" s="20" t="str">
        <x:v>ユキワ精工株式会社</x:v>
      </x:c>
      <x:c r="C292" s="7" t="str">
        <x:v>スーパーG1チャック、スーパーG1チャックアドバンス、グリーンG1チャック、ハイブリッドG1チャック、ワークハンドリングホルダ他</x:v>
      </x:c>
      <x:c r="D292" s="7" t="str">
        <x:v>W2015</x:v>
      </x:c>
      <x:c r="E292" s="7" t="str">
        <x:v>自動化</x:v>
      </x:c>
      <x:c r="F292" s="7" t="str">
        <x:v>出展説明の関連用途（個別タスクの分解は未完了）</x:v>
      </x:c>
      <x:c r="G292" s="7" t="str">
        <x:v>出展説明に記載。実装位置の個別精査はカードの方式・未確認欄を参照</x:v>
      </x:c>
      <x:c r="H292" s="7" t="str">
        <x:v>原典抜粋：高精度・高剛性・高把握力のスーパーG1チャックと、早くきれいに削れるecoなグリーンG1チャックを出展します。 / 精密部品加工や微細加工の高精度化ニーズに応えるため、コレットチャックの技術を駆使して開発した製品です。 / 工具の振れを最小限に抑え、剛性と把握力が高いため、工具費削減や不良削減に貢献します。 / また、加工条件を上げることができるので、サイクルタイムを短縮し生産性の向上に寄与いたします。 / SDGsにおいても、環境負荷</x:v>
      </x:c>
      <x:c r="I292" s="7" t="str">
        <x:v>個別入力の追加確認が必要</x:v>
      </x:c>
      <x:c r="J292" s="7" t="str">
        <x:v>原典抜粋：高精度・高剛性・高把握力のスーパーG1チャックと、早くきれいに削れるecoなグリーンG1チャックを出展します。 / 精密部品加工や微細加工の高精度化ニーズに応えるため、コレットチャックの技術を駆使して開発した製品です。 / 工具の振れを最小限に抑え、剛性と把握力が高いため、工具費削減や不良削減に貢献します。 / また、加工条件を上げることができるので、サイクルタイムを短縮し生産性の向上に寄与いたします。 / SDGsにおいても、環境負荷</x:v>
      </x:c>
      <x:c r="K292" s="7" t="str">
        <x:v>高精度・高剛性・高把握力のスーパーG1チャックと、早くきれいに削れるecoなグリーンG1チャックを出展します。 / 精密部品加工や微細加工の高精度化ニーズに応えるため、コレットチャックの技術を駆使して開発した製品です。 / 工具の振れを最小限に抑え、剛性と把握力が高いため、工具費削減や不良削減に貢献します。 / また、加工条件を上げることができるので、サイクルタイムを短縮し生産性の向上に寄与いたします。 / SDGsにおいても、環境負荷</x:v>
      </x:c>
      <x:c r="L292" s="7" t="str">
        <x:v>承認・例外対応・停止・復帰の境界は未確認</x:v>
      </x:c>
      <x:c r="M292" s="7" t="str">
        <x:v>2024原典抜粋：高精度・高剛性・高把握力のスーパーG1チャックと、早くきれいに削れるecoなグリーンG1チャックを出展します。 精密部品加工や微細加工の高精度化ニーズに応えるため、コレットチャックの技術を駆使して開発した製品です。工具の振れを最小限に抑え、剛性と把握力が高いため、工具費削減や不良削減に貢献します。また、加工条件を上げることができるので、サイクルタイムを短縮し生産性の向上に寄与いたします。 SDGsにおいても、環境負荷を低減するツールホルダとして、多くのユーザー様に認知されています。 スーパーG1チャック、スーパーG</x:v>
      </x:c>
      <x:c r="N292" s="7" t="str">
        <x:v>2026原典抜粋：高精度・高剛性・高把握力のスーパーG1チャックと、早くきれいに削れるecoなグリーンG1チャックを出展します。 / 精密部品加工や微細加工の高精度化ニーズに応えるため、コレットチャックの技術を駆使して開発した製品です。 / 工具の振れを最小限に抑え、剛性と把握力が高いため、工具費削減や不良削減に貢献します。 / また、加工条件を上げることができるので、サイクルタイムを短縮し生産性の向上に寄与いたします。 / SDGsにおいても、環境負荷</x:v>
      </x:c>
      <x:c r="O292" s="7" t="str">
        <x:v>両年原典あり・機能差未判定</x:v>
      </x:c>
      <x:c r="P292" s="7" t="str">
        <x:v>2026公式カタログ掲載・現地未確認</x:v>
      </x:c>
      <x:c r="Q292" s="7" t="str">
        <x:v>2026展示予定。既存製品・参考出展・構想等は原典で個別確認</x:v>
      </x:c>
      <x:c r="R292" s="7" t="str">
        <x:v>どの作業を自動化・支援するか、入力と判断・操作の範囲、適用条件と人の残作業、2024からの機能差、採用・受注・効果の実測を確認する。</x:v>
      </x:c>
      <x:c r="S292" s="7" t="str">
        <x:v>EEX-EXH-2026-4a8402a527c17b99
EEX-EXH-2024-48638a2b9c3c485e</x:v>
      </x:c>
      <x:c r="T292" s="7" t="str">
        <x:v>EEX-EXH-2026-4a8402a527c17b99: https://www.jimtof.org/search/jp/ESdetails?e=KfyA76OQ4CE
EEX-EXH-2024-48638a2b9c3c485e: https://www.jimtof.org/2024/search/jp/ESdetails?e=3eq-FbqXtMg</x:v>
      </x:c>
      <x:c r="U292" s="7" t="str">
        <x:v>出展説明の関連箇所に基づく一次分類</x:v>
      </x:c>
      <x:c r="V292" s="7"/>
      <x:c r="W292" s="7"/>
      <x:c r="X292" s="7"/>
      <x:c r="Y292" s="7"/>
      <x:c r="Z292" s="7"/>
      <x:c r="AA292" s="7"/>
      <x:c r="AB292" s="7"/>
    </x:row>
    <x:row r="293" ht="170" customHeight="1">
      <x:c r="A293" s="7" t="str">
        <x:v>AC234</x:v>
      </x:c>
      <x:c r="B293" s="20" t="str">
        <x:v>株式会社ユシロ</x:v>
      </x:c>
      <x:c r="C293" s="7" t="str">
        <x:v>ALFRED：クーラント濃度・pH監視</x:v>
      </x:c>
      <x:c r="D293" s="7" t="str">
        <x:v>S3093</x:v>
      </x:c>
      <x:c r="E293" s="7" t="str">
        <x:v>工場運用DX
自動化</x:v>
      </x:c>
      <x:c r="F293" s="7" t="str">
        <x:v>クーラントの濃度・pH監視</x:v>
      </x:c>
      <x:c r="G293" s="7" t="str">
        <x:v>ALFREDのコントローラーと管理画面</x:v>
      </x:c>
      <x:c r="H293" s="7" t="str">
        <x:v>クーラント状態を継続取得し可視化</x:v>
      </x:c>
      <x:c r="I293" s="7" t="str">
        <x:v>クーラントの濃度・pH</x:v>
      </x:c>
      <x:c r="J293" s="7" t="str">
        <x:v>状態監視・可視化を説明。AI異常判定・補給量の自動決定は確認できない</x:v>
      </x:c>
      <x:c r="K293" s="7" t="str">
        <x:v>コントローラーと管理画面を展示予定。自動補給・調液の実行は未確認</x:v>
      </x:c>
      <x:c r="L293" s="7" t="str">
        <x:v>事前準備：未記載：液種設定・センサ校正・洗浄方法／承認：未記載：濃度基準・警報後の補給／液交換の決定者／例外対応：未記載：センサ汚れ・校正ずれ・通信断・異常液の扱い</x:v>
      </x:c>
      <x:c r="M293" s="7" t="str">
        <x:v>公式社名変更告知で旧社名ユシロ化学工業と照合。2024のE1005ではクーラントのリモート監視システムとフレキシブル濃度補給装置を掲載。</x:v>
      </x:c>
      <x:c r="N293" s="7" t="str">
        <x:v>濃度・pHをリアルタイム監視し、会場ではコントローラーと管理画面を展示予定。</x:v>
      </x:c>
      <x:c r="O293" s="7" t="str">
        <x:v>旧社名照合：監視・補給は2024既存、ALFRED固有差未確定</x:v>
      </x:c>
      <x:c r="P293" s="7" t="str">
        <x:v>2026はコントローラーと管理画面の展示予定</x:v>
      </x:c>
      <x:c r="Q293" s="7" t="str">
        <x:v>2026展示予定。既存製品・参考出展・構想等は原典で個別確認</x:v>
      </x:c>
      <x:c r="R293" s="7" t="str">
        <x:v>旧社名の2024原典を照合済み。ALFREDの自動補給・AI判断・2024装置との接続／機能差は未確認。2024濃度補給の説明をALFREDの仕様へ流用しない 現地質問は追補の確認表を参照。</x:v>
      </x:c>
      <x:c r="S293" s="7" t="str">
        <x:v>EEX-EXH-2026-1fb607fd5307c2fa
ERF-10
ERF-11</x:v>
      </x:c>
      <x:c r="T293" s="7" t="str">
        <x:v>EEX-EXH-2026-1fb607fd5307c2fa: https://www.jimtof.org/search/jp/ESdetails?e=-U1GqEJcgSM
ERF-10: https://www.yushiro.co.jp/news/社名変更のお知らせ
ERF-11: https://www.jimtof.org/2024/search/jp/ESdetails?e=He5z-J4NQm8</x:v>
      </x:c>
      <x:c r="U293" s="7" t="str">
        <x:v>2024・2026の原典全文を重点比較（公式社名変更で照合・10/18追補）</x:v>
      </x:c>
      <x:c r="V293" s="7" t="str">
        <x:v>クーラント監視・AI判断は未確認</x:v>
      </x:c>
      <x:c r="W293" s="7" t="str">
        <x:v>状態監視・可視化を説明。AI異常判定・補給量の自動決定は確認できない</x:v>
      </x:c>
      <x:c r="X293" s="7" t="str">
        <x:v>コントローラーと管理画面を展示予定。自動補給・調液の実行は未確認</x:v>
      </x:c>
      <x:c r="Y293" s="7" t="str">
        <x:v>未記載：液種設定・センサ校正・洗浄方法</x:v>
      </x:c>
      <x:c r="Z293" s="7" t="str">
        <x:v>未記載：濃度基準・警報後の補給／液交換の決定者</x:v>
      </x:c>
      <x:c r="AA293" s="7" t="str">
        <x:v>未記載：センサ汚れ・校正ずれ・通信断・異常液の扱い</x:v>
      </x:c>
      <x:c r="AB293" s="7" t="str">
        <x:v>旧社名の2024原典を照合済み。ALFREDの自動補給・AI判断・2024装置との接続／機能差は未確認。2024濃度補給の説明をALFREDの仕様へ流用しない</x:v>
      </x:c>
    </x:row>
    <x:row r="294" ht="170" customHeight="1">
      <x:c r="A294" s="7" t="str">
        <x:v>AC235</x:v>
      </x:c>
      <x:c r="B294" s="20" t="str">
        <x:v>ユナイテッドグラインディング株式会社</x:v>
      </x:c>
      <x:c r="C294" s="7" t="str">
        <x:v>UNITED GRINDING GROUP</x:v>
      </x:c>
      <x:c r="D294" s="7" t="str">
        <x:v>E8001</x:v>
      </x:c>
      <x:c r="E294" s="7" t="str">
        <x:v>工場運用DX
自動化</x:v>
      </x:c>
      <x:c r="F294" s="7" t="str">
        <x:v>出展説明の関連用途（個別タスクの分解は未完了）</x:v>
      </x:c>
      <x:c r="G294" s="7" t="str">
        <x:v>出展説明に記載。実装位置の個別精査はカードの方式・未確認欄を参照</x:v>
      </x:c>
      <x:c r="H294" s="7" t="str">
        <x:v>原典抜粋：工具製造から測定、自動化までをカバーするトータルソリューションをご紹介します。 / さらにBLOHM、JUNG、の技術・サービスもご紹介し、お客様の生産性向上、高精度化、自動化、省人化を支援します。 / ・AUTOMATED TOOL PRODUCTION（ATP）自動化責任者来日。 / 工具製造自動化のノウハウを直接ご相談いただけます。 / 工具製造、再研磨、測定、自動化までを含めたトータルソリューションをご提案いたします。</x:v>
      </x:c>
      <x:c r="I294" s="7" t="str">
        <x:v>個別入力の追加確認が必要</x:v>
      </x:c>
      <x:c r="J294" s="7" t="str">
        <x:v>原典抜粋：工具製造から測定、自動化までをカバーするトータルソリューションをご紹介します。 / さらにBLOHM、JUNG、の技術・サービスもご紹介し、お客様の生産性向上、高精度化、自動化、省人化を支援します。 / ・AUTOMATED TOOL PRODUCTION（ATP）自動化責任者来日。 / 工具製造自動化のノウハウを直接ご相談いただけます。 / 工具製造、再研磨、測定、自動化までを含めたトータルソリューションをご提案いたします。</x:v>
      </x:c>
      <x:c r="K294" s="7" t="str">
        <x:v>工具製造から測定、自動化までをカバーするトータルソリューションをご紹介します。 / さらにBLOHM、JUNG、の技術・サービスもご紹介し、お客様の生産性向上、高精度化、自動化、省人化を支援します。 / ・AUTOMATED TOOL PRODUCTION（ATP）自動化責任者来日。 / 工具製造自動化のノウハウを直接ご相談いただけます。 / 工具製造、再研磨、測定、自動化までを含めたトータルソリューションをご提案いたします。</x:v>
      </x:c>
      <x:c r="L294" s="7" t="str">
        <x:v>承認・例外対応・停止・復帰の境界は未確認</x:v>
      </x:c>
      <x:c r="M294" s="7" t="str">
        <x:v>同一正規化名称の2024詳細なし。新規出展・技術不存在とは判断しない。</x:v>
      </x:c>
      <x:c r="N294" s="7" t="str">
        <x:v>2026原典抜粋：工具製造から測定、自動化までをカバーするトータルソリューションをご紹介します。 / さらにBLOHM、JUNG、の技術・サービスもご紹介し、お客様の生産性向上、高精度化、自動化、省人化を支援します。 / ・AUTOMATED TOOL PRODUCTION（ATP）自動化責任者来日。 / 工具製造自動化のノウハウを直接ご相談いただけます。 / 工具製造、再研磨、測定、自動化までを含めたトータルソリューションをご提案いたします。</x:v>
      </x:c>
      <x:c r="O294" s="7" t="str">
        <x:v>2024個別比較不能</x:v>
      </x:c>
      <x:c r="P294" s="7" t="str">
        <x:v>2026公式カタログ掲載・現地未確認</x:v>
      </x:c>
      <x:c r="Q294" s="7" t="str">
        <x:v>2026展示予定。既存製品・参考出展・構想等は原典で個別確認</x:v>
      </x:c>
      <x:c r="R294" s="7" t="str">
        <x:v>どの作業を自動化・支援するか、入力と判断・操作の範囲、適用条件と人の残作業、2024からの機能差、採用・受注・効果の実測を確認する。</x:v>
      </x:c>
      <x:c r="S294" s="7" t="str">
        <x:v>EEX-EXH-2026-54c4a3eb1080a3bb</x:v>
      </x:c>
      <x:c r="T294" s="7" t="str">
        <x:v>EEX-EXH-2026-54c4a3eb1080a3bb: https://www.jimtof.org/search/jp/ESdetails?e=21UIMFf4EUI</x:v>
      </x:c>
      <x:c r="U294" s="7" t="str">
        <x:v>出展説明の関連箇所に基づく一次分類</x:v>
      </x:c>
      <x:c r="V294" s="7"/>
      <x:c r="W294" s="7"/>
      <x:c r="X294" s="7"/>
      <x:c r="Y294" s="7"/>
      <x:c r="Z294" s="7"/>
      <x:c r="AA294" s="7"/>
      <x:c r="AB294" s="7"/>
    </x:row>
    <x:row r="295" ht="170" customHeight="1">
      <x:c r="A295" s="7" t="str">
        <x:v>AC236</x:v>
      </x:c>
      <x:c r="B295" s="20" t="str">
        <x:v>ユナイテッドマシニング株式会社</x:v>
      </x:c>
      <x:c r="C295" s="7" t="str">
        <x:v>高精度3Dフェムト秒レーザ加工機、CUT P 350 ワイヤ放電加工機</x:v>
      </x:c>
      <x:c r="D295" s="7" t="str">
        <x:v>E8001</x:v>
      </x:c>
      <x:c r="E295" s="7" t="str">
        <x:v>工場運用DX
自動化</x:v>
      </x:c>
      <x:c r="F295" s="7" t="str">
        <x:v>出展説明の関連用途（個別タスクの分解は未完了）</x:v>
      </x:c>
      <x:c r="G295" s="7" t="str">
        <x:v>出展説明に記載。実装位置の個別精査はカードの方式・未確認欄を参照</x:v>
      </x:c>
      <x:c r="H295" s="7" t="str">
        <x:v>原典抜粋：さらに、高性能スピンドル、自動化、デジタル化ソリューションにより、直感的な操作を通じて生産性・効率・使いやすさを向上させます。</x:v>
      </x:c>
      <x:c r="I295" s="7" t="str">
        <x:v>個別入力の追加確認が必要</x:v>
      </x:c>
      <x:c r="J295" s="7" t="str">
        <x:v>原典抜粋：さらに、高性能スピンドル、自動化、デジタル化ソリューションにより、直感的な操作を通じて生産性・効率・使いやすさを向上させます。</x:v>
      </x:c>
      <x:c r="K295" s="7" t="str">
        <x:v>さらに、高性能スピンドル、自動化、デジタル化ソリューションにより、直感的な操作を通じて生産性・効率・使いやすさを向上させます。</x:v>
      </x:c>
      <x:c r="L295" s="7" t="str">
        <x:v>承認・例外対応・停止・復帰の境界は未確認</x:v>
      </x:c>
      <x:c r="M295" s="7" t="str">
        <x:v>同一正規化名称の2024詳細なし。新規出展・技術不存在とは判断しない。</x:v>
      </x:c>
      <x:c r="N295" s="7" t="str">
        <x:v>2026原典抜粋：さらに、高性能スピンドル、自動化、デジタル化ソリューションにより、直感的な操作を通じて生産性・効率・使いやすさを向上させます。</x:v>
      </x:c>
      <x:c r="O295" s="7" t="str">
        <x:v>2024個別比較不能</x:v>
      </x:c>
      <x:c r="P295" s="7" t="str">
        <x:v>2026公式カタログ掲載・現地未確認</x:v>
      </x:c>
      <x:c r="Q295" s="7" t="str">
        <x:v>2026展示予定。既存製品・参考出展・構想等は原典で個別確認</x:v>
      </x:c>
      <x:c r="R295" s="7" t="str">
        <x:v>どの作業を自動化・支援するか、入力と判断・操作の範囲、適用条件と人の残作業、2024からの機能差、採用・受注・効果の実測を確認する。</x:v>
      </x:c>
      <x:c r="S295" s="7" t="str">
        <x:v>EEX-EXH-2026-0c463f125124710f</x:v>
      </x:c>
      <x:c r="T295" s="7" t="str">
        <x:v>EEX-EXH-2026-0c463f125124710f: https://www.jimtof.org/search/jp/ESdetails?e=C2YWs9rQy3U</x:v>
      </x:c>
      <x:c r="U295" s="7" t="str">
        <x:v>出展説明の関連箇所に基づく一次分類</x:v>
      </x:c>
      <x:c r="V295" s="7"/>
      <x:c r="W295" s="7"/>
      <x:c r="X295" s="7"/>
      <x:c r="Y295" s="7"/>
      <x:c r="Z295" s="7"/>
      <x:c r="AA295" s="7"/>
      <x:c r="AB295" s="7"/>
    </x:row>
    <x:row r="296" ht="170" customHeight="1">
      <x:c r="A296" s="7" t="str">
        <x:v>AC238</x:v>
      </x:c>
      <x:c r="B296" s="20" t="str">
        <x:v>吉川鐵工株式会社</x:v>
      </x:c>
      <x:c r="C296" s="7" t="str">
        <x:v>①FRE-01搭載 XY卓上自動機</x:v>
      </x:c>
      <x:c r="D296" s="7" t="str">
        <x:v>E7055</x:v>
      </x:c>
      <x:c r="E296" s="7" t="str">
        <x:v>自動化</x:v>
      </x:c>
      <x:c r="F296" s="7" t="str">
        <x:v>出展説明の関連用途（個別タスクの分解は未完了）</x:v>
      </x:c>
      <x:c r="G296" s="7" t="str">
        <x:v>出展説明に記載。実装位置の個別精査はカードの方式・未確認欄を参照</x:v>
      </x:c>
      <x:c r="H296" s="7" t="str">
        <x:v>原典抜粋：【省人化・自動化】 / 供給・搬送・カシメ・取出しまで、工程の自動化 / ①FRE-01搭載 XY卓上自動機 / ②FRE-05+リベット自動供給装置+協働ロボット / 電動サーボタイプのリベッティング・マシンに、リベット自動供給装置及び協働ロボットアームを取付けた装置。 / 部品およびリベットの供給→組立→カシメ→搬出といった工程の自動化イメージをご紹介。</x:v>
      </x:c>
      <x:c r="I296" s="7" t="str">
        <x:v>個別入力の追加確認が必要</x:v>
      </x:c>
      <x:c r="J296" s="7" t="str">
        <x:v>原典抜粋：【省人化・自動化】 / 供給・搬送・カシメ・取出しまで、工程の自動化 / ①FRE-01搭載 XY卓上自動機 / ②FRE-05+リベット自動供給装置+協働ロボット / 電動サーボタイプのリベッティング・マシンに、リベット自動供給装置及び協働ロボットアームを取付けた装置。 / 部品およびリベットの供給→組立→カシメ→搬出といった工程の自動化イメージをご紹介。</x:v>
      </x:c>
      <x:c r="K296" s="7" t="str">
        <x:v>【省人化・自動化】 / 供給・搬送・カシメ・取出しまで、工程の自動化 / ①FRE-01搭載 XY卓上自動機 / ②FRE-05+リベット自動供給装置+協働ロボット / 電動サーボタイプのリベッティング・マシンに、リベット自動供給装置及び協働ロボットアームを取付けた装置。 / 部品およびリベットの供給→組立→カシメ→搬出といった工程の自動化イメージをご紹介。</x:v>
      </x:c>
      <x:c r="L296" s="7" t="str">
        <x:v>承認・例外対応・停止・復帰の境界は未確認</x:v>
      </x:c>
      <x:c r="M296" s="7" t="str">
        <x:v>2024原典抜粋：リベッティング・マシンにしか加工できない様々なカシメを紹介。 ・【生産性向上】リベット自動供給装置 ・【1工程で綺麗な仕上がり】絞り加工カシメ ・【カシメのカスタマイズ】様々なインサートによるリベット形状の違い ・【脱属人化】ユーザーフレンドリーな新型コントローラー ・【労働環境良化・疲労軽減】新型スイッチ ①FRE-05＋リベット自動供給＋協働ロボット 電動サーボタイプのリベッティング・マシンに、リベット自動供給装置及び協働ロボットアームを取付けた装置。部品及びリベットの供給→組立→カシメ→搬出といった工程の自動</x:v>
      </x:c>
      <x:c r="N296" s="7" t="str">
        <x:v>2026原典抜粋：【省人化・自動化】 / 供給・搬送・カシメ・取出しまで、工程の自動化 / ①FRE-01搭載 XY卓上自動機 / ②FRE-05+リベット自動供給装置+協働ロボット / 電動サーボタイプのリベッティング・マシンに、リベット自動供給装置及び協働ロボットアームを取付けた装置。 / 部品およびリベットの供給→組立→カシメ→搬出といった工程の自動化イメージをご紹介。</x:v>
      </x:c>
      <x:c r="O296" s="7" t="str">
        <x:v>両年原典あり・機能差未判定</x:v>
      </x:c>
      <x:c r="P296" s="7" t="str">
        <x:v>2026公式カタログ掲載・現地未確認</x:v>
      </x:c>
      <x:c r="Q296" s="7" t="str">
        <x:v>2026展示予定。既存製品・参考出展・構想等は原典で個別確認</x:v>
      </x:c>
      <x:c r="R296" s="7" t="str">
        <x:v>どの作業を自動化・支援するか、入力と判断・操作の範囲、適用条件と人の残作業、2024からの機能差、採用・受注・効果の実測を確認する。</x:v>
      </x:c>
      <x:c r="S296" s="7" t="str">
        <x:v>EEX-EXH-2026-43847f0d8d9f485f
EEX-EXH-2024-d565dd3e7eb0517e</x:v>
      </x:c>
      <x:c r="T296" s="7" t="str">
        <x:v>EEX-EXH-2026-43847f0d8d9f485f: https://www.jimtof.org/search/jp/ESdetails?e=HjByZxxPSok
EEX-EXH-2024-d565dd3e7eb0517e: https://www.jimtof.org/2024/search/jp/ESdetails?e=SnqZSY1MFMk</x:v>
      </x:c>
      <x:c r="U296" s="7" t="str">
        <x:v>出展説明の関連箇所に基づく一次分類</x:v>
      </x:c>
      <x:c r="V296" s="7"/>
      <x:c r="W296" s="7"/>
      <x:c r="X296" s="7"/>
      <x:c r="Y296" s="7"/>
      <x:c r="Z296" s="7"/>
      <x:c r="AA296" s="7"/>
      <x:c r="AB296" s="7"/>
    </x:row>
    <x:row r="297" ht="170" customHeight="1">
      <x:c r="A297" s="7" t="str">
        <x:v>AC240</x:v>
      </x:c>
      <x:c r="B297" s="20" t="str">
        <x:v>リタール株式会社</x:v>
      </x:c>
      <x:c r="C297" s="7" t="str">
        <x:v>制御盤用筐体 VX</x:v>
      </x:c>
      <x:c r="D297" s="7" t="str">
        <x:v>S1067</x:v>
      </x:c>
      <x:c r="E297" s="7" t="str">
        <x:v>設計・製造DX
工場運用DX
AI実装・連携基盤</x:v>
      </x:c>
      <x:c r="F297" s="7" t="str">
        <x:v>出展説明の関連用途（個別タスクの分解は未完了）</x:v>
      </x:c>
      <x:c r="G297" s="7" t="str">
        <x:v>出展説明に記載。実装位置の個別精査はカードの方式・未確認欄を参照</x:v>
      </x:c>
      <x:c r="H297" s="7" t="str">
        <x:v>原典抜粋：国際規格を多数取得、高い保護等級を有するリタールの盤用筐体や小型ボックス各種、工作機械の操作盤に最適の高さ調節式サポートアームシステム、オープンプラットフォームのバスバーシステム、そして、製造業のIoT化を推進するクーラー付ITラック・エッジコンピューティング用ラックも展示します。</x:v>
      </x:c>
      <x:c r="I297" s="7" t="str">
        <x:v>個別入力の追加確認が必要</x:v>
      </x:c>
      <x:c r="J297" s="7" t="str">
        <x:v>原典抜粋：国際規格を多数取得、高い保護等級を有するリタールの盤用筐体や小型ボックス各種、工作機械の操作盤に最適の高さ調節式サポートアームシステム、オープンプラットフォームのバスバーシステム、そして、製造業のIoT化を推進するクーラー付ITラック・エッジコンピューティング用ラックも展示します。</x:v>
      </x:c>
      <x:c r="K297" s="7" t="str">
        <x:v>国際規格を多数取得、高い保護等級を有するリタールの盤用筐体や小型ボックス各種、工作機械の操作盤に最適の高さ調節式サポートアームシステム、オープンプラットフォームのバスバーシステム、そして、製造業のIoT化を推進するクーラー付ITラック・エッジコンピューティング用ラックも展示します。</x:v>
      </x:c>
      <x:c r="L297" s="7" t="str">
        <x:v>承認・例外対応・停止・復帰の境界は未確認</x:v>
      </x:c>
      <x:c r="M297" s="7" t="str">
        <x:v>2024原典抜粋：「制御盤製造のデータ連携と実装」 電気設計から製造まで一貫したデジタルワークフローで、盤の設計・製造の効率化を実現できるソリューションをご紹介します。 Eplanの電気回路図設計「electric P8」、3Dレイアウト設計「Pro Panel」とリタールの盤筐体専用加工機「Perforex MT ミリングターミナル」、全自動電線加工機「WT C ワイヤターミナル」をデータでつなげることで、盤製造のバリューチェーンの最適化が生まれます。なお、今年９月に開設した制御盤製造DXを体験・検証できるショールーム「リタール </x:v>
      </x:c>
      <x:c r="N297" s="7" t="str">
        <x:v>2026原典抜粋：国際規格を多数取得、高い保護等級を有するリタールの盤用筐体や小型ボックス各種、工作機械の操作盤に最適の高さ調節式サポートアームシステム、オープンプラットフォームのバスバーシステム、そして、製造業のIoT化を推進するクーラー付ITラック・エッジコンピューティング用ラックも展示します。</x:v>
      </x:c>
      <x:c r="O297" s="7" t="str">
        <x:v>両年原典あり・機能差未判定</x:v>
      </x:c>
      <x:c r="P297" s="7" t="str">
        <x:v>2026公式カタログ掲載・現地未確認</x:v>
      </x:c>
      <x:c r="Q297" s="7" t="str">
        <x:v>2026展示予定。既存製品・参考出展・構想等は原典で個別確認</x:v>
      </x:c>
      <x:c r="R297" s="7" t="str">
        <x:v>どの作業を自動化・支援するか、入力と判断・操作の範囲、適用条件と人の残作業、2024からの機能差、採用・受注・効果の実測を確認する。</x:v>
      </x:c>
      <x:c r="S297" s="7" t="str">
        <x:v>EEX-EXH-2026-ede0d52617ac3762
EEX-EXH-2024-424d4201234fb682</x:v>
      </x:c>
      <x:c r="T297" s="7" t="str">
        <x:v>EEX-EXH-2026-ede0d52617ac3762: https://www.jimtof.org/search/jp/ESdetails?e=20GFOkXi--c
EEX-EXH-2024-424d4201234fb682: https://www.jimtof.org/2024/search/jp/ESdetails?e=0znDfGLD-WE</x:v>
      </x:c>
      <x:c r="U297" s="7" t="str">
        <x:v>出展説明の関連箇所に基づく一次分類</x:v>
      </x:c>
      <x:c r="V297" s="7"/>
      <x:c r="W297" s="7"/>
      <x:c r="X297" s="7"/>
      <x:c r="Y297" s="7"/>
      <x:c r="Z297" s="7"/>
      <x:c r="AA297" s="7"/>
      <x:c r="AB297" s="7"/>
    </x:row>
    <x:row r="298" ht="170" customHeight="1">
      <x:c r="A298" s="7" t="str">
        <x:v>AC241</x:v>
      </x:c>
      <x:c r="B298" s="20" t="str">
        <x:v>リックス株式会社</x:v>
      </x:c>
      <x:c r="C298" s="7" t="str">
        <x:v>ロータリージョイント</x:v>
      </x:c>
      <x:c r="D298" s="7" t="str">
        <x:v>E3024</x:v>
      </x:c>
      <x:c r="E298" s="7" t="str">
        <x:v>自動化</x:v>
      </x:c>
      <x:c r="F298" s="7" t="str">
        <x:v>出展説明の関連用途（個別タスクの分解は未完了）</x:v>
      </x:c>
      <x:c r="G298" s="7" t="str">
        <x:v>出展説明に記載。実装位置の個別精査はカードの方式・未確認欄を参照</x:v>
      </x:c>
      <x:c r="H298" s="7" t="str">
        <x:v>原典抜粋：ロータリージョイントをはじめとした工作機械の自動化・省エネを推進する注目製品をご紹介します。 / ■クーラント自動希釈装置</x:v>
      </x:c>
      <x:c r="I298" s="7" t="str">
        <x:v>個別入力の追加確認が必要</x:v>
      </x:c>
      <x:c r="J298" s="7" t="str">
        <x:v>原典抜粋：ロータリージョイントをはじめとした工作機械の自動化・省エネを推進する注目製品をご紹介します。 / ■クーラント自動希釈装置</x:v>
      </x:c>
      <x:c r="K298" s="7" t="str">
        <x:v>ロータリージョイントをはじめとした工作機械の自動化・省エネを推進する注目製品をご紹介します。 / ■クーラント自動希釈装置</x:v>
      </x:c>
      <x:c r="L298" s="7" t="str">
        <x:v>承認・例外対応・停止・復帰の境界は未確認</x:v>
      </x:c>
      <x:c r="M298" s="7" t="str">
        <x:v>2024原典抜粋：今回は各テーマに沿った弊社製品をご紹介いたします。 ①半導体産業への貢献 セラミック加工・長時間連続加工・ワンチャック加工時のロータリージョイントのご紹介 精密微細洗浄を可能とするマイクロアイスジェット ②医療機器産業への貢献 難削材(チタン合金、コバルト合金等)の加工・ドライエア加工時のロータリージョイント Fusionシステム(超臨界CO²発生装置)で難削材加工における生産性向上（刃物寿命向上）を提案 ③SDGs（EV化）への貢献 エア消費量削減・省エネ・環境・SDGsに沿った製品の提案 オイルスキマー、パルス</x:v>
      </x:c>
      <x:c r="N298" s="7" t="str">
        <x:v>2026原典抜粋：ロータリージョイントをはじめとした工作機械の自動化・省エネを推進する注目製品をご紹介します。 / ■クーラント自動希釈装置</x:v>
      </x:c>
      <x:c r="O298" s="7" t="str">
        <x:v>両年原典あり・機能差未判定</x:v>
      </x:c>
      <x:c r="P298" s="7" t="str">
        <x:v>2026公式カタログ掲載・現地未確認</x:v>
      </x:c>
      <x:c r="Q298" s="7" t="str">
        <x:v>2026展示予定。既存製品・参考出展・構想等は原典で個別確認</x:v>
      </x:c>
      <x:c r="R298" s="7" t="str">
        <x:v>どの作業を自動化・支援するか、入力と判断・操作の範囲、適用条件と人の残作業、2024からの機能差、採用・受注・効果の実測を確認する。</x:v>
      </x:c>
      <x:c r="S298" s="7" t="str">
        <x:v>EEX-EXH-2026-fbf9f0b05c61b8ad
EEX-EXH-2024-68836db8cd056da8</x:v>
      </x:c>
      <x:c r="T298" s="7" t="str">
        <x:v>EEX-EXH-2026-fbf9f0b05c61b8ad: https://www.jimtof.org/search/jp/ESdetails?e=ym7ttKJCHb4
EEX-EXH-2024-68836db8cd056da8: https://www.jimtof.org/2024/search/jp/ESdetails?e=pNPnTS5-vOI</x:v>
      </x:c>
      <x:c r="U298" s="7" t="str">
        <x:v>出展説明の関連箇所に基づく一次分類</x:v>
      </x:c>
      <x:c r="V298" s="7"/>
      <x:c r="W298" s="7"/>
      <x:c r="X298" s="7"/>
      <x:c r="Y298" s="7"/>
      <x:c r="Z298" s="7"/>
      <x:c r="AA298" s="7"/>
      <x:c r="AB298" s="7"/>
    </x:row>
    <x:row r="299" ht="170" customHeight="1">
      <x:c r="A299" s="7" t="str">
        <x:v>AC242</x:v>
      </x:c>
      <x:c r="B299" s="20" t="str">
        <x:v>菱高精機株式会社</x:v>
      </x:c>
      <x:c r="C299" s="7" t="str">
        <x:v>CNC自動ドリルホーニング加工専用機 「ORION+」</x:v>
      </x:c>
      <x:c r="D299" s="7" t="str">
        <x:v>W1014</x:v>
      </x:c>
      <x:c r="E299" s="7" t="str">
        <x:v>自動化</x:v>
      </x:c>
      <x:c r="F299" s="7" t="str">
        <x:v>出展説明の関連用途（個別タスクの分解は未完了）</x:v>
      </x:c>
      <x:c r="G299" s="7" t="str">
        <x:v>出展説明に記載。実装位置の個別精査はカードの方式・未確認欄を参照</x:v>
      </x:c>
      <x:c r="H299" s="7" t="str">
        <x:v>原典抜粋：清掃用工具(切屑を人の手から自動化へ清掃する工具) / CNC自動ドリルホーニング加工専用機 「ORION+」 / 自動清掃用工具「Titan」</x:v>
      </x:c>
      <x:c r="I299" s="7" t="str">
        <x:v>個別入力の追加確認が必要</x:v>
      </x:c>
      <x:c r="J299" s="7" t="str">
        <x:v>原典抜粋：清掃用工具(切屑を人の手から自動化へ清掃する工具) / CNC自動ドリルホーニング加工専用機 「ORION+」 / 自動清掃用工具「Titan」</x:v>
      </x:c>
      <x:c r="K299" s="7" t="str">
        <x:v>清掃用工具(切屑を人の手から自動化へ清掃する工具) / CNC自動ドリルホーニング加工専用機 「ORION+」 / 自動清掃用工具「Titan」</x:v>
      </x:c>
      <x:c r="L299" s="7" t="str">
        <x:v>承認・例外対応・停止・復帰の境界は未確認</x:v>
      </x:c>
      <x:c r="M299" s="7" t="str">
        <x:v>2024原典抜粋：穴加工なら菱高精機にお任せください。 今回の展示では、新製品コーナーだけでなく時代の変化に適応した新たな工具など、多彩な製品をご紹介します。 また、参考出品のアイテムも豊富に取り揃えております。ぜひ、W1022ブースにお立ち寄りください。 ・ドリル「深穴加工用」「高硬度用」「ロウ付け」 ・サ―メットリーマ「ヘッド交換式」「ソリッド」「ロウ付け」 ・T-KOCHIシリーズ「低価格工具シリーズ」 ・裏ザグリ工具バックファイヤー ・自動清掃用工具Titan ・その他参考出品「多数」 ・CNC自動5軸工具研削盤イプシロン </x:v>
      </x:c>
      <x:c r="N299" s="7" t="str">
        <x:v>2026原典抜粋：清掃用工具(切屑を人の手から自動化へ清掃する工具) / CNC自動ドリルホーニング加工専用機 「ORION+」 / 自動清掃用工具「Titan」</x:v>
      </x:c>
      <x:c r="O299" s="7" t="str">
        <x:v>両年原典あり・機能差未判定</x:v>
      </x:c>
      <x:c r="P299" s="7" t="str">
        <x:v>2026公式カタログ掲載・現地未確認</x:v>
      </x:c>
      <x:c r="Q299" s="7" t="str">
        <x:v>2026展示予定。既存製品・参考出展・構想等は原典で個別確認</x:v>
      </x:c>
      <x:c r="R299" s="7" t="str">
        <x:v>どの作業を自動化・支援するか、入力と判断・操作の範囲、適用条件と人の残作業、2024からの機能差、採用・受注・効果の実測を確認する。</x:v>
      </x:c>
      <x:c r="S299" s="7" t="str">
        <x:v>EEX-EXH-2026-1f5c719008ea72e9
EEX-EXH-2024-1d35799d3bdb2b7a</x:v>
      </x:c>
      <x:c r="T299" s="7" t="str">
        <x:v>EEX-EXH-2026-1f5c719008ea72e9: https://www.jimtof.org/search/jp/ESdetails?e=NwMMephg4LA
EEX-EXH-2024-1d35799d3bdb2b7a: https://www.jimtof.org/2024/search/jp/ESdetails?e=TKbYZS8t9TM</x:v>
      </x:c>
      <x:c r="U299" s="7" t="str">
        <x:v>出展説明の関連箇所に基づく一次分類</x:v>
      </x:c>
      <x:c r="V299" s="7"/>
      <x:c r="W299" s="7"/>
      <x:c r="X299" s="7"/>
      <x:c r="Y299" s="7"/>
      <x:c r="Z299" s="7"/>
      <x:c r="AA299" s="7"/>
      <x:c r="AB299" s="7"/>
    </x:row>
    <x:row r="300" ht="170" customHeight="1">
      <x:c r="A300" s="7" t="str">
        <x:v>AC243</x:v>
      </x:c>
      <x:c r="B300" s="20" t="str">
        <x:v>ロームヘルド・ハルダー株式会社</x:v>
      </x:c>
      <x:c r="C300" s="7" t="str">
        <x:v>マシンバイス、ネジ山リフティングピン、ハンマー、電動スイングクランプ</x:v>
      </x:c>
      <x:c r="D300" s="7" t="str">
        <x:v>W2003</x:v>
      </x:c>
      <x:c r="E300" s="7" t="str">
        <x:v>自動化</x:v>
      </x:c>
      <x:c r="F300" s="7" t="str">
        <x:v>出展説明の関連用途（個別タスクの分解は未完了）</x:v>
      </x:c>
      <x:c r="G300" s="7" t="str">
        <x:v>出展説明に記載。実装位置の個別精査はカードの方式・未確認欄を参照</x:v>
      </x:c>
      <x:c r="H300" s="7" t="str">
        <x:v>原典抜粋：・これからの自動化に貢献する電動スイングクランプの動作デモ</x:v>
      </x:c>
      <x:c r="I300" s="7" t="str">
        <x:v>個別入力の追加確認が必要</x:v>
      </x:c>
      <x:c r="J300" s="7" t="str">
        <x:v>原典抜粋：・これからの自動化に貢献する電動スイングクランプの動作デモ</x:v>
      </x:c>
      <x:c r="K300" s="7" t="str">
        <x:v>・これからの自動化に貢献する電動スイングクランプの動作デモ</x:v>
      </x:c>
      <x:c r="L300" s="7" t="str">
        <x:v>承認・例外対応・停止・復帰の境界は未確認</x:v>
      </x:c>
      <x:c r="M300" s="7" t="str">
        <x:v>同一正規化名称の2024詳細なし。新規出展・技術不存在とは判断しない。</x:v>
      </x:c>
      <x:c r="N300" s="7" t="str">
        <x:v>2026原典抜粋：・これからの自動化に貢献する電動スイングクランプの動作デモ</x:v>
      </x:c>
      <x:c r="O300" s="7" t="str">
        <x:v>2024個別比較不能</x:v>
      </x:c>
      <x:c r="P300" s="7" t="str">
        <x:v>2026公式カタログ掲載・現地未確認</x:v>
      </x:c>
      <x:c r="Q300" s="7" t="str">
        <x:v>2026展示予定。既存製品・参考出展・構想等は原典で個別確認</x:v>
      </x:c>
      <x:c r="R300" s="7" t="str">
        <x:v>どの作業を自動化・支援するか、入力と判断・操作の範囲、適用条件と人の残作業、2024からの機能差、採用・受注・効果の実測を確認する。</x:v>
      </x:c>
      <x:c r="S300" s="7" t="str">
        <x:v>EEX-EXH-2026-e4d55b299fa70670</x:v>
      </x:c>
      <x:c r="T300" s="7" t="str">
        <x:v>EEX-EXH-2026-e4d55b299fa70670: https://www.jimtof.org/search/jp/ESdetails?e=ouI_rRePhFc</x:v>
      </x:c>
      <x:c r="U300" s="7" t="str">
        <x:v>出展説明の関連箇所に基づく一次分類</x:v>
      </x:c>
      <x:c r="V300" s="7"/>
      <x:c r="W300" s="7"/>
      <x:c r="X300" s="7"/>
      <x:c r="Y300" s="7"/>
      <x:c r="Z300" s="7"/>
      <x:c r="AA300" s="7"/>
      <x:c r="AB300" s="7"/>
    </x:row>
    <x:row r="301" ht="170" customHeight="1">
      <x:c r="A301" s="7" t="str">
        <x:v>AC244</x:v>
      </x:c>
      <x:c r="B301" s="20" t="str">
        <x:v>碌々スマートテクノロジー株式会社</x:v>
      </x:c>
      <x:c r="C301" s="7" t="str">
        <x:v>超高精度高速微細加工機　AndroidⅢ</x:v>
      </x:c>
      <x:c r="D301" s="7" t="str">
        <x:v>E2025</x:v>
      </x:c>
      <x:c r="E301" s="7" t="str">
        <x:v>工場運用DX
自動化</x:v>
      </x:c>
      <x:c r="F301" s="7" t="str">
        <x:v>出展説明の関連用途（個別タスクの分解は未完了）</x:v>
      </x:c>
      <x:c r="G301" s="7" t="str">
        <x:v>出展説明に記載。実装位置の個別精査はカードの方式・未確認欄を参照</x:v>
      </x:c>
      <x:c r="H301" s="7" t="str">
        <x:v>原典抜粋：微細加工における「困りごと」である加工技術、補正技術、可視化技術、計測技術、予測技術、自動化技術など、さまざまな課題の解決に向けて、お客様の課題解決と成果創出に貢献するソリューションカンパニーとして、最適なご提案をいたします。</x:v>
      </x:c>
      <x:c r="I301" s="7" t="str">
        <x:v>個別入力の追加確認が必要</x:v>
      </x:c>
      <x:c r="J301" s="7" t="str">
        <x:v>原典抜粋：微細加工における「困りごと」である加工技術、補正技術、可視化技術、計測技術、予測技術、自動化技術など、さまざまな課題の解決に向けて、お客様の課題解決と成果創出に貢献するソリューションカンパニーとして、最適なご提案をいたします。</x:v>
      </x:c>
      <x:c r="K301" s="7" t="str">
        <x:v>微細加工における「困りごと」である加工技術、補正技術、可視化技術、計測技術、予測技術、自動化技術など、さまざまな課題の解決に向けて、お客様の課題解決と成果創出に貢献するソリューションカンパニーとして、最適なご提案をいたします。</x:v>
      </x:c>
      <x:c r="L301" s="7" t="str">
        <x:v>承認・例外対応・停止・復帰の境界は未確認</x:v>
      </x:c>
      <x:c r="M301" s="7" t="str">
        <x:v>2024原典抜粋：当社の出展テーマは「微細加工のソリューションカンパニーへ」。 切削加工だけではなく、研削加工までを網羅する複合微細加工機、高精度加工と自動搬送を両立したMEGA、新たに高速主軸を手に入れたVisionを出展いたします。 加えて、本展示会ではマシンだけではなく最新の加工サンプルや画期的なソフトウェアを展示します。是非、新生碌々のトータルソリューション提案を会場でご覧ください。 複合仕様コンセプトマシン 高精度高速小径微細加工機「MEGA-Ⅶ」 超高精度高速微細加工機「Vision-600」</x:v>
      </x:c>
      <x:c r="N301" s="7" t="str">
        <x:v>2026原典抜粋：微細加工における「困りごと」である加工技術、補正技術、可視化技術、計測技術、予測技術、自動化技術など、さまざまな課題の解決に向けて、お客様の課題解決と成果創出に貢献するソリューションカンパニーとして、最適なご提案をいたします。</x:v>
      </x:c>
      <x:c r="O301" s="7" t="str">
        <x:v>両年原典あり・機能差未判定</x:v>
      </x:c>
      <x:c r="P301" s="7" t="str">
        <x:v>2026公式カタログ掲載・現地未確認</x:v>
      </x:c>
      <x:c r="Q301" s="7" t="str">
        <x:v>2026展示予定。既存製品・参考出展・構想等は原典で個別確認</x:v>
      </x:c>
      <x:c r="R301" s="7" t="str">
        <x:v>どの作業を自動化・支援するか、入力と判断・操作の範囲、適用条件と人の残作業、2024からの機能差、採用・受注・効果の実測を確認する。</x:v>
      </x:c>
      <x:c r="S301" s="7" t="str">
        <x:v>EEX-EXH-2026-06412089488b96b5
EEX-EXH-2024-7450f69b863569d6</x:v>
      </x:c>
      <x:c r="T301" s="7" t="str">
        <x:v>EEX-EXH-2026-06412089488b96b5: https://www.jimtof.org/search/jp/ESdetails?e=qZD6fx1n_QM
EEX-EXH-2024-7450f69b863569d6: https://www.jimtof.org/2024/search/jp/ESdetails?e=5YM1aAp3B-4</x:v>
      </x:c>
      <x:c r="U301" s="7" t="str">
        <x:v>出展説明の関連箇所に基づく一次分類</x:v>
      </x:c>
      <x:c r="V301" s="7"/>
      <x:c r="W301" s="7"/>
      <x:c r="X301" s="7"/>
      <x:c r="Y301" s="7"/>
      <x:c r="Z301" s="7"/>
      <x:c r="AA301" s="7"/>
      <x:c r="AB301" s="7"/>
    </x:row>
    <x:row r="302" ht="170" customHeight="1">
      <x:c r="A302" s="7" t="str">
        <x:v>AC245</x:v>
      </x:c>
      <x:c r="B302" s="20" t="str">
        <x:v>Rollomatic Japan株式会社</x:v>
      </x:c>
      <x:c r="C302" s="7" t="str">
        <x:v>Road to Automation：工具研削の自律性向上提案</x:v>
      </x:c>
      <x:c r="D302" s="7" t="str">
        <x:v>S2005</x:v>
      </x:c>
      <x:c r="E302" s="7" t="str">
        <x:v>工場運用DX
自動化
自律化</x:v>
      </x:c>
      <x:c r="F302" s="7" t="str">
        <x:v>工具研削の段階的な自動化支援</x:v>
      </x:c>
      <x:c r="G302" s="7" t="str">
        <x:v>Road to Automationの6段階の提案。個別実装先は未特定</x:v>
      </x:c>
      <x:c r="H302" s="7" t="str">
        <x:v>研削・接続・支援を段階的に提案</x:v>
      </x:c>
      <x:c r="I302" s="7" t="str">
        <x:v>個別機能の入力・判断対象は記述不足</x:v>
      </x:c>
      <x:c r="J302" s="7" t="str">
        <x:v>研削高度化、接続、情報・教育・運用支援を含む6段階の自動化を提案。</x:v>
      </x:c>
      <x:c r="K302" s="7" t="str">
        <x:v>研削・接続・支援を段階的に提案</x:v>
      </x:c>
      <x:c r="L302" s="7" t="str">
        <x:v>承認・例外対応・停止・復帰の境界は未確認</x:v>
      </x:c>
      <x:c r="M302" s="7" t="str">
        <x:v>同一名称の2024詳細なし。</x:v>
      </x:c>
      <x:c r="N302" s="7" t="str">
        <x:v>研削高度化、接続、情報・教育・運用支援を含む6段階の自動化を提案。</x:v>
      </x:c>
      <x:c r="O302" s="7" t="str">
        <x:v>2024個別比較不能</x:v>
      </x:c>
      <x:c r="P302" s="7" t="str">
        <x:v>2026公式カタログ掲載・現地未確認</x:v>
      </x:c>
      <x:c r="Q302" s="7" t="str">
        <x:v>2026展示予定。既存製品・参考出展・構想等は原典で個別確認</x:v>
      </x:c>
      <x:c r="R302" s="7" t="str">
        <x:v>どの製品が測定・条件変更・再試行を担うか。通常自動化から自律性を高める具体機能は。</x:v>
      </x:c>
      <x:c r="S302" s="7" t="str">
        <x:v>EEX-EXH-2026-d26755a7bc74fe39</x:v>
      </x:c>
      <x:c r="T302" s="7" t="str">
        <x:v>EEX-EXH-2026-d26755a7bc74fe39: https://www.jimtof.org/search/jp/ESdetails?e=9af8P2FUMY8</x:v>
      </x:c>
      <x:c r="U302" s="7" t="str">
        <x:v>2026の原典全文を重点整理・2024同名原典なし</x:v>
      </x:c>
      <x:c r="V302" s="7"/>
      <x:c r="W302" s="7"/>
      <x:c r="X302" s="7"/>
      <x:c r="Y302" s="7"/>
      <x:c r="Z302" s="7"/>
      <x:c r="AA302" s="7"/>
      <x:c r="AB302" s="7"/>
    </x:row>
    <x:row r="303" ht="170" customHeight="1">
      <x:c r="A303" s="7" t="str">
        <x:v>AC246</x:v>
      </x:c>
      <x:c r="B303" s="20" t="str">
        <x:v>YKT株式会社</x:v>
      </x:c>
      <x:c r="C303" s="7" t="str">
        <x:v>【実機出展】</x:v>
      </x:c>
      <x:c r="D303" s="7" t="str">
        <x:v>E2026</x:v>
      </x:c>
      <x:c r="E303" s="7" t="str">
        <x:v>工場運用DX
自動化</x:v>
      </x:c>
      <x:c r="F303" s="7" t="str">
        <x:v>出展説明の関連用途（個別タスクの分解は未完了）</x:v>
      </x:c>
      <x:c r="G303" s="7" t="str">
        <x:v>出展説明に記載。実装位置の個別精査はカードの方式・未確認欄を参照</x:v>
      </x:c>
      <x:c r="H303" s="7" t="str">
        <x:v>原典抜粋：創業102年を迎える当社は、工具研削盤、切削工具表面処理工程の自動化ソリューション、マルチセンサ三次元測定機などを中心に、製造現場の課題解決を支援しています。 / 今回のJIMTOFでは、自動化・測定・データ活用を組み合わせたスマートファクトリを提案し、生産性の向上と持続的な競争力の強化に貢献します。 / ■NAVIEDGE / ナビエッジ 自律搬送ロボット Smart Grasper・Smart 250TRS、自動測定セル Multi</x:v>
      </x:c>
      <x:c r="I303" s="7" t="str">
        <x:v>個別入力の追加確認が必要</x:v>
      </x:c>
      <x:c r="J303" s="7" t="str">
        <x:v>原典抜粋：創業102年を迎える当社は、工具研削盤、切削工具表面処理工程の自動化ソリューション、マルチセンサ三次元測定機などを中心に、製造現場の課題解決を支援しています。 / 今回のJIMTOFでは、自動化・測定・データ活用を組み合わせたスマートファクトリを提案し、生産性の向上と持続的な競争力の強化に貢献します。 / ■NAVIEDGE / ナビエッジ 自律搬送ロボット Smart Grasper・Smart 250TRS、自動測定セル Multi</x:v>
      </x:c>
      <x:c r="K303" s="7" t="str">
        <x:v>創業102年を迎える当社は、工具研削盤、切削工具表面処理工程の自動化ソリューション、マルチセンサ三次元測定機などを中心に、製造現場の課題解決を支援しています。 / 今回のJIMTOFでは、自動化・測定・データ活用を組み合わせたスマートファクトリを提案し、生産性の向上と持続的な競争力の強化に貢献します。 / ■NAVIEDGE / ナビエッジ 自律搬送ロボット Smart Grasper・Smart 250TRS、自動測定セル Multi</x:v>
      </x:c>
      <x:c r="L303" s="7" t="str">
        <x:v>承認・例外対応・停止・復帰の境界は未確認</x:v>
      </x:c>
      <x:c r="M303" s="7" t="str">
        <x:v>2024原典抜粋：今年で創業100年を迎えます当社は、これまで工作機械と測定機で別々のカテゴリーに出展していたブースを一堂にまとめ、過去最大出展小間数60小間で参加いたします。工具研削盤や電解加工機、マルチセンサ三次元測定機を中心に、昨今ますます多様化する現場の課題を解決すべく、今年も最先端のトップ・ニッチ・テクノロジーを皆さまにお届けします。 【本邦初公開】 ■PEMTEC / ペムテック[仏] 省スペース精密電解加工機 PEM3.1 SX *11/7の出展社セミナーにて紹介予定 ■OGP / オージーピー[米] マルチセンサ三次</x:v>
      </x:c>
      <x:c r="N303" s="7" t="str">
        <x:v>2026原典抜粋：創業102年を迎える当社は、工具研削盤、切削工具表面処理工程の自動化ソリューション、マルチセンサ三次元測定機などを中心に、製造現場の課題解決を支援しています。 / 今回のJIMTOFでは、自動化・測定・データ活用を組み合わせたスマートファクトリを提案し、生産性の向上と持続的な競争力の強化に貢献します。 / ■NAVIEDGE / ナビエッジ 自律搬送ロボット Smart Grasper・Smart 250TRS、自動測定セル Multi</x:v>
      </x:c>
      <x:c r="O303" s="7" t="str">
        <x:v>両年原典あり・機能差未判定</x:v>
      </x:c>
      <x:c r="P303" s="7" t="str">
        <x:v>2026公式カタログ掲載・現地未確認</x:v>
      </x:c>
      <x:c r="Q303" s="7" t="str">
        <x:v>2026展示予定。既存製品・参考出展・構想等は原典で個別確認</x:v>
      </x:c>
      <x:c r="R303" s="7" t="str">
        <x:v>どの作業を自動化・支援するか、入力と判断・操作の範囲、適用条件と人の残作業、2024からの機能差、採用・受注・効果の実測を確認する。</x:v>
      </x:c>
      <x:c r="S303" s="7" t="str">
        <x:v>EEX-EXH-2026-28ad6ce1ddaebaa7
EEX-EXH-2024-5c82866e26c8bb9f</x:v>
      </x:c>
      <x:c r="T303" s="7" t="str">
        <x:v>EEX-EXH-2026-28ad6ce1ddaebaa7: https://www.jimtof.org/search/jp/ESdetails?e=nYvFR1vpbuE
EEX-EXH-2024-5c82866e26c8bb9f: https://www.jimtof.org/2024/search/jp/ESdetails?e=IFzm2OL8VZo</x:v>
      </x:c>
      <x:c r="U303" s="7" t="str">
        <x:v>出展説明の関連箇所に基づく一次分類</x:v>
      </x:c>
      <x:c r="V303" s="7"/>
      <x:c r="W303" s="7"/>
      <x:c r="X303" s="7"/>
      <x:c r="Y303" s="7"/>
      <x:c r="Z303" s="7"/>
      <x:c r="AA303" s="7"/>
      <x:c r="AB303" s="7"/>
    </x:row>
    <x:row r="304" ht="170" customHeight="1">
      <x:c r="A304" s="7" t="str">
        <x:v>AC247</x:v>
      </x:c>
      <x:c r="B304" s="20" t="str">
        <x:v>株式会社和井田製作所</x:v>
      </x:c>
      <x:c r="C304" s="7" t="str">
        <x:v>1. デジタルプロファイル研削盤 SPG-XV：AR砥石表示とリアルタイムギャップ表示で加工状態を見える化し、スキルレスで高精度・高再現性の加工を実現</x:v>
      </x:c>
      <x:c r="D304" s="7" t="str">
        <x:v>E7098</x:v>
      </x:c>
      <x:c r="E304" s="7" t="str">
        <x:v>自動化</x:v>
      </x:c>
      <x:c r="F304" s="7" t="str">
        <x:v>出展説明の関連用途（個別タスクの分解は未完了）</x:v>
      </x:c>
      <x:c r="G304" s="7" t="str">
        <x:v>出展説明に記載。実装位置の個別精査はカードの方式・未確認欄を参照</x:v>
      </x:c>
      <x:c r="H304" s="7" t="str">
        <x:v>原典抜粋：1. デジタルプロファイル研削盤 SPG-XV：AR砥石表示とリアルタイムギャップ表示で加工状態を見える化し、スキルレスで高精度・高再現性の加工を実現します。 / 3.全自動インサート外周研削盤 APX-40W：ワーク傾き計測装置によりダイレクトクラ / 4.全自動6軸刃先研削盤 GIG-202：全自動5軸インサート研削盤に回転割出装置を追加した6軸機。 / 交換式ボールカッターなど直刃工具の刃先加工に対応し、HSKツーリングによる自動</x:v>
      </x:c>
      <x:c r="I304" s="7" t="str">
        <x:v>個別入力の追加確認が必要</x:v>
      </x:c>
      <x:c r="J304" s="7" t="str">
        <x:v>原典抜粋：1. デジタルプロファイル研削盤 SPG-XV：AR砥石表示とリアルタイムギャップ表示で加工状態を見える化し、スキルレスで高精度・高再現性の加工を実現します。 / 3.全自動インサート外周研削盤 APX-40W：ワーク傾き計測装置によりダイレクトクラ / 4.全自動6軸刃先研削盤 GIG-202：全自動5軸インサート研削盤に回転割出装置を追加した6軸機。 / 交換式ボールカッターなど直刃工具の刃先加工に対応し、HSKツーリングによる自動</x:v>
      </x:c>
      <x:c r="K304" s="7" t="str">
        <x:v>1. デジタルプロファイル研削盤 SPG-XV：AR砥石表示とリアルタイムギャップ表示で加工状態を見える化し、スキルレスで高精度・高再現性の加工を実現します。 / 3.全自動インサート外周研削盤 APX-40W：ワーク傾き計測装置によりダイレクトクラ / 4.全自動6軸刃先研削盤 GIG-202：全自動5軸インサート研削盤に回転割出装置を追加した6軸機。 / 交換式ボールカッターなど直刃工具の刃先加工に対応し、HSKツーリングによる自動</x:v>
      </x:c>
      <x:c r="L304" s="7" t="str">
        <x:v>承認・例外対応・停止・復帰の境界は未確認</x:v>
      </x:c>
      <x:c r="M304" s="7" t="str">
        <x:v>2024原典抜粋：「研削盤の新時代 ～自動化と究極の精度の融合～」をテーマに5種類の機種をご紹介いたします。 出展機種：SPG-Z1(NEW!)、APX-30(NEW!)、SPG-XV、SJG-L1、DCG-G1 1. デジタルプロファイル研削盤 SPG-Z1：デジタルプロファイル研削盤に協働ロボットとATC/AWCを搭載。自動加工だけではなく、オペレーターによる加工も想定したフレキシブルな運用を可能とし、新たなプロファイル研削盤の自動化を提案いたします。 2.全自動インサート外周研削盤 APX-30 ：サイクルタイム低減、消費電力</x:v>
      </x:c>
      <x:c r="N304" s="7" t="str">
        <x:v>2026原典抜粋：1. デジタルプロファイル研削盤 SPG-XV：AR砥石表示とリアルタイムギャップ表示で加工状態を見える化し、スキルレスで高精度・高再現性の加工を実現します。 / 3.全自動インサート外周研削盤 APX-40W：ワーク傾き計測装置によりダイレクトクラ / 4.全自動6軸刃先研削盤 GIG-202：全自動5軸インサート研削盤に回転割出装置を追加した6軸機。 / 交換式ボールカッターなど直刃工具の刃先加工に対応し、HSKツーリングによる自動</x:v>
      </x:c>
      <x:c r="O304" s="7" t="str">
        <x:v>両年原典あり・機能差未判定</x:v>
      </x:c>
      <x:c r="P304" s="7" t="str">
        <x:v>2026公式カタログ掲載・現地未確認</x:v>
      </x:c>
      <x:c r="Q304" s="7" t="str">
        <x:v>2026展示予定。既存製品・参考出展・構想等は原典で個別確認</x:v>
      </x:c>
      <x:c r="R304" s="7" t="str">
        <x:v>どの作業を自動化・支援するか、入力と判断・操作の範囲、適用条件と人の残作業、2024からの機能差、採用・受注・効果の実測を確認する。</x:v>
      </x:c>
      <x:c r="S304" s="7" t="str">
        <x:v>EEX-EXH-2026-891a0e945d6e08f6
EEX-EXH-2024-271be5192fb3fe5e</x:v>
      </x:c>
      <x:c r="T304" s="7" t="str">
        <x:v>EEX-EXH-2026-891a0e945d6e08f6: https://www.jimtof.org/search/jp/ESdetails?e=TQR71SThQ18
EEX-EXH-2024-271be5192fb3fe5e: https://www.jimtof.org/2024/search/jp/ESdetails?e=Dl9ua3W17WE</x:v>
      </x:c>
      <x:c r="U304" s="7" t="str">
        <x:v>出展説明の関連箇所に基づく一次分類</x:v>
      </x:c>
      <x:c r="V304" s="7"/>
      <x:c r="W304" s="7"/>
      <x:c r="X304" s="7"/>
      <x:c r="Y304" s="7"/>
      <x:c r="Z304" s="7"/>
      <x:c r="AA304" s="7"/>
      <x:c r="AB304" s="7"/>
    </x:row>
    <x:row r="305" ht="170" customHeight="1">
      <x:c r="A305" s="7" t="str">
        <x:v>AC248</x:v>
      </x:c>
      <x:c r="B305" s="20" t="str">
        <x:v>Agie Charmilles SA</x:v>
      </x:c>
      <x:c r="C305" s="7" t="str">
        <x:v>CUT P 350　ワイヤ放電加工機</x:v>
      </x:c>
      <x:c r="D305" s="7" t="str">
        <x:v>E8001</x:v>
      </x:c>
      <x:c r="E305" s="7" t="str">
        <x:v>自動化</x:v>
      </x:c>
      <x:c r="F305" s="7" t="str">
        <x:v>出展説明の関連用途（個別タスクの分解は未完了）</x:v>
      </x:c>
      <x:c r="G305" s="7" t="str">
        <x:v>出展説明に記載。実装位置の個別精査はカードの方式・未確認欄を参照</x:v>
      </x:c>
      <x:c r="H305" s="7" t="str">
        <x:v>原典抜粋：当社の自動化対応システムは、金型加工と精密部品加工を支え、高精度、信頼性、性能を提供します。</x:v>
      </x:c>
      <x:c r="I305" s="7" t="str">
        <x:v>個別入力の追加確認が必要</x:v>
      </x:c>
      <x:c r="J305" s="7" t="str">
        <x:v>原典抜粋：当社の自動化対応システムは、金型加工と精密部品加工を支え、高精度、信頼性、性能を提供します。</x:v>
      </x:c>
      <x:c r="K305" s="7" t="str">
        <x:v>当社の自動化対応システムは、金型加工と精密部品加工を支え、高精度、信頼性、性能を提供します。</x:v>
      </x:c>
      <x:c r="L305" s="7" t="str">
        <x:v>承認・例外対応・停止・復帰の境界は未確認</x:v>
      </x:c>
      <x:c r="M305" s="7" t="str">
        <x:v>同一正規化名称の2024詳細なし。新規出展・技術不存在とは判断しない。</x:v>
      </x:c>
      <x:c r="N305" s="7" t="str">
        <x:v>2026原典抜粋：当社の自動化対応システムは、金型加工と精密部品加工を支え、高精度、信頼性、性能を提供します。</x:v>
      </x:c>
      <x:c r="O305" s="7" t="str">
        <x:v>2024個別比較不能</x:v>
      </x:c>
      <x:c r="P305" s="7" t="str">
        <x:v>2026公式カタログ掲載・現地未確認</x:v>
      </x:c>
      <x:c r="Q305" s="7" t="str">
        <x:v>2026展示予定。既存製品・参考出展・構想等は原典で個別確認</x:v>
      </x:c>
      <x:c r="R305" s="7" t="str">
        <x:v>どの作業を自動化・支援するか、入力と判断・操作の範囲、適用条件と人の残作業、2024からの機能差、採用・受注・効果の実測を確認する。</x:v>
      </x:c>
      <x:c r="S305" s="7" t="str">
        <x:v>EEX-EXH-2026-3eb1a3e98b1cfaf9</x:v>
      </x:c>
      <x:c r="T305" s="7" t="str">
        <x:v>EEX-EXH-2026-3eb1a3e98b1cfaf9: https://www.jimtof.org/search/jp/ESdetails?e=mHTLRA9SdB0</x:v>
      </x:c>
      <x:c r="U305" s="7" t="str">
        <x:v>出展説明の関連箇所に基づく一次分類</x:v>
      </x:c>
      <x:c r="V305" s="7"/>
      <x:c r="W305" s="7"/>
      <x:c r="X305" s="7"/>
      <x:c r="Y305" s="7"/>
      <x:c r="Z305" s="7"/>
      <x:c r="AA305" s="7"/>
      <x:c r="AB305" s="7"/>
    </x:row>
    <x:row r="306" ht="170" customHeight="1">
      <x:c r="A306" s="7" t="str">
        <x:v>AC249</x:v>
      </x:c>
      <x:c r="B306" s="20" t="str">
        <x:v>AUTOGRIP MACHINERY CO., LTD.</x:v>
      </x:c>
      <x:c r="C306" s="7" t="str">
        <x:v>1.3FW-26 アルミホイール加工用フィンガーチャック</x:v>
      </x:c>
      <x:c r="D306" s="7" t="str">
        <x:v>W3001</x:v>
      </x:c>
      <x:c r="E306" s="7" t="str">
        <x:v>自動化</x:v>
      </x:c>
      <x:c r="F306" s="7" t="str">
        <x:v>出展説明の関連用途（個別タスクの分解は未完了）</x:v>
      </x:c>
      <x:c r="G306" s="7" t="str">
        <x:v>出展説明に記載。実装位置の個別精査はカードの方式・未確認欄を参照</x:v>
      </x:c>
      <x:c r="H306" s="7" t="str">
        <x:v>原典抜粋：4.自動化ワークホールディングソリューション</x:v>
      </x:c>
      <x:c r="I306" s="7" t="str">
        <x:v>個別入力の追加確認が必要</x:v>
      </x:c>
      <x:c r="J306" s="7" t="str">
        <x:v>原典抜粋：4.自動化ワークホールディングソリューション</x:v>
      </x:c>
      <x:c r="K306" s="7" t="str">
        <x:v>4.自動化ワークホールディングソリューション</x:v>
      </x:c>
      <x:c r="L306" s="7" t="str">
        <x:v>承認・例外対応・停止・復帰の境界は未確認</x:v>
      </x:c>
      <x:c r="M306" s="7" t="str">
        <x:v>2024原典抜粋：AUTOGRIP Machinery Company Ltd.は、パワーチャック、ロータリーシリンダー、コレットチャック、およびクランプシリーズ製品の専門メーカーです。1989年以来、高剛性および高精度の品質を持つ旋盤用チャック、フライス盤用チャック、CNCチャックなどの工作機械チャック製品の提供に尽力してきました。 信頼できるワークホールディングのパートナー パワーチャック | 空油圧回転シリンダー | 自動化チャックシリーズ</x:v>
      </x:c>
      <x:c r="N306" s="7" t="str">
        <x:v>2026原典抜粋：4.自動化ワークホールディングソリューション</x:v>
      </x:c>
      <x:c r="O306" s="7" t="str">
        <x:v>両年原典あり・機能差未判定</x:v>
      </x:c>
      <x:c r="P306" s="7" t="str">
        <x:v>2026公式カタログ掲載・現地未確認</x:v>
      </x:c>
      <x:c r="Q306" s="7" t="str">
        <x:v>2026展示予定。既存製品・参考出展・構想等は原典で個別確認</x:v>
      </x:c>
      <x:c r="R306" s="7" t="str">
        <x:v>どの作業を自動化・支援するか、入力と判断・操作の範囲、適用条件と人の残作業、2024からの機能差、採用・受注・効果の実測を確認する。</x:v>
      </x:c>
      <x:c r="S306" s="7" t="str">
        <x:v>EEX-EXH-2026-b9c308c3f5d83ade
EEX-EXH-2024-e91d7bb7db85217e</x:v>
      </x:c>
      <x:c r="T306" s="7" t="str">
        <x:v>EEX-EXH-2026-b9c308c3f5d83ade: https://www.jimtof.org/search/jp/ESdetails?e=EeJK5dyX8Nc
EEX-EXH-2024-e91d7bb7db85217e: https://www.jimtof.org/2024/search/jp/ESdetails?e=oUyVPjxvy-U</x:v>
      </x:c>
      <x:c r="U306" s="7" t="str">
        <x:v>出展説明の関連箇所に基づく一次分類</x:v>
      </x:c>
      <x:c r="V306" s="7"/>
      <x:c r="W306" s="7"/>
      <x:c r="X306" s="7"/>
      <x:c r="Y306" s="7"/>
      <x:c r="Z306" s="7"/>
      <x:c r="AA306" s="7"/>
      <x:c r="AB306" s="7"/>
    </x:row>
    <x:row r="307" ht="170" customHeight="1">
      <x:c r="A307" s="7" t="str">
        <x:v>AC250</x:v>
      </x:c>
      <x:c r="B307" s="20" t="str">
        <x:v>BizLink Special Cables (Changzhou) Co., Ltd.</x:v>
      </x:c>
      <x:c r="C307" s="7" t="str">
        <x:v>* 重要インフラ向けケーブル</x:v>
      </x:c>
      <x:c r="D307" s="7" t="str">
        <x:v>S1052</x:v>
      </x:c>
      <x:c r="E307" s="7" t="str">
        <x:v>工場運用DX
自動化
AI実装・連携基盤</x:v>
      </x:c>
      <x:c r="F307" s="7" t="str">
        <x:v>出展説明の関連用途（個別タスクの分解は未完了）</x:v>
      </x:c>
      <x:c r="G307" s="7" t="str">
        <x:v>出展説明に記載。実装位置の個別精査はカードの方式・未確認欄を参照</x:v>
      </x:c>
      <x:c r="H307" s="7" t="str">
        <x:v>原典抜粋：さらにBizLinkは、ロボット用ケーブルおよびアセンブリ、ホース＆チューブ、ドレスパックシステム、すぐに導入可能な統合型ロボット、ロボットプログラミング、ならびに対面（講師指導）またはオンラインでの自動化システムトレーニングを提供しています。 / また、急速に高まるデジタル化の潮流に応え、センサー技術を活用した統合型かつインテリジェントな計測ソリューションも提供しています。 / * ロボット用リトラクトシステム</x:v>
      </x:c>
      <x:c r="I307" s="7" t="str">
        <x:v>個別入力の追加確認が必要</x:v>
      </x:c>
      <x:c r="J307" s="7" t="str">
        <x:v>原典抜粋：さらにBizLinkは、ロボット用ケーブルおよびアセンブリ、ホース＆チューブ、ドレスパックシステム、すぐに導入可能な統合型ロボット、ロボットプログラミング、ならびに対面（講師指導）またはオンラインでの自動化システムトレーニングを提供しています。 / また、急速に高まるデジタル化の潮流に応え、センサー技術を活用した統合型かつインテリジェントな計測ソリューションも提供しています。 / * ロボット用リトラクトシステム</x:v>
      </x:c>
      <x:c r="K307" s="7" t="str">
        <x:v>さらにBizLinkは、ロボット用ケーブルおよびアセンブリ、ホース＆チューブ、ドレスパックシステム、すぐに導入可能な統合型ロボット、ロボットプログラミング、ならびに対面（講師指導）またはオンラインでの自動化システムトレーニングを提供しています。 / また、急速に高まるデジタル化の潮流に応え、センサー技術を活用した統合型かつインテリジェントな計測ソリューションも提供しています。 / * ロボット用リトラクトシステム</x:v>
      </x:c>
      <x:c r="L307" s="7" t="str">
        <x:v>承認・例外対応・停止・復帰の境界は未確認</x:v>
      </x:c>
      <x:c r="M307" s="7" t="str">
        <x:v>同一正規化名称の2024詳細なし。新規出展・技術不存在とは判断しない。</x:v>
      </x:c>
      <x:c r="N307" s="7" t="str">
        <x:v>2026原典抜粋：さらにBizLinkは、ロボット用ケーブルおよびアセンブリ、ホース＆チューブ、ドレスパックシステム、すぐに導入可能な統合型ロボット、ロボットプログラミング、ならびに対面（講師指導）またはオンラインでの自動化システムトレーニングを提供しています。 / また、急速に高まるデジタル化の潮流に応え、センサー技術を活用した統合型かつインテリジェントな計測ソリューションも提供しています。 / * ロボット用リトラクトシステム</x:v>
      </x:c>
      <x:c r="O307" s="7" t="str">
        <x:v>2024個別比較不能</x:v>
      </x:c>
      <x:c r="P307" s="7" t="str">
        <x:v>2026公式カタログ掲載・現地未確認</x:v>
      </x:c>
      <x:c r="Q307" s="7" t="str">
        <x:v>2026展示予定。既存製品・参考出展・構想等は原典で個別確認</x:v>
      </x:c>
      <x:c r="R307" s="7" t="str">
        <x:v>どの作業を自動化・支援するか、入力と判断・操作の範囲、適用条件と人の残作業、2024からの機能差、採用・受注・効果の実測を確認する。</x:v>
      </x:c>
      <x:c r="S307" s="7" t="str">
        <x:v>EEX-EXH-2026-50111527cf450bde</x:v>
      </x:c>
      <x:c r="T307" s="7" t="str">
        <x:v>EEX-EXH-2026-50111527cf450bde: https://www.jimtof.org/search/jp/ESdetails?e=mONQNxkEoi8</x:v>
      </x:c>
      <x:c r="U307" s="7" t="str">
        <x:v>出展説明の関連箇所に基づく一次分類</x:v>
      </x:c>
      <x:c r="V307" s="7"/>
      <x:c r="W307" s="7"/>
      <x:c r="X307" s="7"/>
      <x:c r="Y307" s="7"/>
      <x:c r="Z307" s="7"/>
      <x:c r="AA307" s="7"/>
      <x:c r="AB307" s="7"/>
    </x:row>
    <x:row r="308" ht="170" customHeight="1">
      <x:c r="A308" s="7" t="str">
        <x:v>AC251</x:v>
      </x:c>
      <x:c r="B308" s="20" t="str">
        <x:v>Blohm Jung GmbH</x:v>
      </x:c>
      <x:c r="C308" s="7" t="str">
        <x:v>カタログ・サンプル展示</x:v>
      </x:c>
      <x:c r="D308" s="7" t="str">
        <x:v>E8001</x:v>
      </x:c>
      <x:c r="E308" s="7" t="str">
        <x:v>自動化</x:v>
      </x:c>
      <x:c r="F308" s="7" t="str">
        <x:v>出展説明の関連用途（個別タスクの分解は未完了）</x:v>
      </x:c>
      <x:c r="G308" s="7" t="str">
        <x:v>出展説明に記載。実装位置の個別精査はカードの方式・未確認欄を参照</x:v>
      </x:c>
      <x:c r="H308" s="7" t="str">
        <x:v>原典抜粋：また、自動化や工程最適化を通じて、生産性向上と安定した品質確保を支援します。 / ・自動車部品</x:v>
      </x:c>
      <x:c r="I308" s="7" t="str">
        <x:v>個別入力の追加確認が必要</x:v>
      </x:c>
      <x:c r="J308" s="7" t="str">
        <x:v>原典抜粋：また、自動化や工程最適化を通じて、生産性向上と安定した品質確保を支援します。 / ・自動車部品</x:v>
      </x:c>
      <x:c r="K308" s="7" t="str">
        <x:v>また、自動化や工程最適化を通じて、生産性向上と安定した品質確保を支援します。 / ・自動車部品</x:v>
      </x:c>
      <x:c r="L308" s="7" t="str">
        <x:v>承認・例外対応・停止・復帰の境界は未確認</x:v>
      </x:c>
      <x:c r="M308" s="7" t="str">
        <x:v>同一正規化名称の2024詳細なし。新規出展・技術不存在とは判断しない。</x:v>
      </x:c>
      <x:c r="N308" s="7" t="str">
        <x:v>2026原典抜粋：また、自動化や工程最適化を通じて、生産性向上と安定した品質確保を支援します。 / ・自動車部品</x:v>
      </x:c>
      <x:c r="O308" s="7" t="str">
        <x:v>2024個別比較不能</x:v>
      </x:c>
      <x:c r="P308" s="7" t="str">
        <x:v>2026公式カタログ掲載・現地未確認</x:v>
      </x:c>
      <x:c r="Q308" s="7" t="str">
        <x:v>2026展示予定。既存製品・参考出展・構想等は原典で個別確認</x:v>
      </x:c>
      <x:c r="R308" s="7" t="str">
        <x:v>どの作業を自動化・支援するか、入力と判断・操作の範囲、適用条件と人の残作業、2024からの機能差、採用・受注・効果の実測を確認する。</x:v>
      </x:c>
      <x:c r="S308" s="7" t="str">
        <x:v>EEX-EXH-2026-39e340ba804ebaad</x:v>
      </x:c>
      <x:c r="T308" s="7" t="str">
        <x:v>EEX-EXH-2026-39e340ba804ebaad: https://www.jimtof.org/search/jp/ESdetails?e=dSHD282NmEc</x:v>
      </x:c>
      <x:c r="U308" s="7" t="str">
        <x:v>出展説明の関連箇所に基づく一次分類</x:v>
      </x:c>
      <x:c r="V308" s="7"/>
      <x:c r="W308" s="7"/>
      <x:c r="X308" s="7"/>
      <x:c r="Y308" s="7"/>
      <x:c r="Z308" s="7"/>
      <x:c r="AA308" s="7"/>
      <x:c r="AB308" s="7"/>
    </x:row>
    <x:row r="309" ht="170" customHeight="1">
      <x:c r="A309" s="7" t="str">
        <x:v>AC252</x:v>
      </x:c>
      <x:c r="B309" s="20" t="str">
        <x:v>BUFFOLI TRANSFER S.p.A.</x:v>
      </x:c>
      <x:c r="C309" s="7" t="str">
        <x:v>CNCトランスファーマシン</x:v>
      </x:c>
      <x:c r="D309" s="7" t="str">
        <x:v>E1034</x:v>
      </x:c>
      <x:c r="E309" s="7" t="str">
        <x:v>検査・診断・予測AI
工場運用DX
自動化</x:v>
      </x:c>
      <x:c r="F309" s="7" t="str">
        <x:v>出展説明の関連用途（個別タスクの分解は未完了）</x:v>
      </x:c>
      <x:c r="G309" s="7" t="str">
        <x:v>出展説明に記載。実装位置の個別精査はカードの方式・未確認欄を参照</x:v>
      </x:c>
      <x:c r="H309" s="7" t="str">
        <x:v>原典抜粋：人材不足が深刻化する製造業界において【搬送・ロボット・検査・ソフトウェア】までを一体化した自動化・ターンキーシステムを提供します。 / さらにAIによる品質検査や予知保全など、Industry 4.0/5.0を見据えた次世代の自動化技術にも注目です。</x:v>
      </x:c>
      <x:c r="I309" s="7" t="str">
        <x:v>個別入力の追加確認が必要</x:v>
      </x:c>
      <x:c r="J309" s="7" t="str">
        <x:v>原典抜粋：人材不足が深刻化する製造業界において【搬送・ロボット・検査・ソフトウェア】までを一体化した自動化・ターンキーシステムを提供します。 / さらにAIによる品質検査や予知保全など、Industry 4.0/5.0を見据えた次世代の自動化技術にも注目です。</x:v>
      </x:c>
      <x:c r="K309" s="7" t="str">
        <x:v>人材不足が深刻化する製造業界において【搬送・ロボット・検査・ソフトウェア】までを一体化した自動化・ターンキーシステムを提供します。 / さらにAIによる品質検査や予知保全など、Industry 4.0/5.0を見据えた次世代の自動化技術にも注目です。</x:v>
      </x:c>
      <x:c r="L309" s="7" t="str">
        <x:v>承認・例外対応・停止・復帰の境界は未確認</x:v>
      </x:c>
      <x:c r="M309" s="7" t="str">
        <x:v>同一正規化名称の2024詳細なし。新規出展・技術不存在とは判断しない。</x:v>
      </x:c>
      <x:c r="N309" s="7" t="str">
        <x:v>2026原典抜粋：人材不足が深刻化する製造業界において【搬送・ロボット・検査・ソフトウェア】までを一体化した自動化・ターンキーシステムを提供します。 / さらにAIによる品質検査や予知保全など、Industry 4.0/5.0を見据えた次世代の自動化技術にも注目です。</x:v>
      </x:c>
      <x:c r="O309" s="7" t="str">
        <x:v>2024個別比較不能</x:v>
      </x:c>
      <x:c r="P309" s="7" t="str">
        <x:v>2026公式カタログ掲載・現地未確認</x:v>
      </x:c>
      <x:c r="Q309" s="7" t="str">
        <x:v>2026展示予定。既存製品・参考出展・構想等は原典で個別確認</x:v>
      </x:c>
      <x:c r="R309" s="7" t="str">
        <x:v>どの作業を自動化・支援するか、入力と判断・操作の範囲、適用条件と人の残作業、2024からの機能差、採用・受注・効果の実測を確認する。</x:v>
      </x:c>
      <x:c r="S309" s="7" t="str">
        <x:v>EEX-EXH-2026-606bae6e521953bf</x:v>
      </x:c>
      <x:c r="T309" s="7" t="str">
        <x:v>EEX-EXH-2026-606bae6e521953bf: https://www.jimtof.org/search/jp/ESdetails?e=XR5ASqmy4zw</x:v>
      </x:c>
      <x:c r="U309" s="7" t="str">
        <x:v>出展説明の関連箇所に基づく一次分類</x:v>
      </x:c>
      <x:c r="V309" s="7"/>
      <x:c r="W309" s="7"/>
      <x:c r="X309" s="7"/>
      <x:c r="Y309" s="7"/>
      <x:c r="Z309" s="7"/>
      <x:c r="AA309" s="7"/>
      <x:c r="AB309" s="7"/>
    </x:row>
    <x:row r="310" ht="170" customHeight="1">
      <x:c r="A310" s="7" t="str">
        <x:v>AC254</x:v>
      </x:c>
      <x:c r="B310" s="20" t="str">
        <x:v>Chen Ying Oil Machine Co., Ltd.</x:v>
      </x:c>
      <x:c r="C310" s="7" t="str">
        <x:v>定量給油用電動給油機（容積式潤滑システム）</x:v>
      </x:c>
      <x:c r="D310" s="7" t="str">
        <x:v>S1049</x:v>
      </x:c>
      <x:c r="E310" s="7" t="str">
        <x:v>自動化</x:v>
      </x:c>
      <x:c r="F310" s="7" t="str">
        <x:v>出展説明の関連用途（個別タスクの分解は未完了）</x:v>
      </x:c>
      <x:c r="G310" s="7" t="str">
        <x:v>出展説明に記載。実装位置の個別精査はカードの方式・未確認欄を参照</x:v>
      </x:c>
      <x:c r="H310" s="7" t="str">
        <x:v>原典抜粋：・CNC工作機械および産業自動化設備向け集中潤滑システム関連機器</x:v>
      </x:c>
      <x:c r="I310" s="7" t="str">
        <x:v>個別入力の追加確認が必要</x:v>
      </x:c>
      <x:c r="J310" s="7" t="str">
        <x:v>原典抜粋：・CNC工作機械および産業自動化設備向け集中潤滑システム関連機器</x:v>
      </x:c>
      <x:c r="K310" s="7" t="str">
        <x:v>・CNC工作機械および産業自動化設備向け集中潤滑システム関連機器</x:v>
      </x:c>
      <x:c r="L310" s="7" t="str">
        <x:v>承認・例外対応・停止・復帰の境界は未確認</x:v>
      </x:c>
      <x:c r="M310" s="7" t="str">
        <x:v>2024原典抜粋：CEN03 にはフロート スイッチと圧力スイッチがあり、最適な潤滑を保証します。オイル レベルとシステム圧力を常に監視することで、オイル レベルの低下や異常な圧力変化についてリアルタイムのアラートを送信します。この積極的な方法により、CEN03 の信頼性と効率が確保され、機器のダウンタイムが最小限に抑えられ、生産効率が最大化されます。 CAB、CBB、または T タイプのボリュームディストリビュータと組み合わせることで、正確な潤滑を提供して無駄を最小限に抑え、運用コストを削減します。この正確なオイル管理により、無駄</x:v>
      </x:c>
      <x:c r="N310" s="7" t="str">
        <x:v>2026原典抜粋：・CNC工作機械および産業自動化設備向け集中潤滑システム関連機器</x:v>
      </x:c>
      <x:c r="O310" s="7" t="str">
        <x:v>両年原典あり・機能差未判定</x:v>
      </x:c>
      <x:c r="P310" s="7" t="str">
        <x:v>2026公式カタログ掲載・現地未確認</x:v>
      </x:c>
      <x:c r="Q310" s="7" t="str">
        <x:v>2026展示予定。既存製品・参考出展・構想等は原典で個別確認</x:v>
      </x:c>
      <x:c r="R310" s="7" t="str">
        <x:v>どの作業を自動化・支援するか、入力と判断・操作の範囲、適用条件と人の残作業、2024からの機能差、採用・受注・効果の実測を確認する。</x:v>
      </x:c>
      <x:c r="S310" s="7" t="str">
        <x:v>EEX-EXH-2026-a49b154774608339
EEX-EXH-2024-0f6717e2a782eba2</x:v>
      </x:c>
      <x:c r="T310" s="7" t="str">
        <x:v>EEX-EXH-2026-a49b154774608339: https://www.jimtof.org/search/jp/ESdetails?e=bRKaw8mtvM4
EEX-EXH-2024-0f6717e2a782eba2: https://www.jimtof.org/2024/search/jp/ESdetails?e=-z-wy8L2Khs</x:v>
      </x:c>
      <x:c r="U310" s="7" t="str">
        <x:v>出展説明の関連箇所に基づく一次分類</x:v>
      </x:c>
      <x:c r="V310" s="7"/>
      <x:c r="W310" s="7"/>
      <x:c r="X310" s="7"/>
      <x:c r="Y310" s="7"/>
      <x:c r="Z310" s="7"/>
      <x:c r="AA310" s="7"/>
      <x:c r="AB310" s="7"/>
    </x:row>
    <x:row r="311" ht="170" customHeight="1">
      <x:c r="A311" s="7" t="str">
        <x:v>AC256</x:v>
      </x:c>
      <x:c r="B311" s="20" t="str">
        <x:v>DGDY SHEET METAL MACHINERY CO.,LTD</x:v>
      </x:c>
      <x:c r="C311" s="7" t="str">
        <x:v>Full Electric Servo CNC Bending Machine</x:v>
      </x:c>
      <x:c r="D311" s="7" t="str">
        <x:v>E1019</x:v>
      </x:c>
      <x:c r="E311" s="7" t="str">
        <x:v>工場運用DX
自動化</x:v>
      </x:c>
      <x:c r="F311" s="7" t="str">
        <x:v>出展説明の関連用途（個別タスクの分解は未完了）</x:v>
      </x:c>
      <x:c r="G311" s="7" t="str">
        <x:v>出展説明に記載。実装位置の個別精査はカードの方式・未確認欄を参照</x:v>
      </x:c>
      <x:c r="H311" s="7" t="str">
        <x:v>原典抜粋：Panel Bender / One-time Positioning, Multi-angle Bending / Different Thicknesses Materials, Completed in One Mold / Automatic Tool Changing, Automatic Avoidance / Numerical Control System / Offline Programming, Graphic I</x:v>
      </x:c>
      <x:c r="I311" s="7" t="str">
        <x:v>個別入力の追加確認が必要</x:v>
      </x:c>
      <x:c r="J311" s="7" t="str">
        <x:v>原典抜粋：Panel Bender / One-time Positioning, Multi-angle Bending / Different Thicknesses Materials, Completed in One Mold / Automatic Tool Changing, Automatic Avoidance / Numerical Control System / Offline Programming, Graphic I</x:v>
      </x:c>
      <x:c r="K311" s="7" t="str">
        <x:v>Panel Bender / One-time Positioning, Multi-angle Bending / Different Thicknesses Materials, Completed in One Mold / Automatic Tool Changing, Automatic Avoidance / Numerical Control System / Offline Programming, Graphic I</x:v>
      </x:c>
      <x:c r="L311" s="7" t="str">
        <x:v>承認・例外対応・停止・復帰の境界は未確認</x:v>
      </x:c>
      <x:c r="M311" s="7" t="str">
        <x:v>同一正規化名称の2024詳細なし。新規出展・技術不存在とは判断しない。</x:v>
      </x:c>
      <x:c r="N311" s="7" t="str">
        <x:v>2026原典抜粋：Panel Bender / One-time Positioning, Multi-angle Bending / Different Thicknesses Materials, Completed in One Mold / Automatic Tool Changing, Automatic Avoidance / Numerical Control System / Offline Programming, Graphic I</x:v>
      </x:c>
      <x:c r="O311" s="7" t="str">
        <x:v>2024個別比較不能</x:v>
      </x:c>
      <x:c r="P311" s="7" t="str">
        <x:v>2026公式カタログ掲載・現地未確認</x:v>
      </x:c>
      <x:c r="Q311" s="7" t="str">
        <x:v>2026展示予定。既存製品・参考出展・構想等は原典で個別確認</x:v>
      </x:c>
      <x:c r="R311" s="7" t="str">
        <x:v>どの作業を自動化・支援するか、入力と判断・操作の範囲、適用条件と人の残作業、2024からの機能差、採用・受注・効果の実測を確認する。</x:v>
      </x:c>
      <x:c r="S311" s="7" t="str">
        <x:v>EEX-EXH-2026-1dba700d81292c04</x:v>
      </x:c>
      <x:c r="T311" s="7" t="str">
        <x:v>EEX-EXH-2026-1dba700d81292c04: https://www.jimtof.org/search/jp/ESdetails?e=Rtj9rox8Zj4</x:v>
      </x:c>
      <x:c r="U311" s="7" t="str">
        <x:v>出展説明の関連箇所に基づく一次分類</x:v>
      </x:c>
      <x:c r="V311" s="7"/>
      <x:c r="W311" s="7"/>
      <x:c r="X311" s="7"/>
      <x:c r="Y311" s="7"/>
      <x:c r="Z311" s="7"/>
      <x:c r="AA311" s="7"/>
      <x:c r="AB311" s="7"/>
    </x:row>
    <x:row r="312" ht="170" customHeight="1">
      <x:c r="A312" s="7" t="str">
        <x:v>AC257</x:v>
      </x:c>
      <x:c r="B312" s="20" t="str">
        <x:v>Dongguan Dongfangqidu Metrology Co Ltd</x:v>
      </x:c>
      <x:c r="C312" s="7" t="str">
        <x:v>赤外線プローブ DOP40</x:v>
      </x:c>
      <x:c r="D312" s="7" t="str">
        <x:v>E7006</x:v>
      </x:c>
      <x:c r="E312" s="7" t="str">
        <x:v>自動化</x:v>
      </x:c>
      <x:c r="F312" s="7" t="str">
        <x:v>出展説明の関連用途（個別タスクの分解は未完了）</x:v>
      </x:c>
      <x:c r="G312" s="7" t="str">
        <x:v>出展説明に記載。実装位置の個別精査はカードの方式・未確認欄を参照</x:v>
      </x:c>
      <x:c r="H312" s="7" t="str">
        <x:v>原典抜粋：ワークの位置決め・寸法確認、工具長・工具径測定、工具破損検出など、加工工程内での自動計測に対応。 / 安定した繰返し精度、柔軟なシステム構成、容易な導入を通じて、段取り時間の短縮、加工の安定化、無人運転・自動化をサポートします。</x:v>
      </x:c>
      <x:c r="I312" s="7" t="str">
        <x:v>個別入力の追加確認が必要</x:v>
      </x:c>
      <x:c r="J312" s="7" t="str">
        <x:v>原典抜粋：ワークの位置決め・寸法確認、工具長・工具径測定、工具破損検出など、加工工程内での自動計測に対応。 / 安定した繰返し精度、柔軟なシステム構成、容易な導入を通じて、段取り時間の短縮、加工の安定化、無人運転・自動化をサポートします。</x:v>
      </x:c>
      <x:c r="K312" s="7" t="str">
        <x:v>ワークの位置決め・寸法確認、工具長・工具径測定、工具破損検出など、加工工程内での自動計測に対応。 / 安定した繰返し精度、柔軟なシステム構成、容易な導入を通じて、段取り時間の短縮、加工の安定化、無人運転・自動化をサポートします。</x:v>
      </x:c>
      <x:c r="L312" s="7" t="str">
        <x:v>承認・例外対応・停止・復帰の境界は未確認</x:v>
      </x:c>
      <x:c r="M312" s="7" t="str">
        <x:v>同一正規化名称の2024詳細なし。新規出展・技術不存在とは判断しない。</x:v>
      </x:c>
      <x:c r="N312" s="7" t="str">
        <x:v>2026原典抜粋：ワークの位置決め・寸法確認、工具長・工具径測定、工具破損検出など、加工工程内での自動計測に対応。 / 安定した繰返し精度、柔軟なシステム構成、容易な導入を通じて、段取り時間の短縮、加工の安定化、無人運転・自動化をサポートします。</x:v>
      </x:c>
      <x:c r="O312" s="7" t="str">
        <x:v>2024個別比較不能</x:v>
      </x:c>
      <x:c r="P312" s="7" t="str">
        <x:v>2026公式カタログ掲載・現地未確認</x:v>
      </x:c>
      <x:c r="Q312" s="7" t="str">
        <x:v>2026展示予定。既存製品・参考出展・構想等は原典で個別確認</x:v>
      </x:c>
      <x:c r="R312" s="7" t="str">
        <x:v>どの作業を自動化・支援するか、入力と判断・操作の範囲、適用条件と人の残作業、2024からの機能差、採用・受注・効果の実測を確認する。</x:v>
      </x:c>
      <x:c r="S312" s="7" t="str">
        <x:v>EEX-EXH-2026-d39b5dc8b972e1a4</x:v>
      </x:c>
      <x:c r="T312" s="7" t="str">
        <x:v>EEX-EXH-2026-d39b5dc8b972e1a4: https://www.jimtof.org/search/jp/ESdetails?e=25HOX5M84N0</x:v>
      </x:c>
      <x:c r="U312" s="7" t="str">
        <x:v>出展説明の関連箇所に基づく一次分類</x:v>
      </x:c>
      <x:c r="V312" s="7"/>
      <x:c r="W312" s="7"/>
      <x:c r="X312" s="7"/>
      <x:c r="Y312" s="7"/>
      <x:c r="Z312" s="7"/>
      <x:c r="AA312" s="7"/>
      <x:c r="AB312" s="7"/>
    </x:row>
    <x:row r="313" ht="170" customHeight="1">
      <x:c r="A313" s="7" t="str">
        <x:v>AC258</x:v>
      </x:c>
      <x:c r="B313" s="20" t="str">
        <x:v>Dontyne Systems Limited</x:v>
      </x:c>
      <x:c r="C313" s="7" t="str">
        <x:v>Gear Production Suite, DOMMS</x:v>
      </x:c>
      <x:c r="D313" s="7" t="str">
        <x:v>E8008</x:v>
      </x:c>
      <x:c r="E313" s="7" t="str">
        <x:v>設計・製造DX</x:v>
      </x:c>
      <x:c r="F313" s="7" t="str">
        <x:v>出展説明の関連用途（個別タスクの分解は未完了）</x:v>
      </x:c>
      <x:c r="G313" s="7" t="str">
        <x:v>出展説明に記載。実装位置の個別精査はカードの方式・未確認欄を参照</x:v>
      </x:c>
      <x:c r="H313" s="7" t="str">
        <x:v>原典抜粋：ドンタインはトランスミッション業界向けの製品開発やサービスを行っております。 / JIMTOF2026では、新エネルギー車のドライブトレインの開発・製造に関するソフトウェアをクローズアップし紹介します。 / 新たに開発したステップドピニオンを用いた遊星歯車設計ソフトや、その歯車の製造に使用するスカイビングやホーニングのシミュレーションソフトを展示いたします。 / Gear Production Suite, DOMMS</x:v>
      </x:c>
      <x:c r="I313" s="7" t="str">
        <x:v>個別入力の追加確認が必要</x:v>
      </x:c>
      <x:c r="J313" s="7" t="str">
        <x:v>原典抜粋：ドンタインはトランスミッション業界向けの製品開発やサービスを行っております。 / JIMTOF2026では、新エネルギー車のドライブトレインの開発・製造に関するソフトウェアをクローズアップし紹介します。 / 新たに開発したステップドピニオンを用いた遊星歯車設計ソフトや、その歯車の製造に使用するスカイビングやホーニングのシミュレーションソフトを展示いたします。 / Gear Production Suite, DOMMS</x:v>
      </x:c>
      <x:c r="K313" s="7" t="str">
        <x:v>ドンタインはトランスミッション業界向けの製品開発やサービスを行っております。 / JIMTOF2026では、新エネルギー車のドライブトレインの開発・製造に関するソフトウェアをクローズアップし紹介します。 / 新たに開発したステップドピニオンを用いた遊星歯車設計ソフトや、その歯車の製造に使用するスカイビングやホーニングのシミュレーションソフトを展示いたします。 / Gear Production Suite, DOMMS</x:v>
      </x:c>
      <x:c r="L313" s="7" t="str">
        <x:v>承認・例外対応・停止・復帰の境界は未確認</x:v>
      </x:c>
      <x:c r="M313" s="7" t="str">
        <x:v>2024原典抜粋：ドンタインはトランスミッション業界向けの製品開発やサービスを行っております。 今回のJIMTOF2024では、歯車製造支援ソフトウェアをご紹介します。様々なギヤの設計や製造における工具設計・シミュレーションを行えるソフトウェアになりますが、最近ニーズが高まっているスカイビングのシミュレーションや5軸のマシニングの製造シミュレーションソフトをクローズアップし紹介いたします。 また、Renishaw社製Equator™を動作させる、歯車計測システムDIGGSの開発しました。Equator™の性能を使用しラインサイドでの</x:v>
      </x:c>
      <x:c r="N313" s="7" t="str">
        <x:v>2026原典抜粋：ドンタインはトランスミッション業界向けの製品開発やサービスを行っております。 / JIMTOF2026では、新エネルギー車のドライブトレインの開発・製造に関するソフトウェアをクローズアップし紹介します。 / 新たに開発したステップドピニオンを用いた遊星歯車設計ソフトや、その歯車の製造に使用するスカイビングやホーニングのシミュレーションソフトを展示いたします。 / Gear Production Suite, DOMMS</x:v>
      </x:c>
      <x:c r="O313" s="7" t="str">
        <x:v>両年原典あり・機能差未判定</x:v>
      </x:c>
      <x:c r="P313" s="7" t="str">
        <x:v>2026公式カタログ掲載・現地未確認</x:v>
      </x:c>
      <x:c r="Q313" s="7" t="str">
        <x:v>2026展示予定。既存製品・参考出展・構想等は原典で個別確認</x:v>
      </x:c>
      <x:c r="R313" s="7" t="str">
        <x:v>どの作業を自動化・支援するか、入力と判断・操作の範囲、適用条件と人の残作業、2024からの機能差、採用・受注・効果の実測を確認する。</x:v>
      </x:c>
      <x:c r="S313" s="7" t="str">
        <x:v>EEX-EXH-2026-bcc3a29be85a835b
EEX-EXH-2024-ab70e84c265f804f</x:v>
      </x:c>
      <x:c r="T313" s="7" t="str">
        <x:v>EEX-EXH-2026-bcc3a29be85a835b: https://www.jimtof.org/search/jp/ESdetails?e=Qdl6sEtQDEY
EEX-EXH-2024-ab70e84c265f804f: https://www.jimtof.org/2024/search/jp/ESdetails?e=7Oab3lI0MZ4</x:v>
      </x:c>
      <x:c r="U313" s="7" t="str">
        <x:v>出展説明の関連箇所に基づく一次分類</x:v>
      </x:c>
      <x:c r="V313" s="7"/>
      <x:c r="W313" s="7"/>
      <x:c r="X313" s="7"/>
      <x:c r="Y313" s="7"/>
      <x:c r="Z313" s="7"/>
      <x:c r="AA313" s="7"/>
      <x:c r="AB313" s="7"/>
    </x:row>
    <x:row r="314" ht="170" customHeight="1">
      <x:c r="A314" s="7" t="str">
        <x:v>AC260</x:v>
      </x:c>
      <x:c r="B314" s="20" t="str">
        <x:v>FAPTECH (HANGZHOU) CO.,LTD.</x:v>
      </x:c>
      <x:c r="C314" s="7" t="str">
        <x:v>ロータリートランスファーマシン（サンプル出展）</x:v>
      </x:c>
      <x:c r="D314" s="7" t="str">
        <x:v>E2026</x:v>
      </x:c>
      <x:c r="E314" s="7" t="str">
        <x:v>自動化</x:v>
      </x:c>
      <x:c r="F314" s="7" t="str">
        <x:v>出展説明の関連用途（個別タスクの分解は未完了）</x:v>
      </x:c>
      <x:c r="G314" s="7" t="str">
        <x:v>出展説明に記載。実装位置の個別精査はカードの方式・未確認欄を参照</x:v>
      </x:c>
      <x:c r="H314" s="7" t="str">
        <x:v>原典抜粋：【ファップテック ロータリートランスファーマシン】 / ～鍛造・鋳造品の多方向機械加工を一台に集約し、省人化・省スペースを実現～ / バルブや継手、水道メーターケース、空圧機器部品の機械加工を1台で担います。 / 単工程のNC機を直線的に並べ、工程ごとにワークを搬送するトランスファーマシンを一台のロータリートランスファーマシンに置き換えることで、工程間の精度管理が不要となります。 / 管理する人や手間、場所も省くことができ、工場の生産性</x:v>
      </x:c>
      <x:c r="I314" s="7" t="str">
        <x:v>個別入力の追加確認が必要</x:v>
      </x:c>
      <x:c r="J314" s="7" t="str">
        <x:v>原典抜粋：【ファップテック ロータリートランスファーマシン】 / ～鍛造・鋳造品の多方向機械加工を一台に集約し、省人化・省スペースを実現～ / バルブや継手、水道メーターケース、空圧機器部品の機械加工を1台で担います。 / 単工程のNC機を直線的に並べ、工程ごとにワークを搬送するトランスファーマシンを一台のロータリートランスファーマシンに置き換えることで、工程間の精度管理が不要となります。 / 管理する人や手間、場所も省くことができ、工場の生産性</x:v>
      </x:c>
      <x:c r="K314" s="7" t="str">
        <x:v>【ファップテック ロータリートランスファーマシン】 / ～鍛造・鋳造品の多方向機械加工を一台に集約し、省人化・省スペースを実現～ / バルブや継手、水道メーターケース、空圧機器部品の機械加工を1台で担います。 / 単工程のNC機を直線的に並べ、工程ごとにワークを搬送するトランスファーマシンを一台のロータリートランスファーマシンに置き換えることで、工程間の精度管理が不要となります。 / 管理する人や手間、場所も省くことができ、工場の生産性</x:v>
      </x:c>
      <x:c r="L314" s="7" t="str">
        <x:v>承認・例外対応・停止・復帰の境界は未確認</x:v>
      </x:c>
      <x:c r="M314" s="7" t="str">
        <x:v>同一正規化名称の2024詳細なし。新規出展・技術不存在とは判断しない。</x:v>
      </x:c>
      <x:c r="N314" s="7" t="str">
        <x:v>2026原典抜粋：【ファップテック ロータリートランスファーマシン】 / ～鍛造・鋳造品の多方向機械加工を一台に集約し、省人化・省スペースを実現～ / バルブや継手、水道メーターケース、空圧機器部品の機械加工を1台で担います。 / 単工程のNC機を直線的に並べ、工程ごとにワークを搬送するトランスファーマシンを一台のロータリートランスファーマシンに置き換えることで、工程間の精度管理が不要となります。 / 管理する人や手間、場所も省くことができ、工場の生産性</x:v>
      </x:c>
      <x:c r="O314" s="7" t="str">
        <x:v>2024個別比較不能</x:v>
      </x:c>
      <x:c r="P314" s="7" t="str">
        <x:v>2026公式カタログ掲載・現地未確認</x:v>
      </x:c>
      <x:c r="Q314" s="7" t="str">
        <x:v>2026展示予定。既存製品・参考出展・構想等は原典で個別確認</x:v>
      </x:c>
      <x:c r="R314" s="7" t="str">
        <x:v>どの作業を自動化・支援するか、入力と判断・操作の範囲、適用条件と人の残作業、2024からの機能差、採用・受注・効果の実測を確認する。</x:v>
      </x:c>
      <x:c r="S314" s="7" t="str">
        <x:v>EEX-EXH-2026-71042226949434d5</x:v>
      </x:c>
      <x:c r="T314" s="7" t="str">
        <x:v>EEX-EXH-2026-71042226949434d5: https://www.jimtof.org/search/jp/ESdetails?e=50efK4rQsHs</x:v>
      </x:c>
      <x:c r="U314" s="7" t="str">
        <x:v>出展説明の関連箇所に基づく一次分類</x:v>
      </x:c>
      <x:c r="V314" s="7"/>
      <x:c r="W314" s="7"/>
      <x:c r="X314" s="7"/>
      <x:c r="Y314" s="7"/>
      <x:c r="Z314" s="7"/>
      <x:c r="AA314" s="7"/>
      <x:c r="AB314" s="7"/>
    </x:row>
    <x:row r="315" ht="170" customHeight="1">
      <x:c r="A315" s="7" t="str">
        <x:v>AC262</x:v>
      </x:c>
      <x:c r="B315" s="20" t="str">
        <x:v>Gifu Enterprise Co., Ltd</x:v>
      </x:c>
      <x:c r="C315" s="7" t="str">
        <x:v>低炭素・スマート・多機能 カルーセル式チェーンマガジン</x:v>
      </x:c>
      <x:c r="D315" s="7" t="str">
        <x:v>W3040</x:v>
      </x:c>
      <x:c r="E315" s="7" t="str">
        <x:v>自動化</x:v>
      </x:c>
      <x:c r="F315" s="7" t="str">
        <x:v>出展説明の関連用途（個別タスクの分解は未完了）</x:v>
      </x:c>
      <x:c r="G315" s="7" t="str">
        <x:v>出展説明に記載。実装位置の個別精査はカードの方式・未確認欄を参照</x:v>
      </x:c>
      <x:c r="H315" s="7" t="str">
        <x:v>原典抜粋：部品標準化により調達コストを6%削減し、自動旋転式エアブロー・ブラシ洗浄装置による完全自動化と高精度な位置決めを実現。 / 3. M625648号 – ツールシャンク自動回転式エアブロー・ブラシ洗浄装置 / 1. 自動回転式エアブロー・ブラシ洗浄装置により、手動作業が不要となり、自動化された清掃で時間短縮と省エネを実現。</x:v>
      </x:c>
      <x:c r="I315" s="7" t="str">
        <x:v>個別入力の追加確認が必要</x:v>
      </x:c>
      <x:c r="J315" s="7" t="str">
        <x:v>原典抜粋：部品標準化により調達コストを6%削減し、自動旋転式エアブロー・ブラシ洗浄装置による完全自動化と高精度な位置決めを実現。 / 3. M625648号 – ツールシャンク自動回転式エアブロー・ブラシ洗浄装置 / 1. 自動回転式エアブロー・ブラシ洗浄装置により、手動作業が不要となり、自動化された清掃で時間短縮と省エネを実現。</x:v>
      </x:c>
      <x:c r="K315" s="7" t="str">
        <x:v>部品標準化により調達コストを6%削減し、自動旋転式エアブロー・ブラシ洗浄装置による完全自動化と高精度な位置決めを実現。 / 3. M625648号 – ツールシャンク自動回転式エアブロー・ブラシ洗浄装置 / 1. 自動回転式エアブロー・ブラシ洗浄装置により、手動作業が不要となり、自動化された清掃で時間短縮と省エネを実現。</x:v>
      </x:c>
      <x:c r="L315" s="7" t="str">
        <x:v>承認・例外対応・停止・復帰の境界は未確認</x:v>
      </x:c>
      <x:c r="M315" s="7" t="str">
        <x:v>2024原典抜粋：「GIFU ENTERPRISE CO.,LTD」は自動工具交換装置(ATC)を設計、開発、製作するの専門メーカーです。 今回出展した製品は新開発されていた「智能化低炭素揺れる機構付きの全サーボ駆動自動工具交換装置」。 この装置は独創的な全サーボモーター駆動で、低炭素、低エネルギーと高効率を達成する。 全サーボ駆動な工具交換機構、機構はコンパクトで、工具交換はより速くて便利です。 新型な工具自動回転式吹き出しエアーブラッシュ機構は、精密な主軸を保護できる。 「智能化低炭素揺れる機構付きの全サーボ駆動自動工具交換装置</x:v>
      </x:c>
      <x:c r="N315" s="7" t="str">
        <x:v>2026原典抜粋：部品標準化により調達コストを6%削減し、自動旋転式エアブロー・ブラシ洗浄装置による完全自動化と高精度な位置決めを実現。 / 3. M625648号 – ツールシャンク自動回転式エアブロー・ブラシ洗浄装置 / 1. 自動回転式エアブロー・ブラシ洗浄装置により、手動作業が不要となり、自動化された清掃で時間短縮と省エネを実現。</x:v>
      </x:c>
      <x:c r="O315" s="7" t="str">
        <x:v>両年原典あり・機能差未判定</x:v>
      </x:c>
      <x:c r="P315" s="7" t="str">
        <x:v>2026公式カタログ掲載・現地未確認</x:v>
      </x:c>
      <x:c r="Q315" s="7" t="str">
        <x:v>2026展示予定。既存製品・参考出展・構想等は原典で個別確認</x:v>
      </x:c>
      <x:c r="R315" s="7" t="str">
        <x:v>どの作業を自動化・支援するか、入力と判断・操作の範囲、適用条件と人の残作業、2024からの機能差、採用・受注・効果の実測を確認する。</x:v>
      </x:c>
      <x:c r="S315" s="7" t="str">
        <x:v>EEX-EXH-2026-08801fc905a3c0c2
EEX-EXH-2024-69b09ebe300791c8</x:v>
      </x:c>
      <x:c r="T315" s="7" t="str">
        <x:v>EEX-EXH-2026-08801fc905a3c0c2: https://www.jimtof.org/search/jp/ESdetails?e=KFThic8eDqA
EEX-EXH-2024-69b09ebe300791c8: https://www.jimtof.org/2024/search/jp/ESdetails?e=LizGJdC_gRQ</x:v>
      </x:c>
      <x:c r="U315" s="7" t="str">
        <x:v>出展説明の関連箇所に基づく一次分類</x:v>
      </x:c>
      <x:c r="V315" s="7"/>
      <x:c r="W315" s="7"/>
      <x:c r="X315" s="7"/>
      <x:c r="Y315" s="7"/>
      <x:c r="Z315" s="7"/>
      <x:c r="AA315" s="7"/>
      <x:c r="AB315" s="7"/>
    </x:row>
    <x:row r="316" ht="170" customHeight="1">
      <x:c r="A316" s="7" t="str">
        <x:v>AC264</x:v>
      </x:c>
      <x:c r="B316" s="20" t="str">
        <x:v>IMM Maschinenbau GmbH</x:v>
      </x:c>
      <x:c r="C316" s="7" t="str">
        <x:v>タービンブレード研削盤（サンプル出展）</x:v>
      </x:c>
      <x:c r="D316" s="7" t="str">
        <x:v>E2026</x:v>
      </x:c>
      <x:c r="E316" s="7" t="str">
        <x:v>自動化</x:v>
      </x:c>
      <x:c r="F316" s="7" t="str">
        <x:v>出展説明の関連用途（個別タスクの分解は未完了）</x:v>
      </x:c>
      <x:c r="G316" s="7" t="str">
        <x:v>出展説明に記載。実装位置の個別精査はカードの方式・未確認欄を参照</x:v>
      </x:c>
      <x:c r="H316" s="7" t="str">
        <x:v>原典抜粋：【アイエムエム タービンブレードベルト研削盤】 / ～タービンブレード磨きの省力化、工程短縮、品質安定を実現～ / 磨き装置の専門メーカーであるアイエムエムのベルト研磨機は、発電機・航空機用ブレードの業界で広く認知され、高い評価を受けています。 / タービンブレード研削盤（サンプル出展）</x:v>
      </x:c>
      <x:c r="I316" s="7" t="str">
        <x:v>個別入力の追加確認が必要</x:v>
      </x:c>
      <x:c r="J316" s="7" t="str">
        <x:v>原典抜粋：【アイエムエム タービンブレードベルト研削盤】 / ～タービンブレード磨きの省力化、工程短縮、品質安定を実現～ / 磨き装置の専門メーカーであるアイエムエムのベルト研磨機は、発電機・航空機用ブレードの業界で広く認知され、高い評価を受けています。 / タービンブレード研削盤（サンプル出展）</x:v>
      </x:c>
      <x:c r="K316" s="7" t="str">
        <x:v>【アイエムエム タービンブレードベルト研削盤】 / ～タービンブレード磨きの省力化、工程短縮、品質安定を実現～ / 磨き装置の専門メーカーであるアイエムエムのベルト研磨機は、発電機・航空機用ブレードの業界で広く認知され、高い評価を受けています。 / タービンブレード研削盤（サンプル出展）</x:v>
      </x:c>
      <x:c r="L316" s="7" t="str">
        <x:v>承認・例外対応・停止・復帰の境界は未確認</x:v>
      </x:c>
      <x:c r="M316" s="7" t="str">
        <x:v>2024原典抜粋：【アイエムエム タービンブレード研削盤】 ～タービンブレード翼面仕上げの業界標準機～ 磨き装置の専門メーカーであるアイエムエムのベルト研磨機は発電機・航空機向けブレードの業界で広く認知され高い評価を受けています。 タービンブレード研削盤(サンプル出展)</x:v>
      </x:c>
      <x:c r="N316" s="7" t="str">
        <x:v>2026原典抜粋：【アイエムエム タービンブレードベルト研削盤】 / ～タービンブレード磨きの省力化、工程短縮、品質安定を実現～ / 磨き装置の専門メーカーであるアイエムエムのベルト研磨機は、発電機・航空機用ブレードの業界で広く認知され、高い評価を受けています。 / タービンブレード研削盤（サンプル出展）</x:v>
      </x:c>
      <x:c r="O316" s="7" t="str">
        <x:v>両年原典あり・機能差未判定</x:v>
      </x:c>
      <x:c r="P316" s="7" t="str">
        <x:v>2026公式カタログ掲載・現地未確認</x:v>
      </x:c>
      <x:c r="Q316" s="7" t="str">
        <x:v>2026展示予定。既存製品・参考出展・構想等は原典で個別確認</x:v>
      </x:c>
      <x:c r="R316" s="7" t="str">
        <x:v>どの作業を自動化・支援するか、入力と判断・操作の範囲、適用条件と人の残作業、2024からの機能差、採用・受注・効果の実測を確認する。</x:v>
      </x:c>
      <x:c r="S316" s="7" t="str">
        <x:v>EEX-EXH-2026-763f74d6ac021fe7
EEX-EXH-2024-1a4072c88ad669cf</x:v>
      </x:c>
      <x:c r="T316" s="7" t="str">
        <x:v>EEX-EXH-2026-763f74d6ac021fe7: https://www.jimtof.org/search/jp/ESdetails?e=p1moNnspTGg
EEX-EXH-2024-1a4072c88ad669cf: https://www.jimtof.org/2024/search/jp/ESdetails?e=TV4m8rG-6WU</x:v>
      </x:c>
      <x:c r="U316" s="7" t="str">
        <x:v>出展説明の関連箇所に基づく一次分類</x:v>
      </x:c>
      <x:c r="V316" s="7"/>
      <x:c r="W316" s="7"/>
      <x:c r="X316" s="7"/>
      <x:c r="Y316" s="7"/>
      <x:c r="Z316" s="7"/>
      <x:c r="AA316" s="7"/>
      <x:c r="AB316" s="7"/>
    </x:row>
    <x:row r="317" ht="170" customHeight="1">
      <x:c r="A317" s="7" t="str">
        <x:v>AC265</x:v>
      </x:c>
      <x:c r="B317" s="20" t="str">
        <x:v>INCOS INC</x:v>
      </x:c>
      <x:c r="C317" s="7" t="str">
        <x:v>boxcon：工具貸出・返却・在庫管理</x:v>
      </x:c>
      <x:c r="D317" s="7" t="str">
        <x:v>S3006</x:v>
      </x:c>
      <x:c r="E317" s="7" t="str">
        <x:v>工場運用DX
自動化
自律化</x:v>
      </x:c>
      <x:c r="F317" s="7" t="str">
        <x:v>工具の貸出・返却・在庫の追跡</x:v>
      </x:c>
      <x:c r="G317" s="7" t="str">
        <x:v>IoTセンサ等とboxcon管理ソフトウェア</x:v>
      </x:c>
      <x:c r="H317" s="7" t="str">
        <x:v>工具貸出・返却・在庫を追跡</x:v>
      </x:c>
      <x:c r="I317" s="7" t="str">
        <x:v>工具の使用・返却・在庫情報。2024はロードセル等の構成を説明</x:v>
      </x:c>
      <x:c r="J317" s="7" t="str">
        <x:v>2026はリアルタイム追跡・認証・履歴と自律製造対応を強調。</x:v>
      </x:c>
      <x:c r="K317" s="7" t="str">
        <x:v>工具貸出・返却・在庫を追跡</x:v>
      </x:c>
      <x:c r="L317" s="7" t="str">
        <x:v>承認・例外対応・停止・復帰の境界は未確認</x:v>
      </x:c>
      <x:c r="M317" s="7" t="str">
        <x:v>2024もIoT・ロードセル・LED・ロック等とソフトによる工具在庫管理を説明。</x:v>
      </x:c>
      <x:c r="N317" s="7" t="str">
        <x:v>2026はリアルタイム追跡・認証・履歴と自律製造対応を強調。</x:v>
      </x:c>
      <x:c r="O317" s="7" t="str">
        <x:v>2024から継続</x:v>
      </x:c>
      <x:c r="P317" s="7" t="str">
        <x:v>2026公式カタログ掲載・現地未確認</x:v>
      </x:c>
      <x:c r="Q317" s="7" t="str">
        <x:v>2026展示予定。既存製品・参考出展・構想等は原典で個別確認</x:v>
      </x:c>
      <x:c r="R317" s="7" t="str">
        <x:v>重量変化と品番・使用者の照合、誤返却、在庫補充の判断者、他システム連携と2024からの実装差は。</x:v>
      </x:c>
      <x:c r="S317" s="7" t="str">
        <x:v>EEX-EXH-2026-50a336f6fb27482a
EEX-EXH-2024-eec5a9541dad389d</x:v>
      </x:c>
      <x:c r="T317" s="7" t="str">
        <x:v>EEX-EXH-2026-50a336f6fb27482a: https://www.jimtof.org/search/jp/ESdetails?e=fAg9O7WHKh0
EEX-EXH-2024-eec5a9541dad389d: https://www.jimtof.org/2024/search/jp/ESdetails?e=bz4bGc4T6ag</x:v>
      </x:c>
      <x:c r="U317" s="7" t="str">
        <x:v>2024・2026の原典全文を重点比較</x:v>
      </x:c>
      <x:c r="V317" s="7"/>
      <x:c r="W317" s="7"/>
      <x:c r="X317" s="7"/>
      <x:c r="Y317" s="7"/>
      <x:c r="Z317" s="7"/>
      <x:c r="AA317" s="7"/>
      <x:c r="AB317" s="7"/>
    </x:row>
    <x:row r="318" ht="170" customHeight="1">
      <x:c r="A318" s="7" t="str">
        <x:v>AC268</x:v>
      </x:c>
      <x:c r="B318" s="20" t="str">
        <x:v>KAI HUNG MACHINERY CO., LTD.</x:v>
      </x:c>
      <x:c r="C318" s="7" t="str">
        <x:v>ロータリートランスファーマシン 3Dモデル</x:v>
      </x:c>
      <x:c r="D318" s="7" t="str">
        <x:v>E1009-5</x:v>
      </x:c>
      <x:c r="E318" s="7" t="str">
        <x:v>自動化</x:v>
      </x:c>
      <x:c r="F318" s="7" t="str">
        <x:v>出展説明の関連用途（個別タスクの分解は未完了）</x:v>
      </x:c>
      <x:c r="G318" s="7" t="str">
        <x:v>出展説明に記載。実装位置の個別精査はカードの方式・未確認欄を参照</x:v>
      </x:c>
      <x:c r="H318" s="7" t="str">
        <x:v>原典抜粋：2.Production efficiency is 5–12 times higher than the conventional machining equipment.The machine offers high precision, energy savings, reduced floor space requirements, and compatibility with automation systems, allow</x:v>
      </x:c>
      <x:c r="I318" s="7" t="str">
        <x:v>個別入力の追加確認が必要</x:v>
      </x:c>
      <x:c r="J318" s="7" t="str">
        <x:v>原典抜粋：2.Production efficiency is 5–12 times higher than the conventional machining equipment.The machine offers high precision, energy savings, reduced floor space requirements, and compatibility with automation systems, allow</x:v>
      </x:c>
      <x:c r="K318" s="7" t="str">
        <x:v>2.Production efficiency is 5–12 times higher than the conventional machining equipment.The machine offers high precision, energy savings, reduced floor space requirements, and compatibility with automation systems, allow</x:v>
      </x:c>
      <x:c r="L318" s="7" t="str">
        <x:v>承認・例外対応・停止・復帰の境界は未確認</x:v>
      </x:c>
      <x:c r="M318" s="7" t="str">
        <x:v>同一正規化名称の2024詳細なし。新規出展・技術不存在とは判断しない。</x:v>
      </x:c>
      <x:c r="N318" s="7" t="str">
        <x:v>2026原典抜粋：2.Production efficiency is 5–12 times higher than the conventional machining equipment.The machine offers high precision, energy savings, reduced floor space requirements, and compatibility with automation systems, allow</x:v>
      </x:c>
      <x:c r="O318" s="7" t="str">
        <x:v>2024個別比較不能</x:v>
      </x:c>
      <x:c r="P318" s="7" t="str">
        <x:v>2026公式カタログ掲載・現地未確認</x:v>
      </x:c>
      <x:c r="Q318" s="7" t="str">
        <x:v>2026展示予定。既存製品・参考出展・構想等は原典で個別確認</x:v>
      </x:c>
      <x:c r="R318" s="7" t="str">
        <x:v>どの作業を自動化・支援するか、入力と判断・操作の範囲、適用条件と人の残作業、2024からの機能差、採用・受注・効果の実測を確認する。</x:v>
      </x:c>
      <x:c r="S318" s="7" t="str">
        <x:v>EEX-EXH-2026-eee5f5bb1b44f5c1</x:v>
      </x:c>
      <x:c r="T318" s="7" t="str">
        <x:v>EEX-EXH-2026-eee5f5bb1b44f5c1: https://www.jimtof.org/search/jp/ESdetails?e=8qrXuJ0N8KM</x:v>
      </x:c>
      <x:c r="U318" s="7" t="str">
        <x:v>出展説明の関連箇所に基づく一次分類</x:v>
      </x:c>
      <x:c r="V318" s="7"/>
      <x:c r="W318" s="7"/>
      <x:c r="X318" s="7"/>
      <x:c r="Y318" s="7"/>
      <x:c r="Z318" s="7"/>
      <x:c r="AA318" s="7"/>
      <x:c r="AB318" s="7"/>
    </x:row>
    <x:row r="319" ht="170" customHeight="1">
      <x:c r="A319" s="7" t="str">
        <x:v>AC269</x:v>
      </x:c>
      <x:c r="B319" s="20" t="str">
        <x:v>LNS Management SA</x:v>
      </x:c>
      <x:c r="C319" s="7" t="str">
        <x:v>Turbo MH : 濾過機能付きヒンジコンベア</x:v>
      </x:c>
      <x:c r="D319" s="7" t="str">
        <x:v>S4016</x:v>
      </x:c>
      <x:c r="E319" s="7" t="str">
        <x:v>自動化</x:v>
      </x:c>
      <x:c r="F319" s="7" t="str">
        <x:v>出展説明の関連用途（個別タスクの分解は未完了）</x:v>
      </x:c>
      <x:c r="G319" s="7" t="str">
        <x:v>出展説明に記載。実装位置の個別精査はカードの方式・未確認欄を参照</x:v>
      </x:c>
      <x:c r="H319" s="7" t="str">
        <x:v>原典抜粋：● GT 565（新製品）：材料径5～67mmまで対応可能な長尺材用のオイル式自動給材機 / ● EL 65：材料径5～65mmまで対応可能な短尺材用の自動給材機 / ● Turbo MH（スケルトンモデル）：自動清掃機能を備えた濾過機能付きヒンジコンベア / LNSの長年の経験に基づく独自技術を採用したこれらの製品は、工場の自動化、生産性向上、作業環境の改善などの課題解決に貢献します。 / ● GT 565: 小径～大径の長尺材に対応</x:v>
      </x:c>
      <x:c r="I319" s="7" t="str">
        <x:v>個別入力の追加確認が必要</x:v>
      </x:c>
      <x:c r="J319" s="7" t="str">
        <x:v>原典抜粋：● GT 565（新製品）：材料径5～67mmまで対応可能な長尺材用のオイル式自動給材機 / ● EL 65：材料径5～65mmまで対応可能な短尺材用の自動給材機 / ● Turbo MH（スケルトンモデル）：自動清掃機能を備えた濾過機能付きヒンジコンベア / LNSの長年の経験に基づく独自技術を採用したこれらの製品は、工場の自動化、生産性向上、作業環境の改善などの課題解決に貢献します。 / ● GT 565: 小径～大径の長尺材に対応</x:v>
      </x:c>
      <x:c r="K319" s="7" t="str">
        <x:v>● GT 565（新製品）：材料径5～67mmまで対応可能な長尺材用のオイル式自動給材機 / ● EL 65：材料径5～65mmまで対応可能な短尺材用の自動給材機 / ● Turbo MH（スケルトンモデル）：自動清掃機能を備えた濾過機能付きヒンジコンベア / LNSの長年の経験に基づく独自技術を採用したこれらの製品は、工場の自動化、生産性向上、作業環境の改善などの課題解決に貢献します。 / ● GT 565: 小径～大径の長尺材に対応</x:v>
      </x:c>
      <x:c r="L319" s="7" t="str">
        <x:v>承認・例外対応・停止・復帰の境界は未確認</x:v>
      </x:c>
      <x:c r="M319" s="7" t="str">
        <x:v>2024原典抜粋：LNSは50年以上にわたり、工作機械の周辺装置の開発・販売に特化して取り組んできました。この長年の経験をもとに開発された給材機、チップコンベア、ミストコレクター、クーラントマネージメントシステムなどの製品は、世界中の工作機械市場で幅広く利用され、多くのお客様から高い評価をいただいています。 JIMTOF 2024の展示ブースでは、新製品を含む以下の製品をご紹介いたします。 ● GT 342（新製品）：材料径3～42mmまで対応可能な長尺材用のオイル式自動給材機 ● Turbo MH（スケルトンモデル）：自動清掃機能</x:v>
      </x:c>
      <x:c r="N319" s="7" t="str">
        <x:v>2026原典抜粋：● GT 565（新製品）：材料径5～67mmまで対応可能な長尺材用のオイル式自動給材機 / ● EL 65：材料径5～65mmまで対応可能な短尺材用の自動給材機 / ● Turbo MH（スケルトンモデル）：自動清掃機能を備えた濾過機能付きヒンジコンベア / LNSの長年の経験に基づく独自技術を採用したこれらの製品は、工場の自動化、生産性向上、作業環境の改善などの課題解決に貢献します。 / ● GT 565: 小径～大径の長尺材に対応</x:v>
      </x:c>
      <x:c r="O319" s="7" t="str">
        <x:v>両年原典あり・機能差未判定</x:v>
      </x:c>
      <x:c r="P319" s="7" t="str">
        <x:v>2026公式カタログ掲載・現地未確認</x:v>
      </x:c>
      <x:c r="Q319" s="7" t="str">
        <x:v>2026展示予定。既存製品・参考出展・構想等は原典で個別確認</x:v>
      </x:c>
      <x:c r="R319" s="7" t="str">
        <x:v>どの作業を自動化・支援するか、入力と判断・操作の範囲、適用条件と人の残作業、2024からの機能差、採用・受注・効果の実測を確認する。</x:v>
      </x:c>
      <x:c r="S319" s="7" t="str">
        <x:v>EEX-EXH-2026-ba7a51db7c150816
EEX-EXH-2024-bfd31e3ca03c1b78</x:v>
      </x:c>
      <x:c r="T319" s="7" t="str">
        <x:v>EEX-EXH-2026-ba7a51db7c150816: https://www.jimtof.org/search/jp/ESdetails?e=MWu_r3zjcLw
EEX-EXH-2024-bfd31e3ca03c1b78: https://www.jimtof.org/2024/search/jp/ESdetails?e=5jQ0DlhlPKY</x:v>
      </x:c>
      <x:c r="U319" s="7" t="str">
        <x:v>出展説明の関連箇所に基づく一次分類</x:v>
      </x:c>
      <x:c r="V319" s="7"/>
      <x:c r="W319" s="7"/>
      <x:c r="X319" s="7"/>
      <x:c r="Y319" s="7"/>
      <x:c r="Z319" s="7"/>
      <x:c r="AA319" s="7"/>
      <x:c r="AB319" s="7"/>
    </x:row>
    <x:row r="320" ht="170" customHeight="1">
      <x:c r="A320" s="7" t="str">
        <x:v>AC271</x:v>
      </x:c>
      <x:c r="B320" s="20" t="str">
        <x:v>Masterlink</x:v>
      </x:c>
      <x:c r="C320" s="7" t="str">
        <x:v>工作機械センシングの知能化による生産性向上：</x:v>
      </x:c>
      <x:c r="D320" s="7" t="str">
        <x:v>E1050</x:v>
      </x:c>
      <x:c r="E320" s="7" t="str">
        <x:v>検査・診断・予測AI
工場運用DX
自動化
AI実装・連携基盤</x:v>
      </x:c>
      <x:c r="F320" s="7" t="str">
        <x:v>出展説明の関連用途（個別タスクの分解は未完了）</x:v>
      </x:c>
      <x:c r="G320" s="7" t="str">
        <x:v>出展説明に記載。実装位置の個別精査はカードの方式・未確認欄を参照</x:v>
      </x:c>
      <x:c r="H320" s="7" t="str">
        <x:v>原典抜粋：工具監視システム： / 重荷重パレタイジングロボット： / インテリジェント IoT ゲートウェイ： / 工具監視システム： / 重荷重パレタイジングロボット： / インテリジェント IoT ゲートウェイ：</x:v>
      </x:c>
      <x:c r="I320" s="7" t="str">
        <x:v>個別入力の追加確認が必要</x:v>
      </x:c>
      <x:c r="J320" s="7" t="str">
        <x:v>原典抜粋：工具監視システム： / 重荷重パレタイジングロボット： / インテリジェント IoT ゲートウェイ： / 工具監視システム： / 重荷重パレタイジングロボット： / インテリジェント IoT ゲートウェイ：</x:v>
      </x:c>
      <x:c r="K320" s="7" t="str">
        <x:v>工具監視システム： / 重荷重パレタイジングロボット： / インテリジェント IoT ゲートウェイ： / 工具監視システム： / 重荷重パレタイジングロボット： / インテリジェント IoT ゲートウェイ：</x:v>
      </x:c>
      <x:c r="L320" s="7" t="str">
        <x:v>承認・例外対応・停止・復帰の境界は未確認</x:v>
      </x:c>
      <x:c r="M320" s="7" t="str">
        <x:v>2024原典抜粋：2016年に設立されたMasterlink Intelligent Technology Co., LTD.(以下、Masterlink)は、金属加工とインテリジェント製造のソリューションに焦点を当てており、工作機械、生産ラインからワークショップまで、製品とソリューションのあらゆる側面をユーザーに提供することに取り組んでいます。ビッグデータ技術を通じて、MasterLinkは生産現場の包括的な管理システムを構築し、センサー、エッジコンピューティング、クラウドコンピューティング、その他の技術と組み合わせることで、Ma</x:v>
      </x:c>
      <x:c r="N320" s="7" t="str">
        <x:v>2026原典抜粋：工具監視システム： / 重荷重パレタイジングロボット： / インテリジェント IoT ゲートウェイ： / 工具監視システム： / 重荷重パレタイジングロボット： / インテリジェント IoT ゲートウェイ：</x:v>
      </x:c>
      <x:c r="O320" s="7" t="str">
        <x:v>両年原典あり・機能差未判定</x:v>
      </x:c>
      <x:c r="P320" s="7" t="str">
        <x:v>2026公式カタログ掲載・現地未確認</x:v>
      </x:c>
      <x:c r="Q320" s="7" t="str">
        <x:v>2026展示予定。既存製品・参考出展・構想等は原典で個別確認</x:v>
      </x:c>
      <x:c r="R320" s="7" t="str">
        <x:v>どの作業を自動化・支援するか、入力と判断・操作の範囲、適用条件と人の残作業、2024からの機能差、採用・受注・効果の実測を確認する。</x:v>
      </x:c>
      <x:c r="S320" s="7" t="str">
        <x:v>EEX-EXH-2026-19ce238d137fe275
EEX-EXH-2024-a2fae1d1864676d1</x:v>
      </x:c>
      <x:c r="T320" s="7" t="str">
        <x:v>EEX-EXH-2026-19ce238d137fe275: https://www.jimtof.org/search/jp/ESdetails?e=kygm0UxJL-M
EEX-EXH-2024-a2fae1d1864676d1: https://www.jimtof.org/2024/search/jp/ESdetails?e=58-lhh4o9Oo</x:v>
      </x:c>
      <x:c r="U320" s="7" t="str">
        <x:v>出展説明の関連箇所に基づく一次分類</x:v>
      </x:c>
      <x:c r="V320" s="7"/>
      <x:c r="W320" s="7"/>
      <x:c r="X320" s="7"/>
      <x:c r="Y320" s="7"/>
      <x:c r="Z320" s="7"/>
      <x:c r="AA320" s="7"/>
      <x:c r="AB320" s="7"/>
    </x:row>
    <x:row r="321" ht="170" customHeight="1">
      <x:c r="A321" s="7" t="str">
        <x:v>AC272</x:v>
      </x:c>
      <x:c r="B321" s="20" t="str">
        <x:v>Matrix Precision Co., Ltd</x:v>
      </x:c>
      <x:c r="C321" s="7" t="str">
        <x:v>CNC歯車創成研削盤 GVC-0260</x:v>
      </x:c>
      <x:c r="D321" s="7" t="str">
        <x:v>S2019</x:v>
      </x:c>
      <x:c r="E321" s="7" t="str">
        <x:v>自動化</x:v>
      </x:c>
      <x:c r="F321" s="7" t="str">
        <x:v>出展説明の関連用途（個別タスクの分解は未完了）</x:v>
      </x:c>
      <x:c r="G321" s="7" t="str">
        <x:v>出展説明に記載。実装位置の個別精査はカードの方式・未確認欄を参照</x:v>
      </x:c>
      <x:c r="H321" s="7" t="str">
        <x:v>原典抜粋：高速・高能率な精密研削と自動化システムに対応する。</x:v>
      </x:c>
      <x:c r="I321" s="7" t="str">
        <x:v>個別入力の追加確認が必要</x:v>
      </x:c>
      <x:c r="J321" s="7" t="str">
        <x:v>原典抜粋：高速・高能率な精密研削と自動化システムに対応する。</x:v>
      </x:c>
      <x:c r="K321" s="7" t="str">
        <x:v>高速・高能率な精密研削と自動化システムに対応する。</x:v>
      </x:c>
      <x:c r="L321" s="7" t="str">
        <x:v>承認・例外対応・停止・復帰の境界は未確認</x:v>
      </x:c>
      <x:c r="M321" s="7" t="str">
        <x:v>2024原典抜粋：MATRIX社製の成形研削盤高い評価を得ています。長年の経験の蓄積を経て、さらに高精度CNC歯車成形創成複合研削盤GVC-0500を発売しました。この研削盤は、小規模および中規模のロット生産向けに設計されています。最大外径500mmのワークを同一機械で加工可能です。研削および創造的な研削機能は、有名ブランドのコントローラ、高速ワークピース主軸および砥石主軸を使用し、CNC歯車研削用に自社開発の歯車研削ソフトウェアーと組み合わせています。高効率、高精度の優れた性能は世界のトップブランドに匹敵し、最良の選択となります。</x:v>
      </x:c>
      <x:c r="N321" s="7" t="str">
        <x:v>2026原典抜粋：高速・高能率な精密研削と自動化システムに対応する。</x:v>
      </x:c>
      <x:c r="O321" s="7" t="str">
        <x:v>両年原典あり・機能差未判定</x:v>
      </x:c>
      <x:c r="P321" s="7" t="str">
        <x:v>2026公式カタログ掲載・現地未確認</x:v>
      </x:c>
      <x:c r="Q321" s="7" t="str">
        <x:v>2026展示予定。既存製品・参考出展・構想等は原典で個別確認</x:v>
      </x:c>
      <x:c r="R321" s="7" t="str">
        <x:v>どの作業を自動化・支援するか、入力と判断・操作の範囲、適用条件と人の残作業、2024からの機能差、採用・受注・効果の実測を確認する。</x:v>
      </x:c>
      <x:c r="S321" s="7" t="str">
        <x:v>EEX-EXH-2026-c4882a21138dab6c
EEX-EXH-2024-091c8777fd5c1e0e</x:v>
      </x:c>
      <x:c r="T321" s="7" t="str">
        <x:v>EEX-EXH-2026-c4882a21138dab6c: https://www.jimtof.org/search/jp/ESdetails?e=vvseLw_Wxp0
EEX-EXH-2024-091c8777fd5c1e0e: https://www.jimtof.org/2024/search/jp/ESdetails?e=CqObrYG0IY8</x:v>
      </x:c>
      <x:c r="U321" s="7" t="str">
        <x:v>出展説明の関連箇所に基づく一次分類</x:v>
      </x:c>
      <x:c r="V321" s="7"/>
      <x:c r="W321" s="7"/>
      <x:c r="X321" s="7"/>
      <x:c r="Y321" s="7"/>
      <x:c r="Z321" s="7"/>
      <x:c r="AA321" s="7"/>
      <x:c r="AB321" s="7"/>
    </x:row>
    <x:row r="322" ht="170" customHeight="1">
      <x:c r="A322" s="7" t="str">
        <x:v>AC273</x:v>
      </x:c>
      <x:c r="B322" s="20" t="str">
        <x:v>NdotLight Co., Ltd.</x:v>
      </x:c>
      <x:c r="C322" s="7" t="str">
        <x:v>TRINIX：CADから物理シミュレーション用データ生成</x:v>
      </x:c>
      <x:c r="D322" s="7" t="str">
        <x:v>S4004</x:v>
      </x:c>
      <x:c r="E322" s="7" t="str">
        <x:v>フィジカルAI
加工準備・業務AI
設計・製造DX
工場運用DX
自動化
自律化
AI実装・連携基盤</x:v>
      </x:c>
      <x:c r="F322" s="7" t="str">
        <x:v>ロボット学習・検証用3Dデータ生成</x:v>
      </x:c>
      <x:c r="G322" s="7" t="str">
        <x:v>TRINIXの生成・変換・シミュレーション検証ソフト</x:v>
      </x:c>
      <x:c r="H322" s="7" t="str">
        <x:v>生成→物理属性付与→検証・修正→USD等へ出力</x:v>
      </x:c>
      <x:c r="I322" s="7" t="str">
        <x:v>テキスト・画像・既存CAD、寸法・内部構造・関節・物理属性</x:v>
      </x:c>
      <x:c r="J322" s="7" t="str">
        <x:v>CAD生成・SimReady変換。自己修正は出展説明の主張で、正解の作り方・修正判定は未公開</x:v>
      </x:c>
      <x:c r="K322" s="7" t="str">
        <x:v>NURBS等の編集可能形状と物理属性を生成し、USD/URDF/MJCF等へ出力する説明</x:v>
      </x:c>
      <x:c r="L322" s="7" t="str">
        <x:v>事前準備：未記載：質量・摩擦・関節条件の実測入力と推定値の区別／承認：未記載：物理属性・生成形状・検証結果を人が承認する画面／例外対応：未記載：物理破綻や自己修正が収束しない時の扱い</x:v>
      </x:c>
      <x:c r="M322" s="7" t="str">
        <x:v>同一名称の2024詳細なし。</x:v>
      </x:c>
      <x:c r="N322" s="7" t="str">
        <x:v>テキスト・画像・CADからNURBS形状、物理属性・関節・衝突メッシュを生成し、シミュレーション検証・自己修正を説明。</x:v>
      </x:c>
      <x:c r="O322" s="7" t="str">
        <x:v>2024個別比較不能</x:v>
      </x:c>
      <x:c r="P322" s="7" t="str">
        <x:v>2026のライブデモ・ロボット学習用データ展示を予告。実機ロボットの作業実演とは未確認</x:v>
      </x:c>
      <x:c r="Q322" s="7" t="str">
        <x:v>2026展示予定。既存製品・参考出展・構想等は原典で個別確認</x:v>
      </x:c>
      <x:c r="R322" s="7" t="str">
        <x:v>TRINIXは物理属性の推論と自己修正を説明済み。NVIDIAのアセット検証は周辺基盤の既存機能で、TRINIXへの搭載確認とは別。DexBenchは共同開発告知。実測正解・収束条件・実機誤差と公開ベンチの提供範囲は未確認 現地質問は追補の確認表を参照。</x:v>
      </x:c>
      <x:c r="S322" s="7" t="str">
        <x:v>EEX-EXH-2026-016097f87d1914b2
EEX-WNDOT
ERF-06
ERF-07
ERF-08
ERF-09</x:v>
      </x:c>
      <x:c r="T322" s="7" t="str">
        <x:v>EEX-EXH-2026-016097f87d1914b2: https://www.jimtof.org/search/jp/ESdetails?e=6Ds1v9hxvrY
EEX-WNDOT: https://ndotlight.com/newsroom/ndotlight-proposes-a-new-3d-data-standard-for-the-physical-ai-era-with-trinix
ERF-06: https://ndotlight.com/
ERF-07: https://docs.omniverse.nvidia.com/simready/latest/simready-faq.html
ERF-08: https://docs.omniverse.nvidia.com/simready/latest/simready-asset-creation/physics-best-practices.html
ERF-09: https://ndotlight.com/newsroom/ndotlight-to-co-develop-dexbench-a-global-standard-for-humanoid-evaluation-with-nvidia-and-rlwrld</x:v>
      </x:c>
      <x:c r="U322" s="7" t="str">
        <x:v>2026の原典全文を重点整理・2024同名原典なし</x:v>
      </x:c>
      <x:c r="V322" s="7" t="str">
        <x:v>学習・物理シミュレーション用データ基盤</x:v>
      </x:c>
      <x:c r="W322" s="7" t="str">
        <x:v>CAD生成・SimReady変換。自己修正は出展説明の主張で、正解の作り方・修正判定は未公開</x:v>
      </x:c>
      <x:c r="X322" s="7" t="str">
        <x:v>NURBS等の編集可能形状と物理属性を生成し、USD/URDF/MJCF等へ出力する説明</x:v>
      </x:c>
      <x:c r="Y322" s="7" t="str">
        <x:v>未記載：質量・摩擦・関節条件の実測入力と推定値の区別</x:v>
      </x:c>
      <x:c r="Z322" s="7" t="str">
        <x:v>未記載：物理属性・生成形状・検証結果を人が承認する画面</x:v>
      </x:c>
      <x:c r="AA322" s="7" t="str">
        <x:v>未記載：物理破綻や自己修正が収束しない時の扱い</x:v>
      </x:c>
      <x:c r="AB322" s="7" t="str">
        <x:v>TRINIXは物理属性の推論と自己修正を説明済み。NVIDIAのアセット検証は周辺基盤の既存機能で、TRINIXへの搭載確認とは別。DexBenchは共同開発告知。実測正解・収束条件・実機誤差と公開ベンチの提供範囲は未確認</x:v>
      </x:c>
    </x:row>
    <x:row r="323" ht="170" customHeight="1">
      <x:c r="A323" s="7" t="str">
        <x:v>AC275</x:v>
      </x:c>
      <x:c r="B323" s="20" t="str">
        <x:v>NINGBO BLIN MACHINERY CO LTD</x:v>
      </x:c>
      <x:c r="C323" s="7" t="str">
        <x:v>傾斜ベッド型CNC旋盤／CNCターニングセンタ「S PRECISE」シリーズ</x:v>
      </x:c>
      <x:c r="D323" s="7" t="str">
        <x:v>S1073</x:v>
      </x:c>
      <x:c r="E323" s="7" t="str">
        <x:v>自動化</x:v>
      </x:c>
      <x:c r="F323" s="7" t="str">
        <x:v>出展説明の関連用途（個別タスクの分解は未完了）</x:v>
      </x:c>
      <x:c r="G323" s="7" t="str">
        <x:v>出展説明に記載。実装位置の個別精査はカードの方式・未確認欄を参照</x:v>
      </x:c>
      <x:c r="H323" s="7" t="str">
        <x:v>原典抜粋：■ ツールセッター、パーツキャッチャー、ロボット等のオプションに対応したモジュール設計、独立タンクによる油・クーラント分離機能、主要部品には国際的に定評のあるブランド製品を採用</x:v>
      </x:c>
      <x:c r="I323" s="7" t="str">
        <x:v>個別入力の追加確認が必要</x:v>
      </x:c>
      <x:c r="J323" s="7" t="str">
        <x:v>原典抜粋：■ ツールセッター、パーツキャッチャー、ロボット等のオプションに対応したモジュール設計、独立タンクによる油・クーラント分離機能、主要部品には国際的に定評のあるブランド製品を採用</x:v>
      </x:c>
      <x:c r="K323" s="7" t="str">
        <x:v>■ ツールセッター、パーツキャッチャー、ロボット等のオプションに対応したモジュール設計、独立タンクによる油・クーラント分離機能、主要部品には国際的に定評のあるブランド製品を採用</x:v>
      </x:c>
      <x:c r="L323" s="7" t="str">
        <x:v>承認・例外対応・停止・復帰の境界は未確認</x:v>
      </x:c>
      <x:c r="M323" s="7" t="str">
        <x:v>2024原典抜粋：■ JAPAN TAKISAWAと同様の構造を採用、ベッドはフラットベッド、スライドボードは30°傾斜設計を採用、高剛性、優れた加工柔軟性 ■超コンパクトな構造、広い内部スペース、モダンな外観 ■ JAPANの技術を採用、JAPANエンジニアが設計、ほとんどの部品はドイツ/日本/台湾ブランドを採用 ■モジュール化設計を採用、強力な拡張機能を備え、ツールセッター、パーツキャッチャー、ロボットなど、さまざまな特別な構成の選択が容易。 BL-S200 スラントベッドCNC旋盤</x:v>
      </x:c>
      <x:c r="N323" s="7" t="str">
        <x:v>2026原典抜粋：■ ツールセッター、パーツキャッチャー、ロボット等のオプションに対応したモジュール設計、独立タンクによる油・クーラント分離機能、主要部品には国際的に定評のあるブランド製品を採用</x:v>
      </x:c>
      <x:c r="O323" s="7" t="str">
        <x:v>両年原典あり・機能差未判定</x:v>
      </x:c>
      <x:c r="P323" s="7" t="str">
        <x:v>2026公式カタログ掲載・現地未確認</x:v>
      </x:c>
      <x:c r="Q323" s="7" t="str">
        <x:v>2026展示予定。既存製品・参考出展・構想等は原典で個別確認</x:v>
      </x:c>
      <x:c r="R323" s="7" t="str">
        <x:v>どの作業を自動化・支援するか、入力と判断・操作の範囲、適用条件と人の残作業、2024からの機能差、採用・受注・効果の実測を確認する。</x:v>
      </x:c>
      <x:c r="S323" s="7" t="str">
        <x:v>EEX-EXH-2026-df9fd9e3f835e55a
EEX-EXH-2024-da04f7774fd05b78</x:v>
      </x:c>
      <x:c r="T323" s="7" t="str">
        <x:v>EEX-EXH-2026-df9fd9e3f835e55a: https://www.jimtof.org/search/jp/ESdetails?e=-DLoNC4r21w
EEX-EXH-2024-da04f7774fd05b78: https://www.jimtof.org/2024/search/jp/ESdetails?e=AKC0LsfHQI4</x:v>
      </x:c>
      <x:c r="U323" s="7" t="str">
        <x:v>出展説明の関連箇所に基づく一次分類</x:v>
      </x:c>
      <x:c r="V323" s="7"/>
      <x:c r="W323" s="7"/>
      <x:c r="X323" s="7"/>
      <x:c r="Y323" s="7"/>
      <x:c r="Z323" s="7"/>
      <x:c r="AA323" s="7"/>
      <x:c r="AB323" s="7"/>
    </x:row>
    <x:row r="324" ht="170" customHeight="1">
      <x:c r="A324" s="7" t="str">
        <x:v>AC276</x:v>
      </x:c>
      <x:c r="B324" s="20" t="str">
        <x:v>PERFECT MACHINE CO., LTD.</x:v>
      </x:c>
      <x:c r="C324" s="7" t="str">
        <x:v>精密平面切削盤-コラム型PFG-50100DT</x:v>
      </x:c>
      <x:c r="D324" s="7" t="str">
        <x:v>S1081</x:v>
      </x:c>
      <x:c r="E324" s="7" t="str">
        <x:v>自動化</x:v>
      </x:c>
      <x:c r="F324" s="7" t="str">
        <x:v>出展説明の関連用途（個別タスクの分解は未完了）</x:v>
      </x:c>
      <x:c r="G324" s="7" t="str">
        <x:v>出展説明に記載。実装位置の個別精査はカードの方式・未確認欄を参照</x:v>
      </x:c>
      <x:c r="H324" s="7" t="str">
        <x:v>原典抜粋：自動砥石ドレッシングおよび補正機能により、作業員数を削減し、加工効率を向上させます。 / 静圧回転テーブルとの組み合わせにより、最適な安定性と高い剛性を実現し、半導体、航空宇宙、自動車産業における精密部品加工に最適な選択肢となります。 / 自動砥石ドレッシングおよび補正機能により、作業員数を削減し、加工効率を向上させます。 / 静圧回転テーブルとの組み合わせにより、最適な安定性と高い剛性を実現し、半導体、航空宇宙、自動車産業における精密</x:v>
      </x:c>
      <x:c r="I324" s="7" t="str">
        <x:v>個別入力の追加確認が必要</x:v>
      </x:c>
      <x:c r="J324" s="7" t="str">
        <x:v>原典抜粋：自動砥石ドレッシングおよび補正機能により、作業員数を削減し、加工効率を向上させます。 / 静圧回転テーブルとの組み合わせにより、最適な安定性と高い剛性を実現し、半導体、航空宇宙、自動車産業における精密部品加工に最適な選択肢となります。 / 自動砥石ドレッシングおよび補正機能により、作業員数を削減し、加工効率を向上させます。 / 静圧回転テーブルとの組み合わせにより、最適な安定性と高い剛性を実現し、半導体、航空宇宙、自動車産業における精密</x:v>
      </x:c>
      <x:c r="K324" s="7" t="str">
        <x:v>自動砥石ドレッシングおよび補正機能により、作業員数を削減し、加工効率を向上させます。 / 静圧回転テーブルとの組み合わせにより、最適な安定性と高い剛性を実現し、半導体、航空宇宙、自動車産業における精密部品加工に最適な選択肢となります。 / 自動砥石ドレッシングおよび補正機能により、作業員数を削減し、加工効率を向上させます。 / 静圧回転テーブルとの組み合わせにより、最適な安定性と高い剛性を実現し、半導体、航空宇宙、自動車産業における精密</x:v>
      </x:c>
      <x:c r="L324" s="7" t="str">
        <x:v>承認・例外対応・停止・復帰の境界は未確認</x:v>
      </x:c>
      <x:c r="M324" s="7" t="str">
        <x:v>2024原典抜粋：DTシリーズ ** タッチパネル ** 上下自動送り ** 前後連続送り研磨機能 ** 自動潤滑装置 ** 前後微調整装置(0.001mm/１メモリ)(サドル型用) ** 後部カバー標準裝備 ** 前後ストローク調整は操作板から制御 ** テーブル左右移動はセンサーと電磁バルブで制御 タッチパネル平面研削盤-DTシリーズ 模型: PFG-50100DT</x:v>
      </x:c>
      <x:c r="N324" s="7" t="str">
        <x:v>2026原典抜粋：自動砥石ドレッシングおよび補正機能により、作業員数を削減し、加工効率を向上させます。 / 静圧回転テーブルとの組み合わせにより、最適な安定性と高い剛性を実現し、半導体、航空宇宙、自動車産業における精密部品加工に最適な選択肢となります。 / 自動砥石ドレッシングおよび補正機能により、作業員数を削減し、加工効率を向上させます。 / 静圧回転テーブルとの組み合わせにより、最適な安定性と高い剛性を実現し、半導体、航空宇宙、自動車産業における精密</x:v>
      </x:c>
      <x:c r="O324" s="7" t="str">
        <x:v>両年原典あり・機能差未判定</x:v>
      </x:c>
      <x:c r="P324" s="7" t="str">
        <x:v>2026公式カタログ掲載・現地未確認</x:v>
      </x:c>
      <x:c r="Q324" s="7" t="str">
        <x:v>2026展示予定。既存製品・参考出展・構想等は原典で個別確認</x:v>
      </x:c>
      <x:c r="R324" s="7" t="str">
        <x:v>どの作業を自動化・支援するか、入力と判断・操作の範囲、適用条件と人の残作業、2024からの機能差、採用・受注・効果の実測を確認する。</x:v>
      </x:c>
      <x:c r="S324" s="7" t="str">
        <x:v>EEX-EXH-2026-166eb1d478702025
EEX-EXH-2024-518e5c72e0650c69</x:v>
      </x:c>
      <x:c r="T324" s="7" t="str">
        <x:v>EEX-EXH-2026-166eb1d478702025: https://www.jimtof.org/search/jp/ESdetails?e=uL4EJoJ_Wco
EEX-EXH-2024-518e5c72e0650c69: https://www.jimtof.org/2024/search/jp/ESdetails?e=bcsDhP9ayoI</x:v>
      </x:c>
      <x:c r="U324" s="7" t="str">
        <x:v>出展説明の関連箇所に基づく一次分類</x:v>
      </x:c>
      <x:c r="V324" s="7"/>
      <x:c r="W324" s="7"/>
      <x:c r="X324" s="7"/>
      <x:c r="Y324" s="7"/>
      <x:c r="Z324" s="7"/>
      <x:c r="AA324" s="7"/>
      <x:c r="AB324" s="7"/>
    </x:row>
    <x:row r="325" ht="170" customHeight="1">
      <x:c r="A325" s="7" t="str">
        <x:v>AC277</x:v>
      </x:c>
      <x:c r="B325" s="20" t="str">
        <x:v>Profiroll Technologies GmbH</x:v>
      </x:c>
      <x:c r="C325" s="7" t="str">
        <x:v>Rolling Machines:</x:v>
      </x:c>
      <x:c r="D325" s="7" t="str">
        <x:v>S1055</x:v>
      </x:c>
      <x:c r="E325" s="7" t="str">
        <x:v>自動化</x:v>
      </x:c>
      <x:c r="F325" s="7" t="str">
        <x:v>出展説明の関連用途（個別タスクの分解は未完了）</x:v>
      </x:c>
      <x:c r="G325" s="7" t="str">
        <x:v>出展説明に記載。実装位置の個別精査はカードの方式・未確認欄を参照</x:v>
      </x:c>
      <x:c r="H325" s="7" t="str">
        <x:v>原典抜粋：The Profiroll business concept is strongly oriented on customers sophisticated technical requests for profiling rotationally symmetric parts using the most modern cold forming technology, leading finally in a development</x:v>
      </x:c>
      <x:c r="I325" s="7" t="str">
        <x:v>個別入力の追加確認が必要</x:v>
      </x:c>
      <x:c r="J325" s="7" t="str">
        <x:v>原典抜粋：The Profiroll business concept is strongly oriented on customers sophisticated technical requests for profiling rotationally symmetric parts using the most modern cold forming technology, leading finally in a development</x:v>
      </x:c>
      <x:c r="K325" s="7" t="str">
        <x:v>The Profiroll business concept is strongly oriented on customers sophisticated technical requests for profiling rotationally symmetric parts using the most modern cold forming technology, leading finally in a development</x:v>
      </x:c>
      <x:c r="L325" s="7" t="str">
        <x:v>承認・例外対応・停止・復帰の境界は未確認</x:v>
      </x:c>
      <x:c r="M325" s="7" t="str">
        <x:v>2024原典抜粋：プロフィロールの全機種のグローバルな特徴： - 静的・動的な剛性の高い鋳造C型フレーム - 部品の取付・取出しのための作業領域への優れたアクセス性 - 段取替え時の優れたアクセス性 - 50kNから1200kNの転造荷重 - インフィード、スルーフィード転造 - オペレータのニーズに応える駆動・制御システム </x:v>
      </x:c>
      <x:c r="N325" s="7" t="str">
        <x:v>2026原典抜粋：The Profiroll business concept is strongly oriented on customers sophisticated technical requests for profiling rotationally symmetric parts using the most modern cold forming technology, leading finally in a development</x:v>
      </x:c>
      <x:c r="O325" s="7" t="str">
        <x:v>両年原典あり・機能差未判定</x:v>
      </x:c>
      <x:c r="P325" s="7" t="str">
        <x:v>2026公式カタログ掲載・現地未確認</x:v>
      </x:c>
      <x:c r="Q325" s="7" t="str">
        <x:v>2026展示予定。既存製品・参考出展・構想等は原典で個別確認</x:v>
      </x:c>
      <x:c r="R325" s="7" t="str">
        <x:v>どの作業を自動化・支援するか、入力と判断・操作の範囲、適用条件と人の残作業、2024からの機能差、採用・受注・効果の実測を確認する。</x:v>
      </x:c>
      <x:c r="S325" s="7" t="str">
        <x:v>EEX-EXH-2026-b35ce23f501c1830
EEX-EXH-2024-e6f5d0ec7aca1e17</x:v>
      </x:c>
      <x:c r="T325" s="7" t="str">
        <x:v>EEX-EXH-2026-b35ce23f501c1830: https://www.jimtof.org/search/jp/ESdetails?e=zGmF-52RIcs
EEX-EXH-2024-e6f5d0ec7aca1e17: https://www.jimtof.org/2024/search/jp/ESdetails?e=OFbdMIL3phc</x:v>
      </x:c>
      <x:c r="U325" s="7" t="str">
        <x:v>出展説明の関連箇所に基づく一次分類</x:v>
      </x:c>
      <x:c r="V325" s="7"/>
      <x:c r="W325" s="7"/>
      <x:c r="X325" s="7"/>
      <x:c r="Y325" s="7"/>
      <x:c r="Z325" s="7"/>
      <x:c r="AA325" s="7"/>
      <x:c r="AB325" s="7"/>
    </x:row>
    <x:row r="326" ht="170" customHeight="1">
      <x:c r="A326" s="7" t="str">
        <x:v>AC278</x:v>
      </x:c>
      <x:c r="B326" s="20" t="str">
        <x:v>ProGrit GmbH</x:v>
      </x:c>
      <x:c r="C326" s="7" t="str">
        <x:v>クランピング・位置決めシステム</x:v>
      </x:c>
      <x:c r="D326" s="7" t="str">
        <x:v>E3014</x:v>
      </x:c>
      <x:c r="E326" s="7" t="str">
        <x:v>自動化</x:v>
      </x:c>
      <x:c r="F326" s="7" t="str">
        <x:v>出展説明の関連用途（個別タスクの分解は未完了）</x:v>
      </x:c>
      <x:c r="G326" s="7" t="str">
        <x:v>出展説明に記載。実装位置の個別精査はカードの方式・未確認欄を参照</x:v>
      </x:c>
      <x:c r="H326" s="7" t="str">
        <x:v>原典抜粋：ProGrit社は、粉末成形における高精度・長寿命の圧縮金型技術と、成形工程の自動化・デジタル化を一貫して提供しています。 / 今回の展示会では、「Automatic Tool Change（自動金型交換）」と「Automated Filler Plate（自動フィラープレート）」を中心に、次世代のプレス技術をご紹介します。 / Automatic Tool Changeは、ロボットによる金型の自動交換に対応し、金型をブロック単位で交換</x:v>
      </x:c>
      <x:c r="I326" s="7" t="str">
        <x:v>個別入力の追加確認が必要</x:v>
      </x:c>
      <x:c r="J326" s="7" t="str">
        <x:v>原典抜粋：ProGrit社は、粉末成形における高精度・長寿命の圧縮金型技術と、成形工程の自動化・デジタル化を一貫して提供しています。 / 今回の展示会では、「Automatic Tool Change（自動金型交換）」と「Automated Filler Plate（自動フィラープレート）」を中心に、次世代のプレス技術をご紹介します。 / Automatic Tool Changeは、ロボットによる金型の自動交換に対応し、金型をブロック単位で交換</x:v>
      </x:c>
      <x:c r="K326" s="7" t="str">
        <x:v>ProGrit社は、粉末成形における高精度・長寿命の圧縮金型技術と、成形工程の自動化・デジタル化を一貫して提供しています。 / 今回の展示会では、「Automatic Tool Change（自動金型交換）」と「Automated Filler Plate（自動フィラープレート）」を中心に、次世代のプレス技術をご紹介します。 / Automatic Tool Changeは、ロボットによる金型の自動交換に対応し、金型をブロック単位で交換</x:v>
      </x:c>
      <x:c r="L326" s="7" t="str">
        <x:v>承認・例外対応・停止・復帰の境界は未確認</x:v>
      </x:c>
      <x:c r="M326" s="7" t="str">
        <x:v>同一正規化名称の2024詳細なし。新規出展・技術不存在とは判断しない。</x:v>
      </x:c>
      <x:c r="N326" s="7" t="str">
        <x:v>2026原典抜粋：ProGrit社は、粉末成形における高精度・長寿命の圧縮金型技術と、成形工程の自動化・デジタル化を一貫して提供しています。 / 今回の展示会では、「Automatic Tool Change（自動金型交換）」と「Automated Filler Plate（自動フィラープレート）」を中心に、次世代のプレス技術をご紹介します。 / Automatic Tool Changeは、ロボットによる金型の自動交換に対応し、金型をブロック単位で交換</x:v>
      </x:c>
      <x:c r="O326" s="7" t="str">
        <x:v>2024個別比較不能</x:v>
      </x:c>
      <x:c r="P326" s="7" t="str">
        <x:v>2026公式カタログ掲載・現地未確認</x:v>
      </x:c>
      <x:c r="Q326" s="7" t="str">
        <x:v>2026展示予定。既存製品・参考出展・構想等は原典で個別確認</x:v>
      </x:c>
      <x:c r="R326" s="7" t="str">
        <x:v>どの作業を自動化・支援するか、入力と判断・操作の範囲、適用条件と人の残作業、2024からの機能差、採用・受注・効果の実測を確認する。</x:v>
      </x:c>
      <x:c r="S326" s="7" t="str">
        <x:v>EEX-EXH-2026-072d2f7215d2c5b5</x:v>
      </x:c>
      <x:c r="T326" s="7" t="str">
        <x:v>EEX-EXH-2026-072d2f7215d2c5b5: https://www.jimtof.org/search/jp/ESdetails?e=zPpO1BUr3Ws</x:v>
      </x:c>
      <x:c r="U326" s="7" t="str">
        <x:v>出展説明の関連箇所に基づく一次分類</x:v>
      </x:c>
      <x:c r="V326" s="7"/>
      <x:c r="W326" s="7"/>
      <x:c r="X326" s="7"/>
      <x:c r="Y326" s="7"/>
      <x:c r="Z326" s="7"/>
      <x:c r="AA326" s="7"/>
      <x:c r="AB326" s="7"/>
    </x:row>
    <x:row r="327" ht="170" customHeight="1">
      <x:c r="A327" s="7" t="str">
        <x:v>AC279</x:v>
      </x:c>
      <x:c r="B327" s="20" t="str">
        <x:v>Quality Vision International Inc</x:v>
      </x:c>
      <x:c r="C327" s="7" t="str">
        <x:v>マルチセンサ三次元測定機 OGP SmartScope SP463/M20/M7/Vantage250/E7</x:v>
      </x:c>
      <x:c r="D327" s="7" t="str">
        <x:v>E2026</x:v>
      </x:c>
      <x:c r="E327" s="7" t="str">
        <x:v>設計・製造DX
工場運用DX
自動化</x:v>
      </x:c>
      <x:c r="F327" s="7" t="str">
        <x:v>出展説明の関連用途（個別タスクの分解は未完了）</x:v>
      </x:c>
      <x:c r="G327" s="7" t="str">
        <x:v>出展説明に記載。実装位置の個別精査はカードの方式・未確認欄を参照</x:v>
      </x:c>
      <x:c r="H327" s="7" t="str">
        <x:v>原典抜粋：～製造業に変革をもたらす製造工程管理ソリューション～ / 3D CAD・PMI情報を活用し、測定計画から測定結果の解析・可視化、工程管理までをデジタルでつなぐソフトウェアスイートです。 / 測定結果を製造工程へフィードバックすることで、品質向上や工程改善を支援し、MBD/MBEによるデジタルスレッドの構築に貢献します。 / 本展示会では、最新の協働ロボットとの連携デモも実演展示いたします。 / 自動化セル Multi-X / 統合製造工</x:v>
      </x:c>
      <x:c r="I327" s="7" t="str">
        <x:v>個別入力の追加確認が必要</x:v>
      </x:c>
      <x:c r="J327" s="7" t="str">
        <x:v>原典抜粋：～製造業に変革をもたらす製造工程管理ソリューション～ / 3D CAD・PMI情報を活用し、測定計画から測定結果の解析・可視化、工程管理までをデジタルでつなぐソフトウェアスイートです。 / 測定結果を製造工程へフィードバックすることで、品質向上や工程改善を支援し、MBD/MBEによるデジタルスレッドの構築に貢献します。 / 本展示会では、最新の協働ロボットとの連携デモも実演展示いたします。 / 自動化セル Multi-X / 統合製造工</x:v>
      </x:c>
      <x:c r="K327" s="7" t="str">
        <x:v>～製造業に変革をもたらす製造工程管理ソリューション～ / 3D CAD・PMI情報を活用し、測定計画から測定結果の解析・可視化、工程管理までをデジタルでつなぐソフトウェアスイートです。 / 測定結果を製造工程へフィードバックすることで、品質向上や工程改善を支援し、MBD/MBEによるデジタルスレッドの構築に貢献します。 / 本展示会では、最新の協働ロボットとの連携デモも実演展示いたします。 / 自動化セル Multi-X / 統合製造工</x:v>
      </x:c>
      <x:c r="L327" s="7" t="str">
        <x:v>承認・例外対応・停止・復帰の境界は未確認</x:v>
      </x:c>
      <x:c r="M327" s="7" t="str">
        <x:v>2024原典抜粋：【OGP/オージーピー マルチセンサ三次元測定機 SmartScopeシリーズ】 ～検査現場の最適解となるマルチセンサ三次元測定機～ 高品位な光学系とオプションセンサの組み合わせは、あらゆる測定対象に対応し、測定の効率化と高精度化のメリットをもたらします。本邦初公開モデルも展示します。 【VIEW/ビュー 高速高精度全自動測定機 Pinnacle250】 ～高精度・高速処理を実現するリニアモータ駆動全自動測定機～ 異なる形状、測定数の多いワークの高速測定に最適です。測定対象を選ばない高品位光学系とオプションセンサの</x:v>
      </x:c>
      <x:c r="N327" s="7" t="str">
        <x:v>2026原典抜粋：～製造業に変革をもたらす製造工程管理ソリューション～ / 3D CAD・PMI情報を活用し、測定計画から測定結果の解析・可視化、工程管理までをデジタルでつなぐソフトウェアスイートです。 / 測定結果を製造工程へフィードバックすることで、品質向上や工程改善を支援し、MBD/MBEによるデジタルスレッドの構築に貢献します。 / 本展示会では、最新の協働ロボットとの連携デモも実演展示いたします。 / 自動化セル Multi-X / 統合製造工</x:v>
      </x:c>
      <x:c r="O327" s="7" t="str">
        <x:v>両年原典あり・機能差未判定</x:v>
      </x:c>
      <x:c r="P327" s="7" t="str">
        <x:v>2026公式カタログ掲載・現地未確認</x:v>
      </x:c>
      <x:c r="Q327" s="7" t="str">
        <x:v>2026展示予定。既存製品・参考出展・構想等は原典で個別確認</x:v>
      </x:c>
      <x:c r="R327" s="7" t="str">
        <x:v>どの作業を自動化・支援するか、入力と判断・操作の範囲、適用条件と人の残作業、2024からの機能差、採用・受注・効果の実測を確認する。</x:v>
      </x:c>
      <x:c r="S327" s="7" t="str">
        <x:v>EEX-EXH-2026-ce095464035fb5f1
EEX-EXH-2024-97a85a0c47b2a7d6</x:v>
      </x:c>
      <x:c r="T327" s="7" t="str">
        <x:v>EEX-EXH-2026-ce095464035fb5f1: https://www.jimtof.org/search/jp/ESdetails?e=i-C4iNMNRtM
EEX-EXH-2024-97a85a0c47b2a7d6: https://www.jimtof.org/2024/search/jp/ESdetails?e=kPtRFOop9j8</x:v>
      </x:c>
      <x:c r="U327" s="7" t="str">
        <x:v>出展説明の関連箇所に基づく一次分類</x:v>
      </x:c>
      <x:c r="V327" s="7"/>
      <x:c r="W327" s="7"/>
      <x:c r="X327" s="7"/>
      <x:c r="Y327" s="7"/>
      <x:c r="Z327" s="7"/>
      <x:c r="AA327" s="7"/>
      <x:c r="AB327" s="7"/>
    </x:row>
    <x:row r="328" ht="170" customHeight="1">
      <x:c r="A328" s="7" t="str">
        <x:v>AC280</x:v>
      </x:c>
      <x:c r="B328" s="20" t="str">
        <x:v>Röders GmbH</x:v>
      </x:c>
      <x:c r="C328" s="7" t="str">
        <x:v>ドイツ レダース社製ハイスピードミリング・グラインディングセンタ RXP601DS</x:v>
      </x:c>
      <x:c r="D328" s="7" t="str">
        <x:v>E3014</x:v>
      </x:c>
      <x:c r="E328" s="7" t="str">
        <x:v>自動化</x:v>
      </x:c>
      <x:c r="F328" s="7" t="str">
        <x:v>出展説明の関連用途（個別タスクの分解は未完了）</x:v>
      </x:c>
      <x:c r="G328" s="7" t="str">
        <x:v>出展説明に記載。実装位置の個別精査はカードの方式・未確認欄を参照</x:v>
      </x:c>
      <x:c r="H328" s="7" t="str">
        <x:v>原典抜粋：レダース社のハイスピードミリング・グラインディングセンタは、全軸リニアモーター＋ダイレクトドライブによる遊びのない高速・高精度な加工が特長です。 / 制御装置は自社製で、他社のコントローラーにはない処理速度0.1ms、先読みブロック10000ブロックにより高加速や高減速を可能にし、加工スピードを落とすことなく（プログラム待ち）加工が行えます。 / また、ハイスピードミリング加工後にジグ研削、機上測定をワンチャックで行えるため「加工時間短</x:v>
      </x:c>
      <x:c r="I328" s="7" t="str">
        <x:v>個別入力の追加確認が必要</x:v>
      </x:c>
      <x:c r="J328" s="7" t="str">
        <x:v>原典抜粋：レダース社のハイスピードミリング・グラインディングセンタは、全軸リニアモーター＋ダイレクトドライブによる遊びのない高速・高精度な加工が特長です。 / 制御装置は自社製で、他社のコントローラーにはない処理速度0.1ms、先読みブロック10000ブロックにより高加速や高減速を可能にし、加工スピードを落とすことなく（プログラム待ち）加工が行えます。 / また、ハイスピードミリング加工後にジグ研削、機上測定をワンチャックで行えるため「加工時間短</x:v>
      </x:c>
      <x:c r="K328" s="7" t="str">
        <x:v>レダース社のハイスピードミリング・グラインディングセンタは、全軸リニアモーター＋ダイレクトドライブによる遊びのない高速・高精度な加工が特長です。 / 制御装置は自社製で、他社のコントローラーにはない処理速度0.1ms、先読みブロック10000ブロックにより高加速や高減速を可能にし、加工スピードを落とすことなく（プログラム待ち）加工が行えます。 / また、ハイスピードミリング加工後にジグ研削、機上測定をワンチャックで行えるため「加工時間短</x:v>
      </x:c>
      <x:c r="L328" s="7" t="str">
        <x:v>承認・例外対応・停止・復帰の境界は未確認</x:v>
      </x:c>
      <x:c r="M328" s="7" t="str">
        <x:v>同一正規化名称の2024詳細なし。新規出展・技術不存在とは判断しない。</x:v>
      </x:c>
      <x:c r="N328" s="7" t="str">
        <x:v>2026原典抜粋：レダース社のハイスピードミリング・グラインディングセンタは、全軸リニアモーター＋ダイレクトドライブによる遊びのない高速・高精度な加工が特長です。 / 制御装置は自社製で、他社のコントローラーにはない処理速度0.1ms、先読みブロック10000ブロックにより高加速や高減速を可能にし、加工スピードを落とすことなく（プログラム待ち）加工が行えます。 / また、ハイスピードミリング加工後にジグ研削、機上測定をワンチャックで行えるため「加工時間短</x:v>
      </x:c>
      <x:c r="O328" s="7" t="str">
        <x:v>2024個別比較不能</x:v>
      </x:c>
      <x:c r="P328" s="7" t="str">
        <x:v>2026公式カタログ掲載・現地未確認</x:v>
      </x:c>
      <x:c r="Q328" s="7" t="str">
        <x:v>2026展示予定。既存製品・参考出展・構想等は原典で個別確認</x:v>
      </x:c>
      <x:c r="R328" s="7" t="str">
        <x:v>どの作業を自動化・支援するか、入力と判断・操作の範囲、適用条件と人の残作業、2024からの機能差、採用・受注・効果の実測を確認する。</x:v>
      </x:c>
      <x:c r="S328" s="7" t="str">
        <x:v>EEX-EXH-2026-8dbb00228000aa6c</x:v>
      </x:c>
      <x:c r="T328" s="7" t="str">
        <x:v>EEX-EXH-2026-8dbb00228000aa6c: https://www.jimtof.org/search/jp/ESdetails?e=ZjA8l9ImAE8</x:v>
      </x:c>
      <x:c r="U328" s="7" t="str">
        <x:v>出展説明の関連箇所に基づく一次分類</x:v>
      </x:c>
      <x:c r="V328" s="7"/>
      <x:c r="W328" s="7"/>
      <x:c r="X328" s="7"/>
      <x:c r="Y328" s="7"/>
      <x:c r="Z328" s="7"/>
      <x:c r="AA328" s="7"/>
      <x:c r="AB328" s="7"/>
    </x:row>
    <x:row r="329" ht="170" customHeight="1">
      <x:c r="A329" s="7" t="str">
        <x:v>AC282</x:v>
      </x:c>
      <x:c r="B329" s="20" t="str">
        <x:v>Schwäbische Werkzeugmaschinen GmbH</x:v>
      </x:c>
      <x:c r="C329" s="7" t="str">
        <x:v>出展物：　U軸システムKOMtronic</x:v>
      </x:c>
      <x:c r="D329" s="7" t="str">
        <x:v>E3027</x:v>
      </x:c>
      <x:c r="E329" s="7" t="str">
        <x:v>設計・製造DX
工場運用DX
自動化</x:v>
      </x:c>
      <x:c r="F329" s="7" t="str">
        <x:v>出展説明の関連用途（個別タスクの分解は未完了）</x:v>
      </x:c>
      <x:c r="G329" s="7" t="str">
        <x:v>出展説明に記載。実装位置の個別精査はカードの方式・未確認欄を参照</x:v>
      </x:c>
      <x:c r="H329" s="7" t="str">
        <x:v>原典抜粋：マルチスピンドル・マシニングセンタ市場で世界をリードし、自動車、EV、航空宇宙、ヒューマノイド、医療機器など幅広い産業向けに生産ソリューションを提供しています。 / SWは、同時５軸付きマルチスピンドル・マシニングセンタ、自動化システム、オンライン上でのデジタル化を組み合わせた「Smart manufacturing solution」を展開しています。</x:v>
      </x:c>
      <x:c r="I329" s="7" t="str">
        <x:v>個別入力の追加確認が必要</x:v>
      </x:c>
      <x:c r="J329" s="7" t="str">
        <x:v>原典抜粋：マルチスピンドル・マシニングセンタ市場で世界をリードし、自動車、EV、航空宇宙、ヒューマノイド、医療機器など幅広い産業向けに生産ソリューションを提供しています。 / SWは、同時５軸付きマルチスピンドル・マシニングセンタ、自動化システム、オンライン上でのデジタル化を組み合わせた「Smart manufacturing solution」を展開しています。</x:v>
      </x:c>
      <x:c r="K329" s="7" t="str">
        <x:v>マルチスピンドル・マシニングセンタ市場で世界をリードし、自動車、EV、航空宇宙、ヒューマノイド、医療機器など幅広い産業向けに生産ソリューションを提供しています。 / SWは、同時５軸付きマルチスピンドル・マシニングセンタ、自動化システム、オンライン上でのデジタル化を組み合わせた「Smart manufacturing solution」を展開しています。</x:v>
      </x:c>
      <x:c r="L329" s="7" t="str">
        <x:v>承認・例外対応・停止・復帰の境界は未確認</x:v>
      </x:c>
      <x:c r="M329" s="7" t="str">
        <x:v>同一正規化名称の2024詳細なし。新規出展・技術不存在とは判断しない。</x:v>
      </x:c>
      <x:c r="N329" s="7" t="str">
        <x:v>2026原典抜粋：マルチスピンドル・マシニングセンタ市場で世界をリードし、自動車、EV、航空宇宙、ヒューマノイド、医療機器など幅広い産業向けに生産ソリューションを提供しています。 / SWは、同時５軸付きマルチスピンドル・マシニングセンタ、自動化システム、オンライン上でのデジタル化を組み合わせた「Smart manufacturing solution」を展開しています。</x:v>
      </x:c>
      <x:c r="O329" s="7" t="str">
        <x:v>2024個別比較不能</x:v>
      </x:c>
      <x:c r="P329" s="7" t="str">
        <x:v>2026公式カタログ掲載・現地未確認</x:v>
      </x:c>
      <x:c r="Q329" s="7" t="str">
        <x:v>2026展示予定。既存製品・参考出展・構想等は原典で個別確認</x:v>
      </x:c>
      <x:c r="R329" s="7" t="str">
        <x:v>どの作業を自動化・支援するか、入力と判断・操作の範囲、適用条件と人の残作業、2024からの機能差、採用・受注・効果の実測を確認する。</x:v>
      </x:c>
      <x:c r="S329" s="7" t="str">
        <x:v>EEX-EXH-2026-2ddab123ec038212</x:v>
      </x:c>
      <x:c r="T329" s="7" t="str">
        <x:v>EEX-EXH-2026-2ddab123ec038212: https://www.jimtof.org/search/jp/ESdetails?e=kw9LLCnBLZI</x:v>
      </x:c>
      <x:c r="U329" s="7" t="str">
        <x:v>出展説明の関連箇所に基づく一次分類</x:v>
      </x:c>
      <x:c r="V329" s="7"/>
      <x:c r="W329" s="7"/>
      <x:c r="X329" s="7"/>
      <x:c r="Y329" s="7"/>
      <x:c r="Z329" s="7"/>
      <x:c r="AA329" s="7"/>
      <x:c r="AB329" s="7"/>
    </x:row>
    <x:row r="330" ht="170" customHeight="1">
      <x:c r="A330" s="7" t="str">
        <x:v>AC284</x:v>
      </x:c>
      <x:c r="B330" s="20" t="str">
        <x:v>Shenzhen JPT Opto-Electronics Co Ltd</x:v>
      </x:c>
      <x:c r="C330" s="7" t="str">
        <x:v>超高速フェムト秒レーザー3D加工機（LFS-Uシリーズ）</x:v>
      </x:c>
      <x:c r="D330" s="7" t="str">
        <x:v>S1046</x:v>
      </x:c>
      <x:c r="E330" s="7" t="str">
        <x:v>設計・製造DX
自動化</x:v>
      </x:c>
      <x:c r="F330" s="7" t="str">
        <x:v>出展説明の関連用途（個別タスクの分解は未完了）</x:v>
      </x:c>
      <x:c r="G330" s="7" t="str">
        <x:v>出展説明に記載。実装位置の個別精査はカードの方式・未確認欄を参照</x:v>
      </x:c>
      <x:c r="H330" s="7" t="str">
        <x:v>原典抜粋：5軸同時制御方式とレーザー3軸加工プロセスに、自社開発の3Dモデル解析対応CAMソフトウェアを融合することで、さまざまな材料に対する高精度・高品質な微細加工を実現します。</x:v>
      </x:c>
      <x:c r="I330" s="7" t="str">
        <x:v>個別入力の追加確認が必要</x:v>
      </x:c>
      <x:c r="J330" s="7" t="str">
        <x:v>原典抜粋：5軸同時制御方式とレーザー3軸加工プロセスに、自社開発の3Dモデル解析対応CAMソフトウェアを融合することで、さまざまな材料に対する高精度・高品質な微細加工を実現します。</x:v>
      </x:c>
      <x:c r="K330" s="7" t="str">
        <x:v>5軸同時制御方式とレーザー3軸加工プロセスに、自社開発の3Dモデル解析対応CAMソフトウェアを融合することで、さまざまな材料に対する高精度・高品質な微細加工を実現します。</x:v>
      </x:c>
      <x:c r="L330" s="7" t="str">
        <x:v>承認・例外対応・停止・復帰の境界は未確認</x:v>
      </x:c>
      <x:c r="M330" s="7" t="str">
        <x:v>2024原典抜粋： </x:v>
      </x:c>
      <x:c r="N330" s="7" t="str">
        <x:v>2026原典抜粋：5軸同時制御方式とレーザー3軸加工プロセスに、自社開発の3Dモデル解析対応CAMソフトウェアを融合することで、さまざまな材料に対する高精度・高品質な微細加工を実現します。</x:v>
      </x:c>
      <x:c r="O330" s="7" t="str">
        <x:v>両年原典あり・機能差未判定</x:v>
      </x:c>
      <x:c r="P330" s="7" t="str">
        <x:v>2026公式カタログ掲載・現地未確認</x:v>
      </x:c>
      <x:c r="Q330" s="7" t="str">
        <x:v>2026展示予定。既存製品・参考出展・構想等は原典で個別確認</x:v>
      </x:c>
      <x:c r="R330" s="7" t="str">
        <x:v>どの作業を自動化・支援するか、入力と判断・操作の範囲、適用条件と人の残作業、2024からの機能差、採用・受注・効果の実測を確認する。</x:v>
      </x:c>
      <x:c r="S330" s="7" t="str">
        <x:v>EEX-EXH-2026-ef080b66b221230c
EEX-EXH-2024-36253b9dd3500ec4</x:v>
      </x:c>
      <x:c r="T330" s="7" t="str">
        <x:v>EEX-EXH-2026-ef080b66b221230c: https://www.jimtof.org/search/jp/ESdetails?e=KJTFo439UQQ
EEX-EXH-2024-36253b9dd3500ec4: https://www.jimtof.org/2024/search/jp/ESdetails?e=W0mOR20blcE</x:v>
      </x:c>
      <x:c r="U330" s="7" t="str">
        <x:v>出展説明の関連箇所に基づく一次分類</x:v>
      </x:c>
      <x:c r="V330" s="7"/>
      <x:c r="W330" s="7"/>
      <x:c r="X330" s="7"/>
      <x:c r="Y330" s="7"/>
      <x:c r="Z330" s="7"/>
      <x:c r="AA330" s="7"/>
      <x:c r="AB330" s="7"/>
    </x:row>
    <x:row r="331" ht="170" customHeight="1">
      <x:c r="A331" s="7" t="str">
        <x:v>AC286</x:v>
      </x:c>
      <x:c r="B331" s="20" t="str">
        <x:v>Spatial Corp.</x:v>
      </x:c>
      <x:c r="C331" s="7" t="str">
        <x:v>CAD/CAMソフトウェアの開発を加速する、強力な3Dツールキット。 / 工作機械のデジタルツインや高精度な加工シミュレーション、CADデータ連携の開</x:v>
      </x:c>
      <x:c r="D331" s="7" t="str">
        <x:v>E1063</x:v>
      </x:c>
      <x:c r="E331" s="7" t="str">
        <x:v>設計・製造DX
AI実装・連携基盤</x:v>
      </x:c>
      <x:c r="F331" s="7" t="str">
        <x:v>出展説明の関連用途（個別タスクの分解は未完了）</x:v>
      </x:c>
      <x:c r="G331" s="7" t="str">
        <x:v>出展説明に記載。実装位置の個別精査はカードの方式・未確認欄を参照</x:v>
      </x:c>
      <x:c r="H331" s="7" t="str">
        <x:v>原典抜粋：CAD/CAMソフトウェアの開発を加速する、強力な3Dツールキット。 / 工作機械のデジタルツインや高精度な加工シミュレーション、CADデータ連携の開発にお悩みではありませんか？ / ダッソー・システムズ傘下のスペイシャルは、世界中の製造業で採用される3Dモデリング・CAD変換・メッシュ生成・可視化SDKを提供しています。</x:v>
      </x:c>
      <x:c r="I331" s="7" t="str">
        <x:v>個別入力の追加確認が必要</x:v>
      </x:c>
      <x:c r="J331" s="7" t="str">
        <x:v>原典抜粋：CAD/CAMソフトウェアの開発を加速する、強力な3Dツールキット。 / 工作機械のデジタルツインや高精度な加工シミュレーション、CADデータ連携の開発にお悩みではありませんか？ / ダッソー・システムズ傘下のスペイシャルは、世界中の製造業で採用される3Dモデリング・CAD変換・メッシュ生成・可視化SDKを提供しています。</x:v>
      </x:c>
      <x:c r="K331" s="7" t="str">
        <x:v>CAD/CAMソフトウェアの開発を加速する、強力な3Dツールキット。 / 工作機械のデジタルツインや高精度な加工シミュレーション、CADデータ連携の開発にお悩みではありませんか？ / ダッソー・システムズ傘下のスペイシャルは、世界中の製造業で採用される3Dモデリング・CAD変換・メッシュ生成・可視化SDKを提供しています。</x:v>
      </x:c>
      <x:c r="L331" s="7" t="str">
        <x:v>承認・例外対応・停止・復帰の境界は未確認</x:v>
      </x:c>
      <x:c r="M331" s="7" t="str">
        <x:v>同一正規化名称の2024詳細なし。新規出展・技術不存在とは判断しない。</x:v>
      </x:c>
      <x:c r="N331" s="7" t="str">
        <x:v>2026原典抜粋：CAD/CAMソフトウェアの開発を加速する、強力な3Dツールキット。 / 工作機械のデジタルツインや高精度な加工シミュレーション、CADデータ連携の開発にお悩みではありませんか？ / ダッソー・システムズ傘下のスペイシャルは、世界中の製造業で採用される3Dモデリング・CAD変換・メッシュ生成・可視化SDKを提供しています。</x:v>
      </x:c>
      <x:c r="O331" s="7" t="str">
        <x:v>2024個別比較不能</x:v>
      </x:c>
      <x:c r="P331" s="7" t="str">
        <x:v>2026公式カタログ掲載・現地未確認</x:v>
      </x:c>
      <x:c r="Q331" s="7" t="str">
        <x:v>2026展示予定。既存製品・参考出展・構想等は原典で個別確認</x:v>
      </x:c>
      <x:c r="R331" s="7" t="str">
        <x:v>どの作業を自動化・支援するか、入力と判断・操作の範囲、適用条件と人の残作業、2024からの機能差、採用・受注・効果の実測を確認する。</x:v>
      </x:c>
      <x:c r="S331" s="7" t="str">
        <x:v>EEX-EXH-2026-b723f9bd97c08837</x:v>
      </x:c>
      <x:c r="T331" s="7" t="str">
        <x:v>EEX-EXH-2026-b723f9bd97c08837: https://www.jimtof.org/search/jp/ESdetails?e=bsgsYcvbud4</x:v>
      </x:c>
      <x:c r="U331" s="7" t="str">
        <x:v>出展説明の関連箇所に基づく一次分類</x:v>
      </x:c>
      <x:c r="V331" s="7"/>
      <x:c r="W331" s="7"/>
      <x:c r="X331" s="7"/>
      <x:c r="Y331" s="7"/>
      <x:c r="Z331" s="7"/>
      <x:c r="AA331" s="7"/>
      <x:c r="AB331" s="7"/>
    </x:row>
    <x:row r="332" ht="170" customHeight="1">
      <x:c r="A332" s="7" t="str">
        <x:v>AC287</x:v>
      </x:c>
      <x:c r="B332" s="20" t="str">
        <x:v>System 3R International AB</x:v>
      </x:c>
      <x:c r="C332" s="7" t="str">
        <x:v>協働ロボット・自律移動ロボットとツーリング</x:v>
      </x:c>
      <x:c r="D332" s="7" t="str">
        <x:v>W2078</x:v>
      </x:c>
      <x:c r="E332" s="7" t="str">
        <x:v>工場運用DX
自動化
自律化</x:v>
      </x:c>
      <x:c r="F332" s="7" t="str">
        <x:v>ロボット・AMRによる供給（具体作業は要確認）</x:v>
      </x:c>
      <x:c r="G332" s="7" t="str">
        <x:v>ロータリーマガジン付き協働ロボット・AMR・ツーリング</x:v>
      </x:c>
      <x:c r="H332" s="7" t="str">
        <x:v>ロボット・AMR・ツーリングによる供給</x:v>
      </x:c>
      <x:c r="I332" s="7" t="str">
        <x:v>搬送物・品種データ・位置検出方式は今回の記述では未特定</x:v>
      </x:c>
      <x:c r="J332" s="7" t="str">
        <x:v>ロータリーマガジン付き協働ロボット、自律移動ロボット、ツーリングを掲載。</x:v>
      </x:c>
      <x:c r="K332" s="7" t="str">
        <x:v>ロボット・AMR・ツーリングによる供給</x:v>
      </x:c>
      <x:c r="L332" s="7" t="str">
        <x:v>承認・例外対応・停止・復帰の境界は未確認</x:v>
      </x:c>
      <x:c r="M332" s="7" t="str">
        <x:v>同一名称の2024詳細なし。日本語表記・旧名称との同一法人照合は未完了。</x:v>
      </x:c>
      <x:c r="N332" s="7" t="str">
        <x:v>ロータリーマガジン付き協働ロボット、自律移動ロボット、ツーリングを掲載。</x:v>
      </x:c>
      <x:c r="O332" s="7" t="str">
        <x:v>2024個別比較不能</x:v>
      </x:c>
      <x:c r="P332" s="7" t="str">
        <x:v>2026公式カタログ掲載・現地未確認</x:v>
      </x:c>
      <x:c r="Q332" s="7" t="str">
        <x:v>2026展示予定。既存製品・参考出展・構想等は原典で個別確認</x:v>
      </x:c>
      <x:c r="R332" s="7" t="str">
        <x:v>自律走行以外の判断・設備連携、位置ずれ、品種切替・停止後の再開を確認。</x:v>
      </x:c>
      <x:c r="S332" s="7" t="str">
        <x:v>EEX-EXH-2026-60afae6de145a809</x:v>
      </x:c>
      <x:c r="T332" s="7" t="str">
        <x:v>EEX-EXH-2026-60afae6de145a809: https://www.jimtof.org/search/jp/ESdetails?e=c7Q6gr0wYyY</x:v>
      </x:c>
      <x:c r="U332" s="7" t="str">
        <x:v>2026の原典全文を重点整理・2024同名原典なし</x:v>
      </x:c>
      <x:c r="V332" s="7"/>
      <x:c r="W332" s="7"/>
      <x:c r="X332" s="7"/>
      <x:c r="Y332" s="7"/>
      <x:c r="Z332" s="7"/>
      <x:c r="AA332" s="7"/>
      <x:c r="AB332" s="7"/>
    </x:row>
    <x:row r="333" ht="170" customHeight="1">
      <x:c r="A333" s="7" t="str">
        <x:v>AC288</x:v>
      </x:c>
      <x:c r="B333" s="20" t="str">
        <x:v>Theta Precision Co., Ltd.</x:v>
      </x:c>
      <x:c r="C333" s="7" t="str">
        <x:v>1.インテリジェント・ビルトインスピンドル（台湾精品賞受賞）</x:v>
      </x:c>
      <x:c r="D333" s="7" t="str">
        <x:v>W3003</x:v>
      </x:c>
      <x:c r="E333" s="7" t="str">
        <x:v>工場運用DX
自動化
AI実装・連携基盤</x:v>
      </x:c>
      <x:c r="F333" s="7" t="str">
        <x:v>出展説明の関連用途（個別タスクの分解は未完了）</x:v>
      </x:c>
      <x:c r="G333" s="7" t="str">
        <x:v>出展説明に記載。実装位置の個別精査はカードの方式・未確認欄を参照</x:v>
      </x:c>
      <x:c r="H333" s="7" t="str">
        <x:v>原典抜粋：1.スマート製造を加速する監視システム：独自技術で振動・温度・ベアリング安全係数をリアルタイム検知。 / 2.半導体・精密研削市場への高度なカスタム性：AI産業向け高要求スピンドル市場へ本格参入。 / 振動、温度、熱変位をリアルタイム監視。</x:v>
      </x:c>
      <x:c r="I333" s="7" t="str">
        <x:v>個別入力の追加確認が必要</x:v>
      </x:c>
      <x:c r="J333" s="7" t="str">
        <x:v>原典抜粋：1.スマート製造を加速する監視システム：独自技術で振動・温度・ベアリング安全係数をリアルタイム検知。 / 2.半導体・精密研削市場への高度なカスタム性：AI産業向け高要求スピンドル市場へ本格参入。 / 振動、温度、熱変位をリアルタイム監視。</x:v>
      </x:c>
      <x:c r="K333" s="7" t="str">
        <x:v>1.スマート製造を加速する監視システム：独自技術で振動・温度・ベアリング安全係数をリアルタイム検知。 / 2.半導体・精密研削市場への高度なカスタム性：AI産業向け高要求スピンドル市場へ本格参入。 / 振動、温度、熱変位をリアルタイム監視。</x:v>
      </x:c>
      <x:c r="L333" s="7" t="str">
        <x:v>承認・例外対応・停止・復帰の境界は未確認</x:v>
      </x:c>
      <x:c r="M333" s="7" t="str">
        <x:v>同一正規化名称の2024詳細なし。新規出展・技術不存在とは判断しない。</x:v>
      </x:c>
      <x:c r="N333" s="7" t="str">
        <x:v>2026原典抜粋：1.スマート製造を加速する監視システム：独自技術で振動・温度・ベアリング安全係数をリアルタイム検知。 / 2.半導体・精密研削市場への高度なカスタム性：AI産業向け高要求スピンドル市場へ本格参入。 / 振動、温度、熱変位をリアルタイム監視。</x:v>
      </x:c>
      <x:c r="O333" s="7" t="str">
        <x:v>2024個別比較不能</x:v>
      </x:c>
      <x:c r="P333" s="7" t="str">
        <x:v>2026公式カタログ掲載・現地未確認</x:v>
      </x:c>
      <x:c r="Q333" s="7" t="str">
        <x:v>2026展示予定。既存製品・参考出展・構想等は原典で個別確認</x:v>
      </x:c>
      <x:c r="R333" s="7" t="str">
        <x:v>どの作業を自動化・支援するか、入力と判断・操作の範囲、適用条件と人の残作業、2024からの機能差、採用・受注・効果の実測を確認する。</x:v>
      </x:c>
      <x:c r="S333" s="7" t="str">
        <x:v>EEX-EXH-2026-b8cf89f9a09c5a9c</x:v>
      </x:c>
      <x:c r="T333" s="7" t="str">
        <x:v>EEX-EXH-2026-b8cf89f9a09c5a9c: https://www.jimtof.org/search/jp/ESdetails?e=-qpqVRprqhs</x:v>
      </x:c>
      <x:c r="U333" s="7" t="str">
        <x:v>出展説明の関連箇所に基づく一次分類</x:v>
      </x:c>
      <x:c r="V333" s="7"/>
      <x:c r="W333" s="7"/>
      <x:c r="X333" s="7"/>
      <x:c r="Y333" s="7"/>
      <x:c r="Z333" s="7"/>
      <x:c r="AA333" s="7"/>
      <x:c r="AB333" s="7"/>
    </x:row>
    <x:row r="334" ht="170" customHeight="1">
      <x:c r="A334" s="7" t="str">
        <x:v>AC289</x:v>
      </x:c>
      <x:c r="B334" s="20" t="str">
        <x:v>Tongtai Machine Tool Co., Ltd.</x:v>
      </x:c>
      <x:c r="C334" s="7" t="str">
        <x:v>本展では、半導体、EV、航空宇宙、精密金型分野に向けた「硬脆材料加工ソリューション」をご提案いたします。メイン展示となる超音波援用マシニングセンタ「V</x:v>
      </x:c>
      <x:c r="D334" s="7" t="str">
        <x:v>E1009-3</x:v>
      </x:c>
      <x:c r="E334" s="7" t="str">
        <x:v>自動化</x:v>
      </x:c>
      <x:c r="F334" s="7" t="str">
        <x:v>出展説明の関連用途（個別タスクの分解は未完了）</x:v>
      </x:c>
      <x:c r="G334" s="7" t="str">
        <x:v>出展説明に記載。実装位置の個別精査はカードの方式・未確認欄を参照</x:v>
      </x:c>
      <x:c r="H334" s="7" t="str">
        <x:v>原典抜粋：最大の特長である「自動周波数追従システム」は、材料特性に応じて振幅と周波数をリアルタイムで最適化。</x:v>
      </x:c>
      <x:c r="I334" s="7" t="str">
        <x:v>個別入力の追加確認が必要</x:v>
      </x:c>
      <x:c r="J334" s="7" t="str">
        <x:v>原典抜粋：最大の特長である「自動周波数追従システム」は、材料特性に応じて振幅と周波数をリアルタイムで最適化。</x:v>
      </x:c>
      <x:c r="K334" s="7" t="str">
        <x:v>最大の特長である「自動周波数追従システム」は、材料特性に応じて振幅と周波数をリアルタイムで最適化。</x:v>
      </x:c>
      <x:c r="L334" s="7" t="str">
        <x:v>承認・例外対応・停止・復帰の境界は未確認</x:v>
      </x:c>
      <x:c r="M334" s="7" t="str">
        <x:v>同一正規化名称の2024詳細なし。新規出展・技術不存在とは判断しない。</x:v>
      </x:c>
      <x:c r="N334" s="7" t="str">
        <x:v>2026原典抜粋：最大の特長である「自動周波数追従システム」は、材料特性に応じて振幅と周波数をリアルタイムで最適化。</x:v>
      </x:c>
      <x:c r="O334" s="7" t="str">
        <x:v>2024個別比較不能</x:v>
      </x:c>
      <x:c r="P334" s="7" t="str">
        <x:v>2026公式カタログ掲載・現地未確認</x:v>
      </x:c>
      <x:c r="Q334" s="7" t="str">
        <x:v>2026展示予定。既存製品・参考出展・構想等は原典で個別確認</x:v>
      </x:c>
      <x:c r="R334" s="7" t="str">
        <x:v>どの作業を自動化・支援するか、入力と判断・操作の範囲、適用条件と人の残作業、2024からの機能差、採用・受注・効果の実測を確認する。</x:v>
      </x:c>
      <x:c r="S334" s="7" t="str">
        <x:v>EEX-EXH-2026-bf72a60018da6e7c</x:v>
      </x:c>
      <x:c r="T334" s="7" t="str">
        <x:v>EEX-EXH-2026-bf72a60018da6e7c: https://www.jimtof.org/search/jp/ESdetails?e=DIbCyaCMEL8</x:v>
      </x:c>
      <x:c r="U334" s="7" t="str">
        <x:v>出展説明の関連箇所に基づく一次分類</x:v>
      </x:c>
      <x:c r="V334" s="7"/>
      <x:c r="W334" s="7"/>
      <x:c r="X334" s="7"/>
      <x:c r="Y334" s="7"/>
      <x:c r="Z334" s="7"/>
      <x:c r="AA334" s="7"/>
      <x:c r="AB334" s="7"/>
    </x:row>
    <x:row r="335" ht="170" customHeight="1">
      <x:c r="A335" s="7" t="str">
        <x:v>AC291</x:v>
      </x:c>
      <x:c r="B335" s="20" t="str">
        <x:v>United Machining Mill AG - MIKRON MILL</x:v>
      </x:c>
      <x:c r="C335" s="7" t="str">
        <x:v>高い動的精度と自由曲面加工における優れた精度で高く評価されており、自動化に対応し拡張性を備えた生産セル展開可能な機械構成は、他にはない独自性を誇ります</x:v>
      </x:c>
      <x:c r="D335" s="7" t="str">
        <x:v>E8001</x:v>
      </x:c>
      <x:c r="E335" s="7" t="str">
        <x:v>自動化</x:v>
      </x:c>
      <x:c r="F335" s="7" t="str">
        <x:v>出展説明の関連用途（個別タスクの分解は未完了）</x:v>
      </x:c>
      <x:c r="G335" s="7" t="str">
        <x:v>出展説明に記載。実装位置の個別精査はカードの方式・未確認欄を参照</x:v>
      </x:c>
      <x:c r="H335" s="7" t="str">
        <x:v>原典抜粋：高い動的精度と自由曲面加工における優れた精度で高く評価されており、自動化に対応し拡張性を備えた生産セル展開可能な機械構成は、他にはない独自性を誇ります。</x:v>
      </x:c>
      <x:c r="I335" s="7" t="str">
        <x:v>個別入力の追加確認が必要</x:v>
      </x:c>
      <x:c r="J335" s="7" t="str">
        <x:v>原典抜粋：高い動的精度と自由曲面加工における優れた精度で高く評価されており、自動化に対応し拡張性を備えた生産セル展開可能な機械構成は、他にはない独自性を誇ります。</x:v>
      </x:c>
      <x:c r="K335" s="7" t="str">
        <x:v>高い動的精度と自由曲面加工における優れた精度で高く評価されており、自動化に対応し拡張性を備えた生産セル展開可能な機械構成は、他にはない独自性を誇ります。</x:v>
      </x:c>
      <x:c r="L335" s="7" t="str">
        <x:v>承認・例外対応・停止・復帰の境界は未確認</x:v>
      </x:c>
      <x:c r="M335" s="7" t="str">
        <x:v>同一正規化名称の2024詳細なし。新規出展・技術不存在とは判断しない。</x:v>
      </x:c>
      <x:c r="N335" s="7" t="str">
        <x:v>2026原典抜粋：高い動的精度と自由曲面加工における優れた精度で高く評価されており、自動化に対応し拡張性を備えた生産セル展開可能な機械構成は、他にはない独自性を誇ります。</x:v>
      </x:c>
      <x:c r="O335" s="7" t="str">
        <x:v>2024個別比較不能</x:v>
      </x:c>
      <x:c r="P335" s="7" t="str">
        <x:v>2026公式カタログ掲載・現地未確認</x:v>
      </x:c>
      <x:c r="Q335" s="7" t="str">
        <x:v>2026展示予定。既存製品・参考出展・構想等は原典で個別確認</x:v>
      </x:c>
      <x:c r="R335" s="7" t="str">
        <x:v>どの作業を自動化・支援するか、入力と判断・操作の範囲、適用条件と人の残作業、2024からの機能差、採用・受注・効果の実測を確認する。</x:v>
      </x:c>
      <x:c r="S335" s="7" t="str">
        <x:v>EEX-EXH-2026-66bd137625ce375b</x:v>
      </x:c>
      <x:c r="T335" s="7" t="str">
        <x:v>EEX-EXH-2026-66bd137625ce375b: https://www.jimtof.org/search/jp/ESdetails?e=YixMbmW6WD0</x:v>
      </x:c>
      <x:c r="U335" s="7" t="str">
        <x:v>出展説明の関連箇所に基づく一次分類</x:v>
      </x:c>
      <x:c r="V335" s="7"/>
      <x:c r="W335" s="7"/>
      <x:c r="X335" s="7"/>
      <x:c r="Y335" s="7"/>
      <x:c r="Z335" s="7"/>
      <x:c r="AA335" s="7"/>
      <x:c r="AB335" s="7"/>
    </x:row>
    <x:row r="336" ht="170" customHeight="1">
      <x:c r="A336" s="7" t="str">
        <x:v>AC292</x:v>
      </x:c>
      <x:c r="B336" s="20" t="str">
        <x:v>United Machining Solutions Management AG</x:v>
      </x:c>
      <x:c r="C336" s="7" t="str">
        <x:v>UNITED GRINDING GROUP</x:v>
      </x:c>
      <x:c r="D336" s="7" t="str">
        <x:v>E8001</x:v>
      </x:c>
      <x:c r="E336" s="7" t="str">
        <x:v>自動化</x:v>
      </x:c>
      <x:c r="F336" s="7" t="str">
        <x:v>出展説明の関連用途（個別タスクの分解は未完了）</x:v>
      </x:c>
      <x:c r="G336" s="7" t="str">
        <x:v>出展説明に記載。実装位置の個別精査はカードの方式・未確認欄を参照</x:v>
      </x:c>
      <x:c r="H336" s="7" t="str">
        <x:v>原典抜粋：さらに、UNITED MACHININGからは、AGIE CHARMILLES | CHARMILLES | MIKRON MILL | LIECHTI | STEP TEC | SYSTEM 3Rが加わり、切削加工、放電加工、レーザ加工、自動化分野における幅広いソリューションをご提案します。 / 本展示では、高精度部品加工、金型製作、切削工具製造など幅広い製造現場に向けて、生産性向上、高精度化、自動化、省人化を実現するソリューションを</x:v>
      </x:c>
      <x:c r="I336" s="7" t="str">
        <x:v>個別入力の追加確認が必要</x:v>
      </x:c>
      <x:c r="J336" s="7" t="str">
        <x:v>原典抜粋：さらに、UNITED MACHININGからは、AGIE CHARMILLES | CHARMILLES | MIKRON MILL | LIECHTI | STEP TEC | SYSTEM 3Rが加わり、切削加工、放電加工、レーザ加工、自動化分野における幅広いソリューションをご提案します。 / 本展示では、高精度部品加工、金型製作、切削工具製造など幅広い製造現場に向けて、生産性向上、高精度化、自動化、省人化を実現するソリューションを</x:v>
      </x:c>
      <x:c r="K336" s="7" t="str">
        <x:v>さらに、UNITED MACHININGからは、AGIE CHARMILLES | CHARMILLES | MIKRON MILL | LIECHTI | STEP TEC | SYSTEM 3Rが加わり、切削加工、放電加工、レーザ加工、自動化分野における幅広いソリューションをご提案します。 / 本展示では、高精度部品加工、金型製作、切削工具製造など幅広い製造現場に向けて、生産性向上、高精度化、自動化、省人化を実現するソリューションを</x:v>
      </x:c>
      <x:c r="L336" s="7" t="str">
        <x:v>承認・例外対応・停止・復帰の境界は未確認</x:v>
      </x:c>
      <x:c r="M336" s="7" t="str">
        <x:v>同一正規化名称の2024詳細なし。新規出展・技術不存在とは判断しない。</x:v>
      </x:c>
      <x:c r="N336" s="7" t="str">
        <x:v>2026原典抜粋：さらに、UNITED MACHININGからは、AGIE CHARMILLES | CHARMILLES | MIKRON MILL | LIECHTI | STEP TEC | SYSTEM 3Rが加わり、切削加工、放電加工、レーザ加工、自動化分野における幅広いソリューションをご提案します。 / 本展示では、高精度部品加工、金型製作、切削工具製造など幅広い製造現場に向けて、生産性向上、高精度化、自動化、省人化を実現するソリューションを</x:v>
      </x:c>
      <x:c r="O336" s="7" t="str">
        <x:v>2024個別比較不能</x:v>
      </x:c>
      <x:c r="P336" s="7" t="str">
        <x:v>2026公式カタログ掲載・現地未確認</x:v>
      </x:c>
      <x:c r="Q336" s="7" t="str">
        <x:v>2026展示予定。既存製品・参考出展・構想等は原典で個別確認</x:v>
      </x:c>
      <x:c r="R336" s="7" t="str">
        <x:v>どの作業を自動化・支援するか、入力と判断・操作の範囲、適用条件と人の残作業、2024からの機能差、採用・受注・効果の実測を確認する。</x:v>
      </x:c>
      <x:c r="S336" s="7" t="str">
        <x:v>EEX-EXH-2026-2109c0e318b1202c</x:v>
      </x:c>
      <x:c r="T336" s="7" t="str">
        <x:v>EEX-EXH-2026-2109c0e318b1202c: https://www.jimtof.org/search/jp/ESdetails?e=_thCHqnMq9s</x:v>
      </x:c>
      <x:c r="U336" s="7" t="str">
        <x:v>出展説明の関連箇所に基づく一次分類</x:v>
      </x:c>
      <x:c r="V336" s="7"/>
      <x:c r="W336" s="7"/>
      <x:c r="X336" s="7"/>
      <x:c r="Y336" s="7"/>
      <x:c r="Z336" s="7"/>
      <x:c r="AA336" s="7"/>
      <x:c r="AB336" s="7"/>
    </x:row>
    <x:row r="337" ht="170" customHeight="1">
      <x:c r="A337" s="7" t="str">
        <x:v>AC293</x:v>
      </x:c>
      <x:c r="B337" s="20" t="str">
        <x:v>WALRUS PUMP Co., Ltd.</x:v>
      </x:c>
      <x:c r="C337" s="7" t="str">
        <x:v>• ポンプ運転、可変速制御、冷却、切りくず除去、フラッシング、潤滑の実演。</x:v>
      </x:c>
      <x:c r="D337" s="7" t="str">
        <x:v>W4075</x:v>
      </x:c>
      <x:c r="E337" s="7" t="str">
        <x:v>自動化</x:v>
      </x:c>
      <x:c r="F337" s="7" t="str">
        <x:v>出展説明の関連用途（個別タスクの分解は未完了）</x:v>
      </x:c>
      <x:c r="G337" s="7" t="str">
        <x:v>出展説明に記載。実装位置の個別精査はカードの方式・未確認欄を参照</x:v>
      </x:c>
      <x:c r="H337" s="7" t="str">
        <x:v>原典抜粋：• 特許取得のドレンバックタンク設計により、漏れた液体をタンクへ自動的に戻し、プロセスを止めずに運転可能。</x:v>
      </x:c>
      <x:c r="I337" s="7" t="str">
        <x:v>個別入力の追加確認が必要</x:v>
      </x:c>
      <x:c r="J337" s="7" t="str">
        <x:v>原典抜粋：• 特許取得のドレンバックタンク設計により、漏れた液体をタンクへ自動的に戻し、プロセスを止めずに運転可能。</x:v>
      </x:c>
      <x:c r="K337" s="7" t="str">
        <x:v>• 特許取得のドレンバックタンク設計により、漏れた液体をタンクへ自動的に戻し、プロセスを止めずに運転可能。</x:v>
      </x:c>
      <x:c r="L337" s="7" t="str">
        <x:v>承認・例外対応・停止・復帰の境界は未確認</x:v>
      </x:c>
      <x:c r="M337" s="7" t="str">
        <x:v>2024原典抜粋：WALRUS PUMPは57年の経験を持ち、工作機械市場に深く根ざしています。さまざまな液体、圧力、排出ニーズに対応し、産業プロセスのために包括的なポンプソリューションを提供しています。 ■ 高品質: 各ポンプは、当社の国際的に認証された水ポンプおよびモーターパワー研究所で検証されており、これらの研究所はTAF、TUV、ILACの国際認証を取得しており、グローバル市場の高い基準を満たしています。 ■ エネルギー効率: IE3-4モーターを搭載し、高効率で運転することでエネルギー消費を削減し、エネルギー節約を実現しま</x:v>
      </x:c>
      <x:c r="N337" s="7" t="str">
        <x:v>2026原典抜粋：• 特許取得のドレンバックタンク設計により、漏れた液体をタンクへ自動的に戻し、プロセスを止めずに運転可能。</x:v>
      </x:c>
      <x:c r="O337" s="7" t="str">
        <x:v>両年原典あり・機能差未判定</x:v>
      </x:c>
      <x:c r="P337" s="7" t="str">
        <x:v>2026公式カタログ掲載・現地未確認</x:v>
      </x:c>
      <x:c r="Q337" s="7" t="str">
        <x:v>2026展示予定。既存製品・参考出展・構想等は原典で個別確認</x:v>
      </x:c>
      <x:c r="R337" s="7" t="str">
        <x:v>どの作業を自動化・支援するか、入力と判断・操作の範囲、適用条件と人の残作業、2024からの機能差、採用・受注・効果の実測を確認する。</x:v>
      </x:c>
      <x:c r="S337" s="7" t="str">
        <x:v>EEX-EXH-2026-703ff3fd652e4672
EEX-EXH-2024-a8461aeb157b22b5</x:v>
      </x:c>
      <x:c r="T337" s="7" t="str">
        <x:v>EEX-EXH-2026-703ff3fd652e4672: https://www.jimtof.org/search/jp/ESdetails?e=WiKj9N3VZzI
EEX-EXH-2024-a8461aeb157b22b5: https://www.jimtof.org/2024/search/jp/ESdetails?e=G_Eeg2HvvrA</x:v>
      </x:c>
      <x:c r="U337" s="7" t="str">
        <x:v>出展説明の関連箇所に基づく一次分類</x:v>
      </x:c>
      <x:c r="V337" s="7"/>
      <x:c r="W337" s="7"/>
      <x:c r="X337" s="7"/>
      <x:c r="Y337" s="7"/>
      <x:c r="Z337" s="7"/>
      <x:c r="AA337" s="7"/>
      <x:c r="AB337" s="7"/>
    </x:row>
    <x:row r="338" ht="170" customHeight="1">
      <x:c r="A338" s="7" t="str">
        <x:v>AC295</x:v>
      </x:c>
      <x:c r="B338" s="20" t="str">
        <x:v>WinTool AG</x:v>
      </x:c>
      <x:c r="C338" s="7" t="str">
        <x:v>WinTool：工具情報と現物・工程資源の連携</x:v>
      </x:c>
      <x:c r="D338" s="7" t="str">
        <x:v>E1049</x:v>
      </x:c>
      <x:c r="E338" s="7" t="str">
        <x:v>設計・製造DX
工場運用DX
自動化</x:v>
      </x:c>
      <x:c r="F338" s="7" t="str">
        <x:v>工具データと現物・工程資源の整合</x:v>
      </x:c>
      <x:c r="G338" s="7" t="str">
        <x:v>WinToolとCAM/NC・収納・プリセッター等の連携</x:v>
      </x:c>
      <x:c r="H338" s="7" t="str">
        <x:v>工具定義・在庫・現場ファイルをCAM等へ展開</x:v>
      </x:c>
      <x:c r="I338" s="7" t="str">
        <x:v>工具定義、在庫、工程ごとの工具リスト、NC・工具測定値、最低在庫</x:v>
      </x:c>
      <x:c r="J338" s="7" t="str">
        <x:v>最低在庫等のルールで購買要求を生成。学習AIによる工具選定・発注判断とは記載なし</x:v>
      </x:c>
      <x:c r="K338" s="7" t="str">
        <x:v>工具リスト・在庫確認・プリセッター指示・NC／測定値転送。管理者承認後に購買要求をERPへ送信</x:v>
      </x:c>
      <x:c r="L338" s="7" t="str">
        <x:v>事前準備：分析：工具マスター・工程リスト・最低在庫・連携先の設定が必要／承認：公式：購買要求は管理者承認後にERPへ自動送信／例外対応：未記載：工具品番違い・同期失敗・購買要求取消し等の例外処理</x:v>
      </x:c>
      <x:c r="M338" s="7" t="str">
        <x:v>2024も工具ライブラリ・CAM／NC・在庫・段取り・収納／プリセッター連携を説明。</x:v>
      </x:c>
      <x:c r="N338" s="7" t="str">
        <x:v>2026は現物情報と生産資源・BOPへの対応、一貫性を強調。</x:v>
      </x:c>
      <x:c r="O338" s="7" t="str">
        <x:v>2024から継続</x:v>
      </x:c>
      <x:c r="P338" s="7" t="str">
        <x:v>2026公式カタログ掲載・現地未確認</x:v>
      </x:c>
      <x:c r="Q338" s="7" t="str">
        <x:v>2026展示予定。既存製品・参考出展・構想等は原典で個別確認</x:v>
      </x:c>
      <x:c r="R338" s="7" t="str">
        <x:v>承認を含む自動ワークフローと自律発注AIを分ける。これら機能の追加年は未記載 現地質問：工具組立・品番・所在・寿命情報のどこが正本か。CAM・実機・収納間の同期、改訂・差異検出は。</x:v>
      </x:c>
      <x:c r="S338" s="7" t="str">
        <x:v>EEX-EXH-2026-4fb92ba6b82546d7
EEX-EXH-2024-3f1fa1966a57e011
EDP-18
EDP-19</x:v>
      </x:c>
      <x:c r="T338" s="7" t="str">
        <x:v>EEX-EXH-2026-4fb92ba6b82546d7: https://www.jimtof.org/search/jp/ESdetails?e=sSFZV23clJo
EEX-EXH-2024-3f1fa1966a57e011: https://www.jimtof.org/2024/search/jp/ESdetails?e=-n22F1d_CDc
EDP-18: https://www.wintool.com/en/tool-management-software/cnc-inventory-manager/erp-integration
EDP-19: https://www.wintool.com/software/cnc-prozessverwaltung</x:v>
      </x:c>
      <x:c r="U338" s="7" t="str">
        <x:v>2024・2026の原典全文を重点比較</x:v>
      </x:c>
      <x:c r="V338" s="7" t="str">
        <x:v>情報連携とルールによる自動処理・AIは未確認</x:v>
      </x:c>
      <x:c r="W338" s="7" t="str">
        <x:v>最低在庫等のルールで購買要求を生成。学習AIによる工具選定・発注判断とは記載なし</x:v>
      </x:c>
      <x:c r="X338" s="7" t="str">
        <x:v>工具リスト・在庫確認・プリセッター指示・NC／測定値転送。管理者承認後に購買要求をERPへ送信</x:v>
      </x:c>
      <x:c r="Y338" s="7" t="str">
        <x:v>分析：工具マスター・工程リスト・最低在庫・連携先の設定が必要</x:v>
      </x:c>
      <x:c r="Z338" s="7" t="str">
        <x:v>公式：購買要求は管理者承認後にERPへ自動送信</x:v>
      </x:c>
      <x:c r="AA338" s="7" t="str">
        <x:v>未記載：工具品番違い・同期失敗・購買要求取消し等の例外処理</x:v>
      </x:c>
      <x:c r="AB338" s="7" t="str">
        <x:v>承認を含む自動ワークフローと自律発注AIを分ける。これら機能の追加年は未記載</x:v>
      </x:c>
    </x:row>
    <x:row r="339" ht="170" customHeight="1">
      <x:c r="A339" s="7" t="str">
        <x:v>AC297</x:v>
      </x:c>
      <x:c r="B339" s="20" t="str">
        <x:v>WYLER AG</x:v>
      </x:c>
      <x:c r="C339" s="7" t="str">
        <x:v>精密デジタル水準器 BlueLEVEL・BlueLEVEL 2D</x:v>
      </x:c>
      <x:c r="D339" s="7" t="str">
        <x:v>E2026</x:v>
      </x:c>
      <x:c r="E339" s="7" t="str">
        <x:v>設計・製造DX
工場運用DX
自動化</x:v>
      </x:c>
      <x:c r="F339" s="7" t="str">
        <x:v>出展説明の関連用途（個別タスクの分解は未完了）</x:v>
      </x:c>
      <x:c r="G339" s="7" t="str">
        <x:v>出展説明に記載。実装位置の個別精査はカードの方式・未確認欄を参照</x:v>
      </x:c>
      <x:c r="H339" s="7" t="str">
        <x:v>原典抜粋：【ワイラー デジタル水準器】 / ～耐衝撃性に優れた精密デジタル水準器とワイヤレスデータ通信で精密測定をサポート～ / 耐衝撃性に優れた独自のセンサと、温度自動補正機能による信頼性の高い測定結果が、市場で高く評価されています。 / 精密デジタル水準器 BlueLEVEL・BlueLEVEL 2D / デジタル角度センサ ZEROTRONIC / データ転送機能付き角形デジタル水準器 WylerCLINO Frame 60・Clinotr</x:v>
      </x:c>
      <x:c r="I339" s="7" t="str">
        <x:v>個別入力の追加確認が必要</x:v>
      </x:c>
      <x:c r="J339" s="7" t="str">
        <x:v>原典抜粋：【ワイラー デジタル水準器】 / ～耐衝撃性に優れた精密デジタル水準器とワイヤレスデータ通信で精密測定をサポート～ / 耐衝撃性に優れた独自のセンサと、温度自動補正機能による信頼性の高い測定結果が、市場で高く評価されています。 / 精密デジタル水準器 BlueLEVEL・BlueLEVEL 2D / デジタル角度センサ ZEROTRONIC / データ転送機能付き角形デジタル水準器 WylerCLINO Frame 60・Clinotr</x:v>
      </x:c>
      <x:c r="K339" s="7" t="str">
        <x:v>【ワイラー デジタル水準器】 / ～耐衝撃性に優れた精密デジタル水準器とワイヤレスデータ通信で精密測定をサポート～ / 耐衝撃性に優れた独自のセンサと、温度自動補正機能による信頼性の高い測定結果が、市場で高く評価されています。 / 精密デジタル水準器 BlueLEVEL・BlueLEVEL 2D / デジタル角度センサ ZEROTRONIC / データ転送機能付き角形デジタル水準器 WylerCLINO Frame 60・Clinotr</x:v>
      </x:c>
      <x:c r="L339" s="7" t="str">
        <x:v>承認・例外対応・停止・復帰の境界は未確認</x:v>
      </x:c>
      <x:c r="M339" s="7" t="str">
        <x:v>2024原典抜粋：【ワイラー デジタル水準器】 ～耐衝撃性に優れた精密デジタル水準器とワイヤレスデータ通信で精密測定をサポート～ 90年以上にわたり角度測定を追求してきたスイス・ワイラー社。耐衝撃性に優れた独自のセンサと、温度自動補正機能による信頼性の高い測定結果が、市場で高く評価されています。 精密デジタル水準器 BlueLEVEL データ転送機能付き角形デジタル水準器 Clinotronic S 角形デジタル水準器 Clinotronic PLUS</x:v>
      </x:c>
      <x:c r="N339" s="7" t="str">
        <x:v>2026原典抜粋：【ワイラー デジタル水準器】 / ～耐衝撃性に優れた精密デジタル水準器とワイヤレスデータ通信で精密測定をサポート～ / 耐衝撃性に優れた独自のセンサと、温度自動補正機能による信頼性の高い測定結果が、市場で高く評価されています。 / 精密デジタル水準器 BlueLEVEL・BlueLEVEL 2D / デジタル角度センサ ZEROTRONIC / データ転送機能付き角形デジタル水準器 WylerCLINO Frame 60・Clinotr</x:v>
      </x:c>
      <x:c r="O339" s="7" t="str">
        <x:v>両年原典あり・機能差未判定</x:v>
      </x:c>
      <x:c r="P339" s="7" t="str">
        <x:v>2026公式カタログ掲載・現地未確認</x:v>
      </x:c>
      <x:c r="Q339" s="7" t="str">
        <x:v>2026展示予定。既存製品・参考出展・構想等は原典で個別確認</x:v>
      </x:c>
      <x:c r="R339" s="7" t="str">
        <x:v>どの作業を自動化・支援するか、入力と判断・操作の範囲、適用条件と人の残作業、2024からの機能差、採用・受注・効果の実測を確認する。</x:v>
      </x:c>
      <x:c r="S339" s="7" t="str">
        <x:v>EEX-EXH-2026-8b48ce9818506160
EEX-EXH-2024-c9c19c9e4ad47c0f</x:v>
      </x:c>
      <x:c r="T339" s="7" t="str">
        <x:v>EEX-EXH-2026-8b48ce9818506160: https://www.jimtof.org/search/jp/ESdetails?e=skJOsZ3QJkQ
EEX-EXH-2024-c9c19c9e4ad47c0f: https://www.jimtof.org/2024/search/jp/ESdetails?e=RFknA09J764</x:v>
      </x:c>
      <x:c r="U339" s="7" t="str">
        <x:v>出展説明の関連箇所に基づく一次分類</x:v>
      </x:c>
      <x:c r="V339" s="7"/>
      <x:c r="W339" s="7"/>
      <x:c r="X339" s="7"/>
      <x:c r="Y339" s="7"/>
      <x:c r="Z339" s="7"/>
      <x:c r="AA339" s="7"/>
      <x:c r="AB339" s="7"/>
    </x:row>
    <x:row r="340" ht="170" customHeight="1">
      <x:c r="A340" s="7" t="str">
        <x:v>AC298</x:v>
      </x:c>
      <x:c r="B340" s="20" t="str">
        <x:v>YANGZHOU METALFORMING MACHINE TOOL CO.,LTD</x:v>
      </x:c>
      <x:c r="C340" s="7" t="str">
        <x:v>さらに、YADONは、トランスファーライン、多ステーションプレスライン、多機ラインを含む自動化スタンピングソリューションの提供においても業界をリードし</x:v>
      </x:c>
      <x:c r="D340" s="7" t="str">
        <x:v>S1088</x:v>
      </x:c>
      <x:c r="E340" s="7" t="str">
        <x:v>自動化</x:v>
      </x:c>
      <x:c r="F340" s="7" t="str">
        <x:v>出展説明の関連用途（個別タスクの分解は未完了）</x:v>
      </x:c>
      <x:c r="G340" s="7" t="str">
        <x:v>出展説明に記載。実装位置の個別精査はカードの方式・未確認欄を参照</x:v>
      </x:c>
      <x:c r="H340" s="7" t="str">
        <x:v>原典抜粋：さらに、YADONは、トランスファーライン、多ステーションプレスライン、多機ラインを含む自動化スタンピングソリューションの提供においても業界をリードしております。</x:v>
      </x:c>
      <x:c r="I340" s="7" t="str">
        <x:v>個別入力の追加確認が必要</x:v>
      </x:c>
      <x:c r="J340" s="7" t="str">
        <x:v>原典抜粋：さらに、YADONは、トランスファーライン、多ステーションプレスライン、多機ラインを含む自動化スタンピングソリューションの提供においても業界をリードしております。</x:v>
      </x:c>
      <x:c r="K340" s="7" t="str">
        <x:v>さらに、YADONは、トランスファーライン、多ステーションプレスライン、多機ラインを含む自動化スタンピングソリューションの提供においても業界をリードしております。</x:v>
      </x:c>
      <x:c r="L340" s="7" t="str">
        <x:v>承認・例外対応・停止・復帰の境界は未確認</x:v>
      </x:c>
      <x:c r="M340" s="7" t="str">
        <x:v>同一正規化名称の2024詳細なし。新規出展・技術不存在とは判断しない。</x:v>
      </x:c>
      <x:c r="N340" s="7" t="str">
        <x:v>2026原典抜粋：さらに、YADONは、トランスファーライン、多ステーションプレスライン、多機ラインを含む自動化スタンピングソリューションの提供においても業界をリードしております。</x:v>
      </x:c>
      <x:c r="O340" s="7" t="str">
        <x:v>2024個別比較不能</x:v>
      </x:c>
      <x:c r="P340" s="7" t="str">
        <x:v>2026公式カタログ掲載・現地未確認</x:v>
      </x:c>
      <x:c r="Q340" s="7" t="str">
        <x:v>2026展示予定。既存製品・参考出展・構想等は原典で個別確認</x:v>
      </x:c>
      <x:c r="R340" s="7" t="str">
        <x:v>どの作業を自動化・支援するか、入力と判断・操作の範囲、適用条件と人の残作業、2024からの機能差、採用・受注・効果の実測を確認する。</x:v>
      </x:c>
      <x:c r="S340" s="7" t="str">
        <x:v>EEX-EXH-2026-6e4fdf8d0532940b</x:v>
      </x:c>
      <x:c r="T340" s="7" t="str">
        <x:v>EEX-EXH-2026-6e4fdf8d0532940b: https://www.jimtof.org/search/jp/ESdetails?e=IP8LxjVq_vg</x:v>
      </x:c>
      <x:c r="U340" s="7" t="str">
        <x:v>出展説明の関連箇所に基づく一次分類</x:v>
      </x:c>
      <x:c r="V340" s="7"/>
      <x:c r="W340" s="7"/>
      <x:c r="X340" s="7"/>
      <x:c r="Y340" s="7"/>
      <x:c r="Z340" s="7"/>
      <x:c r="AA340" s="7"/>
      <x:c r="AB340" s="7"/>
    </x:row>
  </x:sheetData>
  <x:pageMargins left="0.7" right="0.7" top="0.75" bottom="0.75" header="0.3" footer="0.3"/>
  <x:tableParts count="1">
    <x:tablePart xmlns:r="http://schemas.openxmlformats.org/officeDocument/2006/relationships" r:id="R678578a61de344ed"/>
  </x:tableParts>
</x:worksheet>
</file>

<file path=xl/worksheets/sheet10.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30" hidden="0" customWidth="1"/>
    <x:col min="2" max="2" width="75" hidden="0" customWidth="1"/>
    <x:col min="3" max="3" width="75" hidden="0" customWidth="1"/>
    <x:col min="4" max="4" width="22" hidden="0" customWidth="1"/>
  </x:cols>
  <x:sheetData>
    <x:row r="2" ht="30" customHeight="1">
      <x:c r="A2" s="3" t="str">
        <x:v>カテゴリーの定義</x:v>
      </x:c>
      <x:c r="B2" s="1"/>
      <x:c r="C2" s="1"/>
      <x:c r="D2" s="1"/>
    </x:row>
    <x:row r="3" ht="22" customHeight="1">
      <x:c r="A3" s="5" t="str">
        <x:v>カテゴリーは重複可。メーカーの呼称と調査者の分類を索引で区別しています。</x:v>
      </x:c>
      <x:c r="B3" s="5"/>
      <x:c r="C3" s="5"/>
      <x:c r="D3" s="5"/>
    </x:row>
    <x:row r="4" ht="22" customHeight="1">
      <x:c r="A4" s="5" t="str">
        <x:v>2026年は展示予定。基礎原典10/16・追補10/18（全件再取得ではない）。詳細・制約はカードと原典を参照。</x:v>
      </x:c>
      <x:c r="B4" s="5"/>
      <x:c r="C4" s="5"/>
      <x:c r="D4" s="5"/>
    </x:row>
    <x:row r="5">
      <x:c r="A5" s="1"/>
      <x:c r="B5" s="1"/>
      <x:c r="C5" s="1"/>
      <x:c r="D5" s="1"/>
    </x:row>
    <x:row r="6" ht="34" customHeight="1">
      <x:c r="A6" s="11" t="str">
        <x:v>カテゴリー</x:v>
      </x:c>
      <x:c r="B6" s="11" t="str">
        <x:v>分類する対象</x:v>
      </x:c>
      <x:c r="C6" s="11" t="str">
        <x:v>分類上の境界</x:v>
      </x:c>
      <x:c r="D6" s="11" t="str">
        <x:v>展示アイテム数</x:v>
      </x:c>
    </x:row>
    <x:row r="7" ht="52" customHeight="1">
      <x:c r="A7" s="7" t="str">
        <x:v>フィジカルAI</x:v>
      </x:c>
      <x:c r="B7" s="7" t="str">
        <x:v>認識・判断と物理動作の結合。メーカーが同語で示す基盤・部品も、応用本体と分けて掲載。</x:v>
      </x:c>
      <x:c r="C7" s="7" t="str">
        <x:v>呼称だけでは動作生成・汎化・自律性を認定しない。</x:v>
      </x:c>
      <x:c r="D7" s="22" t="n">
        <x:f>COUNTIF('カテゴリー索引'!$A$7:$A$554,A7)</x:f>
        <x:v>12</x:v>
      </x:c>
    </x:row>
    <x:row r="8" ht="52" customHeight="1">
      <x:c r="A8" s="7" t="str">
        <x:v>AIエージェント・対話支援</x:v>
      </x:c>
      <x:c r="B8" s="7" t="str">
        <x:v>開発・運用・業務を助けるエージェント、対話型AI、連携基盤。</x:v>
      </x:c>
      <x:c r="C8" s="7" t="str">
        <x:v>回答・提案・操作・人の承認を分ける。対話支援を自律実行と扱わない。</x:v>
      </x:c>
      <x:c r="D8" s="22" t="n">
        <x:f>COUNTIF('カテゴリー索引'!$A$7:$A$554,A8)</x:f>
        <x:v>8</x:v>
      </x:c>
    </x:row>
    <x:row r="9" ht="52" customHeight="1">
      <x:c r="A9" s="7" t="str">
        <x:v>加工準備・業務AI</x:v>
      </x:c>
      <x:c r="B9" s="7" t="str">
        <x:v>工程・CAM・図面検索・見積などの準備／業務にAIを利用。</x:v>
      </x:c>
      <x:c r="C9" s="7" t="str">
        <x:v>自動生成した提案の正しさ、NCの実機適用までを保証しない。</x:v>
      </x:c>
      <x:c r="D9" s="22" t="n">
        <x:f>COUNTIF('カテゴリー索引'!$A$7:$A$554,A9)</x:f>
        <x:v>12</x:v>
      </x:c>
    </x:row>
    <x:row r="10" ht="52" customHeight="1">
      <x:c r="A10" s="7" t="str">
        <x:v>検査・診断・予測AI</x:v>
      </x:c>
      <x:c r="B10" s="7" t="str">
        <x:v>画像・振動・時系列・記録等のAI判定、診断、寿命・異常予測。</x:v>
      </x:c>
      <x:c r="C10" s="7" t="str">
        <x:v>AIの対象が原典で具体的なものを掲載。一般の計測器を一律にAI扱いしない。</x:v>
      </x:c>
      <x:c r="D10" s="22" t="n">
        <x:f>COUNTIF('カテゴリー索引'!$A$7:$A$554,A10)</x:f>
        <x:v>23</x:v>
      </x:c>
    </x:row>
    <x:row r="11" ht="52" customHeight="1">
      <x:c r="A11" s="7" t="str">
        <x:v>設計・製造DX</x:v>
      </x:c>
      <x:c r="B11" s="7" t="str">
        <x:v>設計・CAM・NC検証・測定計画・設計製造データをデジタルで結ぶ。</x:v>
      </x:c>
      <x:c r="C11" s="7" t="str">
        <x:v>デジタル化・シミュレーションとAIを区別する。</x:v>
      </x:c>
      <x:c r="D11" s="22" t="n">
        <x:f>COUNTIF('カテゴリー索引'!$A$7:$A$554,A11)</x:f>
        <x:v>57</x:v>
      </x:c>
    </x:row>
    <x:row r="12" ht="52" customHeight="1">
      <x:c r="A12" s="7" t="str">
        <x:v>工場運用DX</x:v>
      </x:c>
      <x:c r="B12" s="7" t="str">
        <x:v>設備・生産・品質・工具・保全データの活用、計画、遠隔運用。</x:v>
      </x:c>
      <x:c r="C12" s="7" t="str">
        <x:v>データがつながることと、判断・操作を委任できることを区別する。</x:v>
      </x:c>
      <x:c r="D12" s="22" t="n">
        <x:f>COUNTIF('カテゴリー索引'!$A$7:$A$554,A12)</x:f>
        <x:v>112</x:v>
      </x:c>
    </x:row>
    <x:row r="13" ht="52" customHeight="1">
      <x:c r="A13" s="7" t="str">
        <x:v>自動化</x:v>
      </x:c>
      <x:c r="B13" s="7" t="str">
        <x:v>搬送・段取り・加工付帯・検査・補正・ソフト処理等の作業を機械やソフトで行う。</x:v>
      </x:c>
      <x:c r="C13" s="7" t="str">
        <x:v>固定手順・ルール・人の事前設定も含む。AI利用・自律判断は必須ではない。</x:v>
      </x:c>
      <x:c r="D13" s="22" t="n">
        <x:f>COUNTIF('カテゴリー索引'!$A$7:$A$554,A13)</x:f>
        <x:v>279</x:v>
      </x:c>
    </x:row>
    <x:row r="14" ht="52" customHeight="1">
      <x:c r="A14" s="7" t="str">
        <x:v>自律化</x:v>
      </x:c>
      <x:c r="B14" s="7" t="str">
        <x:v>状況に応じた判断と実行を担う限定タスク、及びメーカーが自律化を掲げる提案。</x:v>
      </x:c>
      <x:c r="C14" s="7" t="str">
        <x:v>限定タスクと構想・範囲未確認を区別。固定手順や自動補正だけでは付けない。</x:v>
      </x:c>
      <x:c r="D14" s="22" t="n">
        <x:f>COUNTIF('カテゴリー索引'!$A$7:$A$554,A14)</x:f>
        <x:v>13</x:v>
      </x:c>
    </x:row>
    <x:row r="15" ht="52" customHeight="1">
      <x:c r="A15" s="7" t="str">
        <x:v>AI実装・連携基盤</x:v>
      </x:c>
      <x:c r="B15" s="7" t="str">
        <x:v>学習モデルの制御実装、データの意味・接続、撮像、IPC等を支える。</x:v>
      </x:c>
      <x:c r="C15" s="7" t="str">
        <x:v>基盤を備えることと、特定AIタスクが実装済みであることを区別する。</x:v>
      </x:c>
      <x:c r="D15" s="22" t="n">
        <x:f>COUNTIF('カテゴリー索引'!$A$7:$A$554,A15)</x:f>
        <x:v>32</x:v>
      </x:c>
    </x:row>
  </x:sheetData>
  <x:pageMargins left="0.7" right="0.7" top="0.75" bottom="0.75" header="0.3" footer="0.3"/>
  <x:tableParts count="1">
    <x:tablePart xmlns:r="http://schemas.openxmlformats.org/officeDocument/2006/relationships" r:id="R551c65120ced49eb"/>
  </x:tableParts>
</x:worksheet>
</file>

<file path=xl/worksheets/sheet11.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30" hidden="0" customWidth="1"/>
    <x:col min="2" max="2" width="15" hidden="0" customWidth="1"/>
    <x:col min="3" max="3" width="35" hidden="0" customWidth="1"/>
    <x:col min="4" max="4" width="75" hidden="0" customWidth="1"/>
    <x:col min="5" max="5" width="23" hidden="0" customWidth="1"/>
    <x:col min="6" max="6" width="70" hidden="0" customWidth="1"/>
    <x:col min="7" max="7" width="40" hidden="0" customWidth="1"/>
    <x:col min="8" max="8" width="40" hidden="0" customWidth="1"/>
  </x:cols>
  <x:sheetData>
    <x:row r="2" ht="30" customHeight="1">
      <x:c r="A2" s="3" t="str">
        <x:v>関連候補345掲載の仕分け履歴</x:v>
      </x:c>
      <x:c r="B2" s="1"/>
      <x:c r="C2" s="1"/>
      <x:c r="D2" s="1"/>
      <x:c r="E2" s="1"/>
      <x:c r="F2" s="1"/>
      <x:c r="G2" s="1"/>
      <x:c r="H2" s="1"/>
    </x:row>
    <x:row r="3" ht="22" customHeight="1">
      <x:c r="A3" s="5" t="str">
        <x:v>追加重点19掲載＝両年原典比較13掲載（同名12＋公式社名変更照合1）、2024未照合6掲載。一次分類265・対象外32・保留1。</x:v>
      </x:c>
      <x:c r="B3" s="5"/>
      <x:c r="C3" s="5"/>
      <x:c r="D3" s="5"/>
      <x:c r="E3" s="5"/>
      <x:c r="F3" s="5"/>
      <x:c r="G3" s="5"/>
      <x:c r="H3" s="5"/>
    </x:row>
    <x:row r="4" ht="22" customHeight="1">
      <x:c r="A4" s="5" t="str">
        <x:v>2026年は展示予定。基礎原典10/16・追補10/18（全件再取得ではない）。詳細・制約はカードと原典を参照。</x:v>
      </x:c>
      <x:c r="B4" s="5"/>
      <x:c r="C4" s="5"/>
      <x:c r="D4" s="5"/>
      <x:c r="E4" s="5"/>
      <x:c r="F4" s="5"/>
      <x:c r="G4" s="5"/>
      <x:c r="H4" s="5"/>
    </x:row>
    <x:row r="5">
      <x:c r="A5" s="1"/>
      <x:c r="B5" s="1"/>
      <x:c r="C5" s="1"/>
      <x:c r="D5" s="1"/>
      <x:c r="E5" s="1"/>
      <x:c r="F5" s="1"/>
      <x:c r="G5" s="1"/>
      <x:c r="H5" s="1"/>
    </x:row>
    <x:row r="6" ht="34" customHeight="1">
      <x:c r="A6" s="11" t="str">
        <x:v>企業名</x:v>
      </x:c>
      <x:c r="B6" s="11" t="str">
        <x:v>2026ブース</x:v>
      </x:c>
      <x:c r="C6" s="11" t="str">
        <x:v>判定</x:v>
      </x:c>
      <x:c r="D6" s="11" t="str">
        <x:v>判定理由</x:v>
      </x:c>
      <x:c r="E6" s="11" t="str">
        <x:v>カードID</x:v>
      </x:c>
      <x:c r="F6" s="11" t="str">
        <x:v>2026原典URL</x:v>
      </x:c>
      <x:c r="G6" s="11" t="str">
        <x:v>掲載ID</x:v>
      </x:c>
      <x:c r="H6" s="11" t="str">
        <x:v>名称キー</x:v>
      </x:c>
    </x:row>
    <x:row r="7" ht="65" customHeight="1">
      <x:c r="A7" s="7" t="str">
        <x:v>EPLAN株式会社</x:v>
      </x:c>
      <x:c r="B7" s="7" t="str">
        <x:v>S1067</x:v>
      </x:c>
      <x:c r="C7" s="7" t="str">
        <x:v>既存の重点カードで分類済み</x:v>
      </x:c>
      <x:c r="D7" s="7" t="str">
        <x:v>既存69カードの対象掲載</x:v>
      </x:c>
      <x:c r="E7" s="7" t="str">
        <x:v>FC016
FC017</x:v>
      </x:c>
      <x:c r="F7" s="7" t="str">
        <x:v>https://www.jimtof.org/search/jp/ESdetails?e=FHsQAvmFusY</x:v>
      </x:c>
      <x:c r="G7" s="7" t="str">
        <x:v>EXH-2026-0855541afdd2d828</x:v>
      </x:c>
      <x:c r="H7" s="7" t="str">
        <x:v>eplan株式会社</x:v>
      </x:c>
    </x:row>
    <x:row r="8" ht="65" customHeight="1">
      <x:c r="A8" s="7" t="str">
        <x:v>株式会社イマオコーポレーション</x:v>
      </x:c>
      <x:c r="B8" s="7" t="str">
        <x:v>W2001</x:v>
      </x:c>
      <x:c r="C8" s="7" t="str">
        <x:v>既存の重点カードで分類済み</x:v>
      </x:c>
      <x:c r="D8" s="7" t="str">
        <x:v>既存69カードの対象掲載</x:v>
      </x:c>
      <x:c r="E8" s="7" t="str">
        <x:v>FC042
FC043</x:v>
      </x:c>
      <x:c r="F8" s="7" t="str">
        <x:v>https://www.jimtof.org/search/jp/ESdetails?e=shuDpJLDn-A</x:v>
      </x:c>
      <x:c r="G8" s="7" t="str">
        <x:v>EXH-2026-99234148cbcc9c85</x:v>
      </x:c>
      <x:c r="H8" s="7" t="str">
        <x:v>株式会社イマオコーポレーション</x:v>
      </x:c>
    </x:row>
    <x:row r="9" ht="65" customHeight="1">
      <x:c r="A9" s="7" t="str">
        <x:v>エヌティーツール株式会社</x:v>
      </x:c>
      <x:c r="B9" s="7" t="str">
        <x:v>W2019</x:v>
      </x:c>
      <x:c r="C9" s="7" t="str">
        <x:v>既存の重点カードで分類済み</x:v>
      </x:c>
      <x:c r="D9" s="7" t="str">
        <x:v>既存69カードの対象掲載</x:v>
      </x:c>
      <x:c r="E9" s="7" t="str">
        <x:v>FC044
FC045</x:v>
      </x:c>
      <x:c r="F9" s="7" t="str">
        <x:v>https://www.jimtof.org/search/jp/ESdetails?e=iW3vesxy4DU</x:v>
      </x:c>
      <x:c r="G9" s="7" t="str">
        <x:v>EXH-2026-e3e0ddff337c4b17</x:v>
      </x:c>
      <x:c r="H9" s="7" t="str">
        <x:v>エヌティーツール株式会社</x:v>
      </x:c>
    </x:row>
    <x:row r="10" ht="65" customHeight="1">
      <x:c r="A10" s="7" t="str">
        <x:v>オークマ株式会社</x:v>
      </x:c>
      <x:c r="B10" s="7" t="str">
        <x:v>E3028</x:v>
      </x:c>
      <x:c r="C10" s="7" t="str">
        <x:v>既存の重点カードで分類済み</x:v>
      </x:c>
      <x:c r="D10" s="7" t="str">
        <x:v>既存69カードの対象掲載</x:v>
      </x:c>
      <x:c r="E10" s="7" t="str">
        <x:v>FC008
FC009</x:v>
      </x:c>
      <x:c r="F10" s="7" t="str">
        <x:v>https://www.jimtof.org/search/jp/ESdetails?e=30li0vWcseI</x:v>
      </x:c>
      <x:c r="G10" s="7" t="str">
        <x:v>EXH-2026-83dac2656a4ec28c</x:v>
      </x:c>
      <x:c r="H10" s="7" t="str">
        <x:v>オークマ株式会社</x:v>
      </x:c>
    </x:row>
    <x:row r="11" ht="65" customHeight="1">
      <x:c r="A11" s="7" t="str">
        <x:v>オートデスク株式会社</x:v>
      </x:c>
      <x:c r="B11" s="7" t="str">
        <x:v>S3019</x:v>
      </x:c>
      <x:c r="C11" s="7" t="str">
        <x:v>既存の重点カードで分類済み</x:v>
      </x:c>
      <x:c r="D11" s="7" t="str">
        <x:v>既存69カードの対象掲載</x:v>
      </x:c>
      <x:c r="E11" s="7" t="str">
        <x:v>FC023</x:v>
      </x:c>
      <x:c r="F11" s="7" t="str">
        <x:v>https://www.jimtof.org/search/jp/ESdetails?e=Y_kC6hMTghk</x:v>
      </x:c>
      <x:c r="G11" s="7" t="str">
        <x:v>EXH-2026-d680c617bfdb1dc2</x:v>
      </x:c>
      <x:c r="H11" s="7" t="str">
        <x:v>オートデスク株式会社</x:v>
      </x:c>
    </x:row>
    <x:row r="12" ht="65" customHeight="1">
      <x:c r="A12" s="7" t="str">
        <x:v>株式会社ケーメックス・オートメーション</x:v>
      </x:c>
      <x:c r="B12" s="7" t="str">
        <x:v>S3024</x:v>
      </x:c>
      <x:c r="C12" s="7" t="str">
        <x:v>既存の重点カードで分類済み</x:v>
      </x:c>
      <x:c r="D12" s="7" t="str">
        <x:v>既存69カードの対象掲載</x:v>
      </x:c>
      <x:c r="E12" s="7" t="str">
        <x:v>FC068</x:v>
      </x:c>
      <x:c r="F12" s="7" t="str">
        <x:v>https://www.jimtof.org/search/jp/ESdetails?e=bz4bGc4T6ag</x:v>
      </x:c>
      <x:c r="G12" s="7" t="str">
        <x:v>EXH-2026-d66aeebae0c97d51</x:v>
      </x:c>
      <x:c r="H12" s="7" t="str">
        <x:v>株式会社ケーメックス・オートメーション</x:v>
      </x:c>
    </x:row>
    <x:row r="13" ht="65" customHeight="1">
      <x:c r="A13" s="7" t="str">
        <x:v>興和オプトロニクス株式会社</x:v>
      </x:c>
      <x:c r="B13" s="7" t="str">
        <x:v>S3104</x:v>
      </x:c>
      <x:c r="C13" s="7" t="str">
        <x:v>既存の重点カードで分類済み</x:v>
      </x:c>
      <x:c r="D13" s="7" t="str">
        <x:v>既存69カードの対象掲載</x:v>
      </x:c>
      <x:c r="E13" s="7" t="str">
        <x:v>FC063</x:v>
      </x:c>
      <x:c r="F13" s="7" t="str">
        <x:v>https://www.jimtof.org/search/jp/ESdetails?e=v6nw4APC-vQ</x:v>
      </x:c>
      <x:c r="G13" s="7" t="str">
        <x:v>EXH-2026-d8cb2091f35c6af8</x:v>
      </x:c>
      <x:c r="H13" s="7" t="str">
        <x:v>興和オプトロニクス株式会社</x:v>
      </x:c>
    </x:row>
    <x:row r="14" ht="65" customHeight="1">
      <x:c r="A14" s="7" t="str">
        <x:v>株式会社シーイーシー</x:v>
      </x:c>
      <x:c r="B14" s="7" t="str">
        <x:v>E2006</x:v>
      </x:c>
      <x:c r="C14" s="7" t="str">
        <x:v>既存の重点カードで分類済み</x:v>
      </x:c>
      <x:c r="D14" s="7" t="str">
        <x:v>既存69カードの対象掲載</x:v>
      </x:c>
      <x:c r="E14" s="7" t="str">
        <x:v>FC025</x:v>
      </x:c>
      <x:c r="F14" s="7" t="str">
        <x:v>https://www.jimtof.org/search/jp/ESdetails?e=tW-C9oF94EQ</x:v>
      </x:c>
      <x:c r="G14" s="7" t="str">
        <x:v>EXH-2026-a4e5abed33d00e30</x:v>
      </x:c>
      <x:c r="H14" s="7" t="str">
        <x:v>株式会社シーイーシー</x:v>
      </x:c>
    </x:row>
    <x:row r="15" ht="65" customHeight="1">
      <x:c r="A15" s="7" t="str">
        <x:v>株式会社CGTech</x:v>
      </x:c>
      <x:c r="B15" s="7" t="str">
        <x:v>S3014</x:v>
      </x:c>
      <x:c r="C15" s="7" t="str">
        <x:v>既存の重点カードで分類済み</x:v>
      </x:c>
      <x:c r="D15" s="7" t="str">
        <x:v>既存69カードの対象掲載</x:v>
      </x:c>
      <x:c r="E15" s="7" t="str">
        <x:v>FC021
FC022</x:v>
      </x:c>
      <x:c r="F15" s="7" t="str">
        <x:v>https://www.jimtof.org/search/jp/ESdetails?e=41U8xW4UkcM</x:v>
      </x:c>
      <x:c r="G15" s="7" t="str">
        <x:v>EXH-2026-5bd703fc37f6b69e</x:v>
      </x:c>
      <x:c r="H15" s="7" t="str">
        <x:v>株式会社cgtech</x:v>
      </x:c>
    </x:row>
    <x:row r="16" ht="65" customHeight="1">
      <x:c r="A16" s="7" t="str">
        <x:v>ジェービーエムエンジニアリング株式会社</x:v>
      </x:c>
      <x:c r="B16" s="7" t="str">
        <x:v>E2002</x:v>
      </x:c>
      <x:c r="C16" s="7" t="str">
        <x:v>既存の重点カードで分類済み</x:v>
      </x:c>
      <x:c r="D16" s="7" t="str">
        <x:v>既存69カードの対象掲載</x:v>
      </x:c>
      <x:c r="E16" s="7" t="str">
        <x:v>FC020</x:v>
      </x:c>
      <x:c r="F16" s="7" t="str">
        <x:v>https://www.jimtof.org/search/jp/ESdetails?e=VrAjMTKmxdw</x:v>
      </x:c>
      <x:c r="G16" s="7" t="str">
        <x:v>EXH-2026-8e1cb5ee900beda8</x:v>
      </x:c>
      <x:c r="H16" s="7" t="str">
        <x:v>ジェービーエムエンジニアリング株式会社</x:v>
      </x:c>
    </x:row>
    <x:row r="17" ht="65" customHeight="1">
      <x:c r="A17" s="7" t="str">
        <x:v>株式会社シマダマシンツール</x:v>
      </x:c>
      <x:c r="B17" s="7" t="str">
        <x:v>E2018</x:v>
      </x:c>
      <x:c r="C17" s="7" t="str">
        <x:v>既存の重点カードで分類済み</x:v>
      </x:c>
      <x:c r="D17" s="7" t="str">
        <x:v>既存69カードの対象掲載</x:v>
      </x:c>
      <x:c r="E17" s="7" t="str">
        <x:v>FC050
FC051</x:v>
      </x:c>
      <x:c r="F17" s="7" t="str">
        <x:v>https://www.jimtof.org/search/jp/ESdetails?e=xntdeqgs_F4</x:v>
      </x:c>
      <x:c r="G17" s="7" t="str">
        <x:v>EXH-2026-f1923bd974b0a68e</x:v>
      </x:c>
      <x:c r="H17" s="7" t="str">
        <x:v>株式会社シマダマシンツール</x:v>
      </x:c>
    </x:row>
    <x:row r="18" ht="65" customHeight="1">
      <x:c r="A18" s="7" t="str">
        <x:v>株式会社Smart Craft</x:v>
      </x:c>
      <x:c r="B18" s="7" t="str">
        <x:v>S3002</x:v>
      </x:c>
      <x:c r="C18" s="7" t="str">
        <x:v>既存の重点カードで分類済み</x:v>
      </x:c>
      <x:c r="D18" s="7" t="str">
        <x:v>既存69カードの対象掲載</x:v>
      </x:c>
      <x:c r="E18" s="7" t="str">
        <x:v>FC026</x:v>
      </x:c>
      <x:c r="F18" s="7" t="str">
        <x:v>https://www.jimtof.org/search/jp/ESdetails?e=WqjRB6DEqN0</x:v>
      </x:c>
      <x:c r="G18" s="7" t="str">
        <x:v>EXH-2026-e04c5180b870cfec</x:v>
      </x:c>
      <x:c r="H18" s="7" t="str">
        <x:v>株式会社smartcraft</x:v>
      </x:c>
    </x:row>
    <x:row r="19" ht="65" customHeight="1">
      <x:c r="A19" s="7" t="str">
        <x:v>株式会社ソフィックス</x:v>
      </x:c>
      <x:c r="B19" s="7" t="str">
        <x:v>E1067</x:v>
      </x:c>
      <x:c r="C19" s="7" t="str">
        <x:v>既存の重点カードで分類済み</x:v>
      </x:c>
      <x:c r="D19" s="7" t="str">
        <x:v>既存69カードの対象掲載</x:v>
      </x:c>
      <x:c r="E19" s="7" t="str">
        <x:v>FC029
FC030</x:v>
      </x:c>
      <x:c r="F19" s="7" t="str">
        <x:v>https://www.jimtof.org/search/jp/ESdetails?e=rYRhOM0muPQ</x:v>
      </x:c>
      <x:c r="G19" s="7" t="str">
        <x:v>EXH-2026-5045517fca4eabf6</x:v>
      </x:c>
      <x:c r="H19" s="7" t="str">
        <x:v>株式会社ソフィックス</x:v>
      </x:c>
    </x:row>
    <x:row r="20" ht="65" customHeight="1">
      <x:c r="A20" s="7" t="str">
        <x:v>株式会社TAKISAWA</x:v>
      </x:c>
      <x:c r="B20" s="7" t="str">
        <x:v>E3013</x:v>
      </x:c>
      <x:c r="C20" s="7" t="str">
        <x:v>既存の重点カードで分類済み</x:v>
      </x:c>
      <x:c r="D20" s="7" t="str">
        <x:v>既存69カードの対象掲載</x:v>
      </x:c>
      <x:c r="E20" s="7" t="str">
        <x:v>FC049</x:v>
      </x:c>
      <x:c r="F20" s="7" t="str">
        <x:v>https://www.jimtof.org/search/jp/ESdetails?e=3dTDRAMwZpM</x:v>
      </x:c>
      <x:c r="G20" s="7" t="str">
        <x:v>EXH-2026-8ac76ba19b2d4f41</x:v>
      </x:c>
      <x:c r="H20" s="7" t="str">
        <x:v>株式会社takisawa</x:v>
      </x:c>
    </x:row>
    <x:row r="21" ht="65" customHeight="1">
      <x:c r="A21" s="7" t="str">
        <x:v>匠技研工業株式会社</x:v>
      </x:c>
      <x:c r="B21" s="7" t="str">
        <x:v>S3011</x:v>
      </x:c>
      <x:c r="C21" s="7" t="str">
        <x:v>既存の重点カードで分類済み</x:v>
      </x:c>
      <x:c r="D21" s="7" t="str">
        <x:v>既存69カードの対象掲載</x:v>
      </x:c>
      <x:c r="E21" s="7" t="str">
        <x:v>FC062</x:v>
      </x:c>
      <x:c r="F21" s="7" t="str">
        <x:v>https://www.jimtof.org/search/jp/ESdetails?e=i_4zCxJP258</x:v>
      </x:c>
      <x:c r="G21" s="7" t="str">
        <x:v>EXH-2026-772ea44d0e95dba2</x:v>
      </x:c>
      <x:c r="H21" s="7" t="str">
        <x:v>匠技研工業株式会社</x:v>
      </x:c>
    </x:row>
    <x:row r="22" ht="65" customHeight="1">
      <x:c r="A22" s="7" t="str">
        <x:v>株式会社たけびし</x:v>
      </x:c>
      <x:c r="B22" s="7" t="str">
        <x:v>S3015</x:v>
      </x:c>
      <x:c r="C22" s="7" t="str">
        <x:v>既存の重点カードで分類済み</x:v>
      </x:c>
      <x:c r="D22" s="7" t="str">
        <x:v>既存69カードの対象掲載</x:v>
      </x:c>
      <x:c r="E22" s="7" t="str">
        <x:v>FC024</x:v>
      </x:c>
      <x:c r="F22" s="7" t="str">
        <x:v>https://www.jimtof.org/search/jp/ESdetails?e=Qh27DAtEkbw</x:v>
      </x:c>
      <x:c r="G22" s="7" t="str">
        <x:v>EXH-2026-081de7433f10d228</x:v>
      </x:c>
      <x:c r="H22" s="7" t="str">
        <x:v>株式会社たけびし</x:v>
      </x:c>
    </x:row>
    <x:row r="23" ht="65" customHeight="1">
      <x:c r="A23" s="7" t="str">
        <x:v>DMG森精機株式会社</x:v>
      </x:c>
      <x:c r="B23" s="7" t="str">
        <x:v>E8005</x:v>
      </x:c>
      <x:c r="C23" s="7" t="str">
        <x:v>既存の重点カードで分類済み</x:v>
      </x:c>
      <x:c r="D23" s="7" t="str">
        <x:v>既存69カードの対象掲載</x:v>
      </x:c>
      <x:c r="E23" s="7" t="str">
        <x:v>FC001
FC002
FC003
FC004</x:v>
      </x:c>
      <x:c r="F23" s="7" t="str">
        <x:v>https://www.jimtof.org/search/jp/ESdetails?e=zcqDj1lSkGs</x:v>
      </x:c>
      <x:c r="G23" s="7" t="str">
        <x:v>EXH-2026-3ff8a9f4ec9f1c07</x:v>
      </x:c>
      <x:c r="H23" s="7" t="str">
        <x:v>dmg森精機株式会社</x:v>
      </x:c>
    </x:row>
    <x:row r="24" ht="65" customHeight="1">
      <x:c r="A24" s="7" t="str">
        <x:v>株式会社テクノア</x:v>
      </x:c>
      <x:c r="B24" s="7" t="str">
        <x:v>S3009</x:v>
      </x:c>
      <x:c r="C24" s="7" t="str">
        <x:v>既存の重点カードで分類済み</x:v>
      </x:c>
      <x:c r="D24" s="7" t="str">
        <x:v>既存69カードの対象掲載</x:v>
      </x:c>
      <x:c r="E24" s="7" t="str">
        <x:v>FC061</x:v>
      </x:c>
      <x:c r="F24" s="7" t="str">
        <x:v>https://www.jimtof.org/search/jp/ESdetails?e=sSRmH-KuV8U</x:v>
      </x:c>
      <x:c r="G24" s="7" t="str">
        <x:v>EXH-2026-670300ff3c6adb61</x:v>
      </x:c>
      <x:c r="H24" s="7" t="str">
        <x:v>株式会社テクノア</x:v>
      </x:c>
    </x:row>
    <x:row r="25" ht="65" customHeight="1">
      <x:c r="A25" s="7" t="str">
        <x:v>テクノダイナミックス株式会社</x:v>
      </x:c>
      <x:c r="B25" s="7" t="str">
        <x:v>W3036</x:v>
      </x:c>
      <x:c r="C25" s="7" t="str">
        <x:v>既存の重点カードで分類済み</x:v>
      </x:c>
      <x:c r="D25" s="7" t="str">
        <x:v>既存69カードの対象掲載</x:v>
      </x:c>
      <x:c r="E25" s="7" t="str">
        <x:v>FC069</x:v>
      </x:c>
      <x:c r="F25" s="7" t="str">
        <x:v>https://www.jimtof.org/search/jp/ESdetails?e=2X8A1y5c4A8</x:v>
      </x:c>
      <x:c r="G25" s="7" t="str">
        <x:v>EXH-2026-a3c227d239c59cb9</x:v>
      </x:c>
      <x:c r="H25" s="7" t="str">
        <x:v>テクノダイナミックス株式会社</x:v>
      </x:c>
    </x:row>
    <x:row r="26" ht="65" customHeight="1">
      <x:c r="A26" s="7" t="str">
        <x:v>中村留精密工業株式会社</x:v>
      </x:c>
      <x:c r="B26" s="7" t="str">
        <x:v>E2027</x:v>
      </x:c>
      <x:c r="C26" s="7" t="str">
        <x:v>既存の重点カードで分類済み</x:v>
      </x:c>
      <x:c r="D26" s="7" t="str">
        <x:v>既存69カードの対象掲載</x:v>
      </x:c>
      <x:c r="E26" s="7" t="str">
        <x:v>FC048</x:v>
      </x:c>
      <x:c r="F26" s="7" t="str">
        <x:v>https://www.jimtof.org/search/jp/ESdetails?e=C7A_2ZTDXNw</x:v>
      </x:c>
      <x:c r="G26" s="7" t="str">
        <x:v>EXH-2026-68d6123fc6036ee4</x:v>
      </x:c>
      <x:c r="H26" s="7" t="str">
        <x:v>中村留精密工業株式会社</x:v>
      </x:c>
    </x:row>
    <x:row r="27" ht="65" customHeight="1">
      <x:c r="A27" s="7" t="str">
        <x:v>株式会社ニコン</x:v>
      </x:c>
      <x:c r="B27" s="7" t="str">
        <x:v>E7001</x:v>
      </x:c>
      <x:c r="C27" s="7" t="str">
        <x:v>既存の重点カードで分類済み</x:v>
      </x:c>
      <x:c r="D27" s="7" t="str">
        <x:v>既存69カードの対象掲載</x:v>
      </x:c>
      <x:c r="E27" s="7" t="str">
        <x:v>FC057</x:v>
      </x:c>
      <x:c r="F27" s="7" t="str">
        <x:v>https://www.jimtof.org/search/jp/ESdetails?e=lmqsWTyiVAY</x:v>
      </x:c>
      <x:c r="G27" s="7" t="str">
        <x:v>EXH-2026-14dacc540e4ddb57</x:v>
      </x:c>
      <x:c r="H27" s="7" t="str">
        <x:v>株式会社ニコン</x:v>
      </x:c>
    </x:row>
    <x:row r="28" ht="65" customHeight="1">
      <x:c r="A28" s="7" t="str">
        <x:v>日東商事株式会社</x:v>
      </x:c>
      <x:c r="B28" s="7" t="str">
        <x:v>S1031</x:v>
      </x:c>
      <x:c r="C28" s="7" t="str">
        <x:v>既存の重点カードで分類済み</x:v>
      </x:c>
      <x:c r="D28" s="7" t="str">
        <x:v>既存69カードの対象掲載</x:v>
      </x:c>
      <x:c r="E28" s="7" t="str">
        <x:v>FC037</x:v>
      </x:c>
      <x:c r="F28" s="7" t="str">
        <x:v>https://www.jimtof.org/search/jp/ESdetails?e=GozGZRxlviw</x:v>
      </x:c>
      <x:c r="G28" s="7" t="str">
        <x:v>EXH-2026-2972a72fbb425425</x:v>
      </x:c>
      <x:c r="H28" s="7" t="str">
        <x:v>日東商事株式会社</x:v>
      </x:c>
    </x:row>
    <x:row r="29" ht="65" customHeight="1">
      <x:c r="A29" s="7" t="str">
        <x:v>日本精工株式会社</x:v>
      </x:c>
      <x:c r="B29" s="7" t="str">
        <x:v>W2048</x:v>
      </x:c>
      <x:c r="C29" s="7" t="str">
        <x:v>既存の重点カードで分類済み</x:v>
      </x:c>
      <x:c r="D29" s="7" t="str">
        <x:v>既存69カードの対象掲載</x:v>
      </x:c>
      <x:c r="E29" s="7" t="str">
        <x:v>FC052</x:v>
      </x:c>
      <x:c r="F29" s="7" t="str">
        <x:v>https://www.jimtof.org/search/jp/ESdetails?e=hzAGGAi5wL4</x:v>
      </x:c>
      <x:c r="G29" s="7" t="str">
        <x:v>EXH-2026-62cab8e20b370ad9</x:v>
      </x:c>
      <x:c r="H29" s="7" t="str">
        <x:v>日本精工株式会社</x:v>
      </x:c>
    </x:row>
    <x:row r="30" ht="65" customHeight="1">
      <x:c r="A30" s="7" t="str">
        <x:v>日本エスケイエフ株式会社</x:v>
      </x:c>
      <x:c r="B30" s="7" t="str">
        <x:v>S3031</x:v>
      </x:c>
      <x:c r="C30" s="7" t="str">
        <x:v>既存の重点カードで分類済み</x:v>
      </x:c>
      <x:c r="D30" s="7" t="str">
        <x:v>既存69カードの対象掲載</x:v>
      </x:c>
      <x:c r="E30" s="7" t="str">
        <x:v>FC053</x:v>
      </x:c>
      <x:c r="F30" s="7" t="str">
        <x:v>https://www.jimtof.org/search/jp/ESdetails?e=h22pEjdpmdU</x:v>
      </x:c>
      <x:c r="G30" s="7" t="str">
        <x:v>EXH-2026-5d9bce36b179df04</x:v>
      </x:c>
      <x:c r="H30" s="7" t="str">
        <x:v>日本エスケイエフ株式会社</x:v>
      </x:c>
    </x:row>
    <x:row r="31" ht="65" customHeight="1">
      <x:c r="A31" s="7" t="str">
        <x:v>ハイデンハイン株式会社</x:v>
      </x:c>
      <x:c r="B31" s="7" t="str">
        <x:v>E7043</x:v>
      </x:c>
      <x:c r="C31" s="7" t="str">
        <x:v>既存の重点カードで分類済み</x:v>
      </x:c>
      <x:c r="D31" s="7" t="str">
        <x:v>既存69カードの対象掲載</x:v>
      </x:c>
      <x:c r="E31" s="7" t="str">
        <x:v>FC038</x:v>
      </x:c>
      <x:c r="F31" s="7" t="str">
        <x:v>https://www.jimtof.org/search/jp/ESdetails?e=iohDR5yR9VA</x:v>
      </x:c>
      <x:c r="G31" s="7" t="str">
        <x:v>EXH-2026-34a393c5512352bc</x:v>
      </x:c>
      <x:c r="H31" s="7" t="str">
        <x:v>ハイデンハイン株式会社</x:v>
      </x:c>
    </x:row>
    <x:row r="32" ht="65" customHeight="1">
      <x:c r="A32" s="7" t="str">
        <x:v>株式会社ＨＡＣＡＲＵＳ</x:v>
      </x:c>
      <x:c r="B32" s="7" t="str">
        <x:v>S1031</x:v>
      </x:c>
      <x:c r="C32" s="7" t="str">
        <x:v>既存の重点カードで分類済み</x:v>
      </x:c>
      <x:c r="D32" s="7" t="str">
        <x:v>既存69カードの対象掲載</x:v>
      </x:c>
      <x:c r="E32" s="7" t="str">
        <x:v>FC036</x:v>
      </x:c>
      <x:c r="F32" s="7" t="str">
        <x:v>https://www.jimtof.org/search/jp/ESdetails?e=oatArsOZ-Wc</x:v>
      </x:c>
      <x:c r="G32" s="7" t="str">
        <x:v>EXH-2026-9705ee2e4555e787</x:v>
      </x:c>
      <x:c r="H32" s="7" t="str">
        <x:v>株式会社hacarus</x:v>
      </x:c>
    </x:row>
    <x:row r="33" ht="65" customHeight="1">
      <x:c r="A33" s="7" t="str">
        <x:v>パナソニックプロダクションエンジニアリング株式会社</x:v>
      </x:c>
      <x:c r="B33" s="7" t="str">
        <x:v>W3086</x:v>
      </x:c>
      <x:c r="C33" s="7" t="str">
        <x:v>既存の重点カードで分類済み</x:v>
      </x:c>
      <x:c r="D33" s="7" t="str">
        <x:v>既存69カードの対象掲載</x:v>
      </x:c>
      <x:c r="E33" s="7" t="str">
        <x:v>FC031</x:v>
      </x:c>
      <x:c r="F33" s="7" t="str">
        <x:v>https://www.jimtof.org/search/jp/ESdetails?e=5mrMofo3nN8</x:v>
      </x:c>
      <x:c r="G33" s="7" t="str">
        <x:v>EXH-2026-97b572819459a34c</x:v>
      </x:c>
      <x:c r="H33" s="7" t="str">
        <x:v>パナソニックプロダクションエンジニアリング株式会社</x:v>
      </x:c>
    </x:row>
    <x:row r="34" ht="65" customHeight="1">
      <x:c r="A34" s="7" t="str">
        <x:v>ファナック株式会社</x:v>
      </x:c>
      <x:c r="B34" s="7" t="str">
        <x:v>S2001</x:v>
      </x:c>
      <x:c r="C34" s="7" t="str">
        <x:v>既存の重点カードで分類済み</x:v>
      </x:c>
      <x:c r="D34" s="7" t="str">
        <x:v>既存69カードの対象掲載</x:v>
      </x:c>
      <x:c r="E34" s="7" t="str">
        <x:v>FC005
FC006
FC007</x:v>
      </x:c>
      <x:c r="F34" s="7" t="str">
        <x:v>https://www.jimtof.org/search/jp/ESdetails?e=q0OrZBKM3uQ</x:v>
      </x:c>
      <x:c r="G34" s="7" t="str">
        <x:v>EXH-2026-40a56e23f52ed1c4</x:v>
      </x:c>
      <x:c r="H34" s="7" t="str">
        <x:v>ファナック株式会社</x:v>
      </x:c>
    </x:row>
    <x:row r="35" ht="65" customHeight="1">
      <x:c r="A35" s="7" t="str">
        <x:v>ブルーム-ノボテスト株式会社</x:v>
      </x:c>
      <x:c r="B35" s="7" t="str">
        <x:v>E7084</x:v>
      </x:c>
      <x:c r="C35" s="7" t="str">
        <x:v>既存の重点カードで分類済み</x:v>
      </x:c>
      <x:c r="D35" s="7" t="str">
        <x:v>既存69カードの対象掲載</x:v>
      </x:c>
      <x:c r="E35" s="7" t="str">
        <x:v>FC034</x:v>
      </x:c>
      <x:c r="F35" s="7" t="str">
        <x:v>https://www.jimtof.org/search/jp/ESdetails?e=_njqMb9vBpc</x:v>
      </x:c>
      <x:c r="G35" s="7" t="str">
        <x:v>EXH-2026-30d3fc8503eab132</x:v>
      </x:c>
      <x:c r="H35" s="7" t="str">
        <x:v>ブルーム-ノボテスト株式会社</x:v>
      </x:c>
    </x:row>
    <x:row r="36" ht="65" customHeight="1">
      <x:c r="A36" s="7" t="str">
        <x:v>Hexagon Manufacturing Intelligence株式会社</x:v>
      </x:c>
      <x:c r="B36" s="7" t="str">
        <x:v>E7035</x:v>
      </x:c>
      <x:c r="C36" s="7" t="str">
        <x:v>既存の重点カードで分類済み</x:v>
      </x:c>
      <x:c r="D36" s="7" t="str">
        <x:v>既存69カードの対象掲載</x:v>
      </x:c>
      <x:c r="E36" s="7" t="str">
        <x:v>FC019</x:v>
      </x:c>
      <x:c r="F36" s="7" t="str">
        <x:v>https://www.jimtof.org/search/jp/ESdetails?e=oUyVPjxvy-U</x:v>
      </x:c>
      <x:c r="G36" s="7" t="str">
        <x:v>EXH-2026-6aee6ba316afc22c</x:v>
      </x:c>
      <x:c r="H36" s="7" t="str">
        <x:v>hexagonmanufacturingintelligence株式会社</x:v>
      </x:c>
    </x:row>
    <x:row r="37" ht="65" customHeight="1">
      <x:c r="A37" s="7" t="str">
        <x:v>Hexagon Manufacturing Intelligence株式会社</x:v>
      </x:c>
      <x:c r="B37" s="7" t="str">
        <x:v>E2013</x:v>
      </x:c>
      <x:c r="C37" s="7" t="str">
        <x:v>既存の重点カードで分類済み</x:v>
      </x:c>
      <x:c r="D37" s="7" t="str">
        <x:v>既存69カードの対象掲載</x:v>
      </x:c>
      <x:c r="E37" s="7" t="str">
        <x:v>FC018</x:v>
      </x:c>
      <x:c r="F37" s="7" t="str">
        <x:v>https://www.jimtof.org/search/jp/ESdetails?e=6l20Qo0pjl4</x:v>
      </x:c>
      <x:c r="G37" s="7" t="str">
        <x:v>EXH-2026-e1fe7485b53ef3a9</x:v>
      </x:c>
      <x:c r="H37" s="7" t="str">
        <x:v>hexagonmanufacturingintelligence株式会社</x:v>
      </x:c>
    </x:row>
    <x:row r="38" ht="65" customHeight="1">
      <x:c r="A38" s="7" t="str">
        <x:v>ベッコフオートメーション株式会社</x:v>
      </x:c>
      <x:c r="B38" s="7" t="str">
        <x:v>E2028</x:v>
      </x:c>
      <x:c r="C38" s="7" t="str">
        <x:v>既存の重点カードで分類済み</x:v>
      </x:c>
      <x:c r="D38" s="7" t="str">
        <x:v>既存69カードの対象掲載</x:v>
      </x:c>
      <x:c r="E38" s="7" t="str">
        <x:v>FC011
FC012
FC013
FC014
FC015</x:v>
      </x:c>
      <x:c r="F38" s="7" t="str">
        <x:v>https://www.jimtof.org/search/jp/ESdetails?e=K7DqahO2h08</x:v>
      </x:c>
      <x:c r="G38" s="7" t="str">
        <x:v>EXH-2026-13da9e5ad5605d11</x:v>
      </x:c>
      <x:c r="H38" s="7" t="str">
        <x:v>ベッコフオートメーション株式会社</x:v>
      </x:c>
    </x:row>
    <x:row r="39" ht="65" customHeight="1">
      <x:c r="A39" s="7" t="str">
        <x:v>マーポス株式会社</x:v>
      </x:c>
      <x:c r="B39" s="7" t="str">
        <x:v>E7087</x:v>
      </x:c>
      <x:c r="C39" s="7" t="str">
        <x:v>既存の重点カードで分類済み</x:v>
      </x:c>
      <x:c r="D39" s="7" t="str">
        <x:v>既存69カードの対象掲載</x:v>
      </x:c>
      <x:c r="E39" s="7" t="str">
        <x:v>FC035</x:v>
      </x:c>
      <x:c r="F39" s="7" t="str">
        <x:v>https://www.jimtof.org/search/jp/ESdetails?e=tThKOA-gm8s</x:v>
      </x:c>
      <x:c r="G39" s="7" t="str">
        <x:v>EXH-2026-f8f9701c1858fd1a</x:v>
      </x:c>
      <x:c r="H39" s="7" t="str">
        <x:v>マーポス株式会社</x:v>
      </x:c>
    </x:row>
    <x:row r="40" ht="65" customHeight="1">
      <x:c r="A40" s="7" t="str">
        <x:v>株式会社牧野フライス製作所</x:v>
      </x:c>
      <x:c r="B40" s="7" t="str">
        <x:v>E1024</x:v>
      </x:c>
      <x:c r="C40" s="7" t="str">
        <x:v>既存の重点カードで分類済み</x:v>
      </x:c>
      <x:c r="D40" s="7" t="str">
        <x:v>既存69カードの対象掲載</x:v>
      </x:c>
      <x:c r="E40" s="7" t="str">
        <x:v>FC046</x:v>
      </x:c>
      <x:c r="F40" s="7" t="str">
        <x:v>https://www.jimtof.org/search/jp/ESdetails?e=M5OL10ECBTE</x:v>
      </x:c>
      <x:c r="G40" s="7" t="str">
        <x:v>EXH-2026-4da41646b2511bcf</x:v>
      </x:c>
      <x:c r="H40" s="7" t="str">
        <x:v>株式会社牧野フライス製作所</x:v>
      </x:c>
    </x:row>
    <x:row r="41" ht="65" customHeight="1">
      <x:c r="A41" s="7" t="str">
        <x:v>株式会社松浦機械製作所</x:v>
      </x:c>
      <x:c r="B41" s="7" t="str">
        <x:v>E3030</x:v>
      </x:c>
      <x:c r="C41" s="7" t="str">
        <x:v>既存の重点カードで分類済み</x:v>
      </x:c>
      <x:c r="D41" s="7" t="str">
        <x:v>既存69カードの対象掲載</x:v>
      </x:c>
      <x:c r="E41" s="7" t="str">
        <x:v>FC047</x:v>
      </x:c>
      <x:c r="F41" s="7" t="str">
        <x:v>https://www.jimtof.org/search/jp/ESdetails?e=K_X61J2xV_w</x:v>
      </x:c>
      <x:c r="G41" s="7" t="str">
        <x:v>EXH-2026-d6d5c21a94f5a131</x:v>
      </x:c>
      <x:c r="H41" s="7" t="str">
        <x:v>株式会社松浦機械製作所</x:v>
      </x:c>
    </x:row>
    <x:row r="42" ht="65" customHeight="1">
      <x:c r="A42" s="7" t="str">
        <x:v>株式会社ミツトヨ</x:v>
      </x:c>
      <x:c r="B42" s="7" t="str">
        <x:v>E7085</x:v>
      </x:c>
      <x:c r="C42" s="7" t="str">
        <x:v>既存の重点カードで分類済み</x:v>
      </x:c>
      <x:c r="D42" s="7" t="str">
        <x:v>既存69カードの対象掲載</x:v>
      </x:c>
      <x:c r="E42" s="7" t="str">
        <x:v>FC032</x:v>
      </x:c>
      <x:c r="F42" s="7" t="str">
        <x:v>https://www.jimtof.org/search/jp/ESdetails?e=a7y3JtW8DXM</x:v>
      </x:c>
      <x:c r="G42" s="7" t="str">
        <x:v>EXH-2026-a9bb55df60fab4d5</x:v>
      </x:c>
      <x:c r="H42" s="7" t="str">
        <x:v>株式会社ミツトヨ</x:v>
      </x:c>
    </x:row>
    <x:row r="43" ht="65" customHeight="1">
      <x:c r="A43" s="7" t="str">
        <x:v>三菱商事テクノス株式会社</x:v>
      </x:c>
      <x:c r="B43" s="7" t="str">
        <x:v>S3100</x:v>
      </x:c>
      <x:c r="C43" s="7" t="str">
        <x:v>既存の重点カードで分類済み</x:v>
      </x:c>
      <x:c r="D43" s="7" t="str">
        <x:v>既存69カードの対象掲載</x:v>
      </x:c>
      <x:c r="E43" s="7" t="str">
        <x:v>FC067</x:v>
      </x:c>
      <x:c r="F43" s="7" t="str">
        <x:v>https://www.jimtof.org/search/jp/ESdetails?e=YIwM2AR4N4M</x:v>
      </x:c>
      <x:c r="G43" s="7" t="str">
        <x:v>EXH-2026-f6a4140c0a9739fe</x:v>
      </x:c>
      <x:c r="H43" s="7" t="str">
        <x:v>三菱商事テクノス株式会社</x:v>
      </x:c>
    </x:row>
    <x:row r="44" ht="65" customHeight="1">
      <x:c r="A44" s="7" t="str">
        <x:v>三菱電機株式会社</x:v>
      </x:c>
      <x:c r="B44" s="7" t="str">
        <x:v>S2003</x:v>
      </x:c>
      <x:c r="C44" s="7" t="str">
        <x:v>既存の重点カードで分類済み</x:v>
      </x:c>
      <x:c r="D44" s="7" t="str">
        <x:v>既存69カードの対象掲載</x:v>
      </x:c>
      <x:c r="E44" s="7" t="str">
        <x:v>FC064
FC065
FC066</x:v>
      </x:c>
      <x:c r="F44" s="7" t="str">
        <x:v>https://www.jimtof.org/search/jp/ESdetails?e=AjLnzm01WWU</x:v>
      </x:c>
      <x:c r="G44" s="7" t="str">
        <x:v>EXH-2026-eb6827bac06bfe00</x:v>
      </x:c>
      <x:c r="H44" s="7" t="str">
        <x:v>三菱電機株式会社</x:v>
      </x:c>
    </x:row>
    <x:row r="45" ht="65" customHeight="1">
      <x:c r="A45" s="7" t="str">
        <x:v>株式会社ミロクリエ</x:v>
      </x:c>
      <x:c r="B45" s="7" t="str">
        <x:v>E2016</x:v>
      </x:c>
      <x:c r="C45" s="7" t="str">
        <x:v>既存の重点カードで分類済み</x:v>
      </x:c>
      <x:c r="D45" s="7" t="str">
        <x:v>既存69カードの対象掲載</x:v>
      </x:c>
      <x:c r="E45" s="7" t="str">
        <x:v>FC058
FC059</x:v>
      </x:c>
      <x:c r="F45" s="7" t="str">
        <x:v>https://www.jimtof.org/search/jp/ESdetails?e=IQhLnLagU5I</x:v>
      </x:c>
      <x:c r="G45" s="7" t="str">
        <x:v>EXH-2026-edb749152f11c762</x:v>
      </x:c>
      <x:c r="H45" s="7" t="str">
        <x:v>株式会社ミロクリエ</x:v>
      </x:c>
    </x:row>
    <x:row r="46" ht="65" customHeight="1">
      <x:c r="A46" s="7" t="str">
        <x:v>ものレボ株式会社</x:v>
      </x:c>
      <x:c r="B46" s="7" t="str">
        <x:v>W3042</x:v>
      </x:c>
      <x:c r="C46" s="7" t="str">
        <x:v>既存の重点カードで分類済み</x:v>
      </x:c>
      <x:c r="D46" s="7" t="str">
        <x:v>既存69カードの対象掲載</x:v>
      </x:c>
      <x:c r="E46" s="7" t="str">
        <x:v>FC027
FC028</x:v>
      </x:c>
      <x:c r="F46" s="7" t="str">
        <x:v>https://www.jimtof.org/search/jp/ESdetails?e=sccKfxE4bYo</x:v>
      </x:c>
      <x:c r="G46" s="7" t="str">
        <x:v>EXH-2026-0d20b8d359caaf68</x:v>
      </x:c>
      <x:c r="H46" s="7" t="str">
        <x:v>ものレボ株式会社</x:v>
      </x:c>
    </x:row>
    <x:row r="47" ht="65" customHeight="1">
      <x:c r="A47" s="7" t="str">
        <x:v>モリマシナリー株式会社</x:v>
      </x:c>
      <x:c r="B47" s="7" t="str">
        <x:v>S3048</x:v>
      </x:c>
      <x:c r="C47" s="7" t="str">
        <x:v>既存の重点カードで分類済み</x:v>
      </x:c>
      <x:c r="D47" s="7" t="str">
        <x:v>既存69カードの対象掲載</x:v>
      </x:c>
      <x:c r="E47" s="7" t="str">
        <x:v>FC039
FC040
FC041</x:v>
      </x:c>
      <x:c r="F47" s="7" t="str">
        <x:v>https://www.jimtof.org/search/jp/ESdetails?e=ZvT3Lci-hnM</x:v>
      </x:c>
      <x:c r="G47" s="7" t="str">
        <x:v>EXH-2026-68c359877b3aafb6</x:v>
      </x:c>
      <x:c r="H47" s="7" t="str">
        <x:v>モリマシナリー株式会社</x:v>
      </x:c>
    </x:row>
    <x:row r="48" ht="65" customHeight="1">
      <x:c r="A48" s="7" t="str">
        <x:v>ヤマザキマザック株式会社</x:v>
      </x:c>
      <x:c r="B48" s="7" t="str">
        <x:v>E1001</x:v>
      </x:c>
      <x:c r="C48" s="7" t="str">
        <x:v>既存の重点カードで分類済み</x:v>
      </x:c>
      <x:c r="D48" s="7" t="str">
        <x:v>既存69カードの対象掲載</x:v>
      </x:c>
      <x:c r="E48" s="7" t="str">
        <x:v>FC010</x:v>
      </x:c>
      <x:c r="F48" s="7" t="str">
        <x:v>https://www.jimtof.org/search/jp/ESdetails?e=PJEgqNYlWes</x:v>
      </x:c>
      <x:c r="G48" s="7" t="str">
        <x:v>EXH-2026-67e8b88c3b5b9c06</x:v>
      </x:c>
      <x:c r="H48" s="7" t="str">
        <x:v>ヤマザキマザック株式会社</x:v>
      </x:c>
    </x:row>
    <x:row r="49" ht="65" customHeight="1">
      <x:c r="A49" s="7" t="str">
        <x:v>UEL株式会社</x:v>
      </x:c>
      <x:c r="B49" s="7" t="str">
        <x:v>S1024</x:v>
      </x:c>
      <x:c r="C49" s="7" t="str">
        <x:v>既存の重点カードで分類済み</x:v>
      </x:c>
      <x:c r="D49" s="7" t="str">
        <x:v>既存69カードの対象掲載</x:v>
      </x:c>
      <x:c r="E49" s="7" t="str">
        <x:v>FC060</x:v>
      </x:c>
      <x:c r="F49" s="7" t="str">
        <x:v>https://www.jimtof.org/search/jp/ESdetails?e=dBv-8tktfaE</x:v>
      </x:c>
      <x:c r="G49" s="7" t="str">
        <x:v>EXH-2026-c56628752376bfc4</x:v>
      </x:c>
      <x:c r="H49" s="7" t="str">
        <x:v>uel株式会社</x:v>
      </x:c>
    </x:row>
    <x:row r="50" ht="65" customHeight="1">
      <x:c r="A50" s="7" t="str">
        <x:v>レニショー株式会社</x:v>
      </x:c>
      <x:c r="B50" s="7" t="str">
        <x:v>E7089</x:v>
      </x:c>
      <x:c r="C50" s="7" t="str">
        <x:v>既存の重点カードで分類済み</x:v>
      </x:c>
      <x:c r="D50" s="7" t="str">
        <x:v>既存69カードの対象掲載</x:v>
      </x:c>
      <x:c r="E50" s="7" t="str">
        <x:v>FC033</x:v>
      </x:c>
      <x:c r="F50" s="7" t="str">
        <x:v>https://www.jimtof.org/search/jp/ESdetails?e=pYGmVz5GC1c</x:v>
      </x:c>
      <x:c r="G50" s="7" t="str">
        <x:v>EXH-2026-0b525ce2fc2efcd9</x:v>
      </x:c>
      <x:c r="H50" s="7" t="str">
        <x:v>レニショー株式会社</x:v>
      </x:c>
    </x:row>
    <x:row r="51" ht="65" customHeight="1">
      <x:c r="A51" s="7" t="str">
        <x:v>Innovalia Metrology</x:v>
      </x:c>
      <x:c r="B51" s="7" t="str">
        <x:v>S4001</x:v>
      </x:c>
      <x:c r="C51" s="7" t="str">
        <x:v>既存の重点カードで分類済み</x:v>
      </x:c>
      <x:c r="D51" s="7" t="str">
        <x:v>既存69カードの対象掲載</x:v>
      </x:c>
      <x:c r="E51" s="7" t="str">
        <x:v>FC056</x:v>
      </x:c>
      <x:c r="F51" s="7" t="str">
        <x:v>https://www.jimtof.org/search/jp/ESdetails?e=gvfw4D5z-qc</x:v>
      </x:c>
      <x:c r="G51" s="7" t="str">
        <x:v>EXH-2026-aad5ec46ee3c1b0c</x:v>
      </x:c>
      <x:c r="H51" s="7" t="str">
        <x:v>innovaliametrology</x:v>
      </x:c>
    </x:row>
    <x:row r="52" ht="65" customHeight="1">
      <x:c r="A52" s="7" t="str">
        <x:v>Walter Maschinenbau GmbH</x:v>
      </x:c>
      <x:c r="B52" s="7" t="str">
        <x:v>E8001</x:v>
      </x:c>
      <x:c r="C52" s="7" t="str">
        <x:v>既存の重点カードで分類済み</x:v>
      </x:c>
      <x:c r="D52" s="7" t="str">
        <x:v>既存69カードの対象掲載</x:v>
      </x:c>
      <x:c r="E52" s="7" t="str">
        <x:v>FC055</x:v>
      </x:c>
      <x:c r="F52" s="7" t="str">
        <x:v>https://www.jimtof.org/search/jp/ESdetails?e=roSu2EMRXwk</x:v>
      </x:c>
      <x:c r="G52" s="7" t="str">
        <x:v>EXH-2026-660584ca47c42612</x:v>
      </x:c>
      <x:c r="H52" s="7" t="str">
        <x:v>waltermaschinenbaugmbh</x:v>
      </x:c>
    </x:row>
    <x:row r="53" ht="65" customHeight="1">
      <x:c r="A53" s="7" t="str">
        <x:v>Wintech Automation Co., Ltd</x:v>
      </x:c>
      <x:c r="B53" s="7" t="str">
        <x:v>W3051</x:v>
      </x:c>
      <x:c r="C53" s="7" t="str">
        <x:v>既存の重点カードで分類済み</x:v>
      </x:c>
      <x:c r="D53" s="7" t="str">
        <x:v>既存69カードの対象掲載</x:v>
      </x:c>
      <x:c r="E53" s="7" t="str">
        <x:v>FC054</x:v>
      </x:c>
      <x:c r="F53" s="7" t="str">
        <x:v>https://www.jimtof.org/search/jp/ESdetails?e=lMk3zNvQJbg</x:v>
      </x:c>
      <x:c r="G53" s="7" t="str">
        <x:v>EXH-2026-ab8167d419f015eb</x:v>
      </x:c>
      <x:c r="H53" s="7" t="str">
        <x:v>wintechautomationco.,ltd</x:v>
      </x:c>
    </x:row>
    <x:row r="54" ht="65" customHeight="1">
      <x:c r="A54" s="7" t="str">
        <x:v>愛知産業株式会社</x:v>
      </x:c>
      <x:c r="B54" s="7" t="str">
        <x:v>E2024</x:v>
      </x:c>
      <x:c r="C54" s="7" t="str">
        <x:v>カテゴリー付与（一次整理）</x:v>
      </x:c>
      <x:c r="D54" s="7" t="str">
        <x:v>原典の該当記述に基づく一次分類。個別製品の方式・年度差分の精査とは区別。</x:v>
      </x:c>
      <x:c r="E54" s="7" t="str">
        <x:v>AC001</x:v>
      </x:c>
      <x:c r="F54" s="7" t="str">
        <x:v>https://www.jimtof.org/search/jp/ESdetails?e=Yl0biW0wGYQ</x:v>
      </x:c>
      <x:c r="G54" s="7" t="str">
        <x:v>EXH-2026-48e2386f5fc453a1</x:v>
      </x:c>
      <x:c r="H54" s="7" t="str">
        <x:v>愛知産業株式会社</x:v>
      </x:c>
    </x:row>
    <x:row r="55" ht="65" customHeight="1">
      <x:c r="A55" s="7" t="str">
        <x:v>IDEC株式会社</x:v>
      </x:c>
      <x:c r="B55" s="7" t="str">
        <x:v>W4090</x:v>
      </x:c>
      <x:c r="C55" s="7" t="str">
        <x:v>カテゴリー付与（周辺要素）</x:v>
      </x:c>
      <x:c r="D55" s="7" t="str">
        <x:v>原典の該当記述に基づく一次分類。個別製品の方式・年度差分の精査とは区別。</x:v>
      </x:c>
      <x:c r="E55" s="7" t="str">
        <x:v>AC002</x:v>
      </x:c>
      <x:c r="F55" s="7" t="str">
        <x:v>https://www.jimtof.org/search/jp/ESdetails?e=26-u-N6DHfQ</x:v>
      </x:c>
      <x:c r="G55" s="7" t="str">
        <x:v>EXH-2026-7d2e05044c8b6788</x:v>
      </x:c>
      <x:c r="H55" s="7" t="str">
        <x:v>idec株式会社</x:v>
      </x:c>
    </x:row>
    <x:row r="56" ht="65" customHeight="1">
      <x:c r="A56" s="7" t="str">
        <x:v>株式会社赤松電機製作所</x:v>
      </x:c>
      <x:c r="B56" s="7" t="str">
        <x:v>W2032</x:v>
      </x:c>
      <x:c r="C56" s="7" t="str">
        <x:v>カテゴリー付与（一次整理）</x:v>
      </x:c>
      <x:c r="D56" s="7" t="str">
        <x:v>原典の該当記述に基づく一次分類。個別製品の方式・年度差分の精査とは区別。</x:v>
      </x:c>
      <x:c r="E56" s="7" t="str">
        <x:v>AC003</x:v>
      </x:c>
      <x:c r="F56" s="7" t="str">
        <x:v>https://www.jimtof.org/search/jp/ESdetails?e=lPv1x-bM_CQ</x:v>
      </x:c>
      <x:c r="G56" s="7" t="str">
        <x:v>EXH-2026-e01dca63e90b3edc</x:v>
      </x:c>
      <x:c r="H56" s="7" t="str">
        <x:v>株式会社赤松電機製作所</x:v>
      </x:c>
    </x:row>
    <x:row r="57" ht="65" customHeight="1">
      <x:c r="A57" s="7" t="str">
        <x:v>アクア化学株式会社</x:v>
      </x:c>
      <x:c r="B57" s="7" t="str">
        <x:v>E1012</x:v>
      </x:c>
      <x:c r="C57" s="7" t="str">
        <x:v>分類保留（具体機能不足）</x:v>
      </x:c>
      <x:c r="D57" s="7" t="str">
        <x:v>具体的な自動化・データ利用の範囲を追加確認する。</x:v>
      </x:c>
      <x:c r="E57" s="7" t="str"/>
      <x:c r="F57" s="7" t="str">
        <x:v>https://www.jimtof.org/search/jp/ESdetails?e=uEC5aclgII4</x:v>
      </x:c>
      <x:c r="G57" s="7" t="str">
        <x:v>EXH-2026-5fd2526030e71dbe</x:v>
      </x:c>
      <x:c r="H57" s="7" t="str">
        <x:v>アクア化学株式会社</x:v>
      </x:c>
    </x:row>
    <x:row r="58" ht="65" customHeight="1">
      <x:c r="A58" s="7" t="str">
        <x:v>株式会社旭商工社</x:v>
      </x:c>
      <x:c r="B58" s="7" t="str">
        <x:v>W3043</x:v>
      </x:c>
      <x:c r="C58" s="7" t="str">
        <x:v>カテゴリー付与（一次整理）</x:v>
      </x:c>
      <x:c r="D58" s="7" t="str">
        <x:v>原典の該当記述に基づく一次分類。個別製品の方式・年度差分の精査とは区別。</x:v>
      </x:c>
      <x:c r="E58" s="7" t="str">
        <x:v>AC005</x:v>
      </x:c>
      <x:c r="F58" s="7" t="str">
        <x:v>https://www.jimtof.org/search/jp/ESdetails?e=16et4DWBUOg</x:v>
      </x:c>
      <x:c r="G58" s="7" t="str">
        <x:v>EXH-2026-907ef152949f6105</x:v>
      </x:c>
      <x:c r="H58" s="7" t="str">
        <x:v>株式会社旭商工社</x:v>
      </x:c>
    </x:row>
    <x:row r="59" ht="65" customHeight="1">
      <x:c r="A59" s="7" t="str">
        <x:v>株式会社アステック</x:v>
      </x:c>
      <x:c r="B59" s="7" t="str">
        <x:v>S1023</x:v>
      </x:c>
      <x:c r="C59" s="7" t="str">
        <x:v>カテゴリー付与（一次整理）</x:v>
      </x:c>
      <x:c r="D59" s="7" t="str">
        <x:v>原典の該当記述に基づく一次分類。個別製品の方式・年度差分の精査とは区別。</x:v>
      </x:c>
      <x:c r="E59" s="7" t="str">
        <x:v>AC006</x:v>
      </x:c>
      <x:c r="F59" s="7" t="str">
        <x:v>https://www.jimtof.org/search/jp/ESdetails?e=3riic2Y52c8</x:v>
      </x:c>
      <x:c r="G59" s="7" t="str">
        <x:v>EXH-2026-b6d1434bfe8ae571</x:v>
      </x:c>
      <x:c r="H59" s="7" t="str">
        <x:v>株式会社アステック</x:v>
      </x:c>
    </x:row>
    <x:row r="60" ht="65" customHeight="1">
      <x:c r="A60" s="7" t="str">
        <x:v>アズビルTACO株式会社</x:v>
      </x:c>
      <x:c r="B60" s="7" t="str">
        <x:v>W4070</x:v>
      </x:c>
      <x:c r="C60" s="7" t="str">
        <x:v>カテゴリー付与（一次整理）</x:v>
      </x:c>
      <x:c r="D60" s="7" t="str">
        <x:v>原典の該当記述に基づく一次分類。個別製品の方式・年度差分の精査とは区別。</x:v>
      </x:c>
      <x:c r="E60" s="7" t="str">
        <x:v>AC007</x:v>
      </x:c>
      <x:c r="F60" s="7" t="str">
        <x:v>https://www.jimtof.org/search/jp/ESdetails?e=x6DdroBnfSA</x:v>
      </x:c>
      <x:c r="G60" s="7" t="str">
        <x:v>EXH-2026-2c48cf1373cedc75</x:v>
      </x:c>
      <x:c r="H60" s="7" t="str">
        <x:v>アズビルtaco株式会社</x:v>
      </x:c>
    </x:row>
    <x:row r="61" ht="65" customHeight="1">
      <x:c r="A61" s="7" t="str">
        <x:v>アナログ・デバイセズ株式会社</x:v>
      </x:c>
      <x:c r="B61" s="7" t="str">
        <x:v>S3003</x:v>
      </x:c>
      <x:c r="C61" s="7" t="str">
        <x:v>カテゴリー付与（一次整理）</x:v>
      </x:c>
      <x:c r="D61" s="7" t="str">
        <x:v>原典の該当記述に基づく一次分類。個別製品の方式・年度差分の精査とは区別。</x:v>
      </x:c>
      <x:c r="E61" s="7" t="str">
        <x:v>AC008</x:v>
      </x:c>
      <x:c r="F61" s="7" t="str">
        <x:v>https://www.jimtof.org/search/jp/ESdetails?e=KmFutdwRdo0</x:v>
      </x:c>
      <x:c r="G61" s="7" t="str">
        <x:v>EXH-2026-5fe4f7b65e7b1d1b</x:v>
      </x:c>
      <x:c r="H61" s="7" t="str">
        <x:v>アナログ・デバイセズ株式会社</x:v>
      </x:c>
    </x:row>
    <x:row r="62" ht="65" customHeight="1">
      <x:c r="A62" s="7" t="str">
        <x:v>株式会社アビコ技術研究所</x:v>
      </x:c>
      <x:c r="B62" s="7" t="str">
        <x:v>S2008</x:v>
      </x:c>
      <x:c r="C62" s="7" t="str">
        <x:v>カテゴリー付与（一次整理）</x:v>
      </x:c>
      <x:c r="D62" s="7" t="str">
        <x:v>原典の該当記述に基づく一次分類。個別製品の方式・年度差分の精査とは区別。</x:v>
      </x:c>
      <x:c r="E62" s="7" t="str">
        <x:v>AC009</x:v>
      </x:c>
      <x:c r="F62" s="7" t="str">
        <x:v>https://www.jimtof.org/search/jp/ESdetails?e=FM2ZTtdHV5w</x:v>
      </x:c>
      <x:c r="G62" s="7" t="str">
        <x:v>EXH-2026-ad740d16e5bf8aeb</x:v>
      </x:c>
      <x:c r="H62" s="7" t="str">
        <x:v>株式会社アビコ技術研究所</x:v>
      </x:c>
    </x:row>
    <x:row r="63" ht="65" customHeight="1">
      <x:c r="A63" s="7" t="str">
        <x:v>株式会社アマダ</x:v>
      </x:c>
      <x:c r="B63" s="7" t="str">
        <x:v>E2012</x:v>
      </x:c>
      <x:c r="C63" s="7" t="str">
        <x:v>カテゴリー付与（一次整理）</x:v>
      </x:c>
      <x:c r="D63" s="7" t="str">
        <x:v>原典の該当記述に基づく一次分類。個別製品の方式・年度差分の精査とは区別。</x:v>
      </x:c>
      <x:c r="E63" s="7" t="str">
        <x:v>AC010</x:v>
      </x:c>
      <x:c r="F63" s="7" t="str">
        <x:v>https://www.jimtof.org/search/jp/ESdetails?e=lwacRdqPa60</x:v>
      </x:c>
      <x:c r="G63" s="7" t="str">
        <x:v>EXH-2026-650d9d144d109d53</x:v>
      </x:c>
      <x:c r="H63" s="7" t="str">
        <x:v>株式会社アマダ</x:v>
      </x:c>
    </x:row>
    <x:row r="64" ht="65" customHeight="1">
      <x:c r="A64" s="7" t="str">
        <x:v>株式会社アマダプレスシステム</x:v>
      </x:c>
      <x:c r="B64" s="7" t="str">
        <x:v>E2012</x:v>
      </x:c>
      <x:c r="C64" s="7" t="str">
        <x:v>カテゴリー付与（一次整理）</x:v>
      </x:c>
      <x:c r="D64" s="7" t="str">
        <x:v>原典の該当記述に基づく一次分類。個別製品の方式・年度差分の精査とは区別。</x:v>
      </x:c>
      <x:c r="E64" s="7" t="str">
        <x:v>AC011</x:v>
      </x:c>
      <x:c r="F64" s="7" t="str">
        <x:v>https://www.jimtof.org/search/jp/ESdetails?e=QfXLYGGnIbs</x:v>
      </x:c>
      <x:c r="G64" s="7" t="str">
        <x:v>EXH-2026-6029a59fb8aad4a7</x:v>
      </x:c>
      <x:c r="H64" s="7" t="str">
        <x:v>株式会社アマダプレスシステム</x:v>
      </x:c>
    </x:row>
    <x:row r="65" ht="65" customHeight="1">
      <x:c r="A65" s="7" t="str">
        <x:v>株式会社アルプスツール</x:v>
      </x:c>
      <x:c r="B65" s="7" t="str">
        <x:v>E7047</x:v>
      </x:c>
      <x:c r="C65" s="7" t="str">
        <x:v>カテゴリー付与（一次整理）</x:v>
      </x:c>
      <x:c r="D65" s="7" t="str">
        <x:v>原典の該当記述に基づく一次分類。個別製品の方式・年度差分の精査とは区別。</x:v>
      </x:c>
      <x:c r="E65" s="7" t="str">
        <x:v>AC012</x:v>
      </x:c>
      <x:c r="F65" s="7" t="str">
        <x:v>https://www.jimtof.org/search/jp/ESdetails?e=2TYreMhMb5Q</x:v>
      </x:c>
      <x:c r="G65" s="7" t="str">
        <x:v>EXH-2026-aa4cb9abd8dccbec</x:v>
      </x:c>
      <x:c r="H65" s="7" t="str">
        <x:v>株式会社アルプスツール</x:v>
      </x:c>
    </x:row>
    <x:row r="66" ht="65" customHeight="1">
      <x:c r="A66" s="7" t="str">
        <x:v>安藤株式会社</x:v>
      </x:c>
      <x:c r="B66" s="7" t="str">
        <x:v>S3034</x:v>
      </x:c>
      <x:c r="C66" s="7" t="str">
        <x:v>カテゴリー付与（周辺要素）</x:v>
      </x:c>
      <x:c r="D66" s="7" t="str">
        <x:v>原典の該当記述に基づく一次分類。個別製品の方式・年度差分の精査とは区別。</x:v>
      </x:c>
      <x:c r="E66" s="7" t="str">
        <x:v>AC013</x:v>
      </x:c>
      <x:c r="F66" s="7" t="str">
        <x:v>https://www.jimtof.org/search/jp/ESdetails?e=E-sJ8QNrgW0</x:v>
      </x:c>
      <x:c r="G66" s="7" t="str">
        <x:v>EXH-2026-af594372ce986f00</x:v>
      </x:c>
      <x:c r="H66" s="7" t="str">
        <x:v>安藤株式会社</x:v>
      </x:c>
    </x:row>
    <x:row r="67" ht="65" customHeight="1">
      <x:c r="A67" s="7" t="str">
        <x:v>イグス株式会社</x:v>
      </x:c>
      <x:c r="B67" s="7" t="str">
        <x:v>E3004</x:v>
      </x:c>
      <x:c r="C67" s="7" t="str">
        <x:v>カテゴリー付与（周辺要素）</x:v>
      </x:c>
      <x:c r="D67" s="7" t="str">
        <x:v>原典の該当記述に基づく一次分類。個別製品の方式・年度差分の精査とは区別。</x:v>
      </x:c>
      <x:c r="E67" s="7" t="str">
        <x:v>AC014</x:v>
      </x:c>
      <x:c r="F67" s="7" t="str">
        <x:v>https://www.jimtof.org/search/jp/ESdetails?e=BnXXMpSPRVw</x:v>
      </x:c>
      <x:c r="G67" s="7" t="str">
        <x:v>EXH-2026-d7f06610e0cfe3de</x:v>
      </x:c>
      <x:c r="H67" s="7" t="str">
        <x:v>イグス株式会社</x:v>
      </x:c>
    </x:row>
    <x:row r="68" ht="65" customHeight="1">
      <x:c r="A68" s="7" t="str">
        <x:v>株式会社池貝</x:v>
      </x:c>
      <x:c r="B68" s="7" t="str">
        <x:v>E3002</x:v>
      </x:c>
      <x:c r="C68" s="7" t="str">
        <x:v>カテゴリー付与（一次整理）</x:v>
      </x:c>
      <x:c r="D68" s="7" t="str">
        <x:v>原典の該当記述に基づく一次分類。個別製品の方式・年度差分の精査とは区別。</x:v>
      </x:c>
      <x:c r="E68" s="7" t="str">
        <x:v>AC015</x:v>
      </x:c>
      <x:c r="F68" s="7" t="str">
        <x:v>https://www.jimtof.org/search/jp/ESdetails?e=WS9ql5D41fQ</x:v>
      </x:c>
      <x:c r="G68" s="7" t="str">
        <x:v>EXH-2026-b13a1cbd634179d5</x:v>
      </x:c>
      <x:c r="H68" s="7" t="str">
        <x:v>株式会社池貝</x:v>
      </x:c>
    </x:row>
    <x:row r="69" ht="65" customHeight="1">
      <x:c r="A69" s="7" t="str">
        <x:v>株式会社IZUSHI</x:v>
      </x:c>
      <x:c r="B69" s="7" t="str">
        <x:v>W1087</x:v>
      </x:c>
      <x:c r="C69" s="7" t="str">
        <x:v>カテゴリー付与（一次整理）</x:v>
      </x:c>
      <x:c r="D69" s="7" t="str">
        <x:v>原典の該当記述に基づく一次分類。個別製品の方式・年度差分の精査とは区別。</x:v>
      </x:c>
      <x:c r="E69" s="7" t="str">
        <x:v>AC016</x:v>
      </x:c>
      <x:c r="F69" s="7" t="str">
        <x:v>https://www.jimtof.org/search/jp/ESdetails?e=XQSp36eC9AA</x:v>
      </x:c>
      <x:c r="G69" s="7" t="str">
        <x:v>EXH-2026-dcc361015ad89157</x:v>
      </x:c>
      <x:c r="H69" s="7" t="str">
        <x:v>株式会社izushi</x:v>
      </x:c>
    </x:row>
    <x:row r="70" ht="65" customHeight="1">
      <x:c r="A70" s="7" t="str">
        <x:v>株式会社イズミコーポレーション</x:v>
      </x:c>
      <x:c r="B70" s="7" t="str">
        <x:v>WA007</x:v>
      </x:c>
      <x:c r="C70" s="7" t="str">
        <x:v>カテゴリー付与（周辺要素）</x:v>
      </x:c>
      <x:c r="D70" s="7" t="str">
        <x:v>原典の該当記述に基づく一次分類。個別製品の方式・年度差分の精査とは区別。</x:v>
      </x:c>
      <x:c r="E70" s="7" t="str">
        <x:v>AC017</x:v>
      </x:c>
      <x:c r="F70" s="7" t="str">
        <x:v>https://www.jimtof.org/search/jp/ESdetails?e=Eo7w7UDoYR0</x:v>
      </x:c>
      <x:c r="G70" s="7" t="str">
        <x:v>EXH-2026-681d5ad2651a63b2</x:v>
      </x:c>
      <x:c r="H70" s="7" t="str">
        <x:v>株式会社イズミコーポレーション</x:v>
      </x:c>
    </x:row>
    <x:row r="71" ht="65" customHeight="1">
      <x:c r="A71" s="7" t="str">
        <x:v>株式会社伊東商会</x:v>
      </x:c>
      <x:c r="B71" s="7" t="str">
        <x:v>S4013</x:v>
      </x:c>
      <x:c r="C71" s="7" t="str">
        <x:v>カテゴリー付与（一次整理）</x:v>
      </x:c>
      <x:c r="D71" s="7" t="str">
        <x:v>原典の該当記述に基づく一次分類。個別製品の方式・年度差分の精査とは区別。</x:v>
      </x:c>
      <x:c r="E71" s="7" t="str">
        <x:v>AC018</x:v>
      </x:c>
      <x:c r="F71" s="7" t="str">
        <x:v>https://www.jimtof.org/search/jp/ESdetails?e=zWtwHxsaw3Q</x:v>
      </x:c>
      <x:c r="G71" s="7" t="str">
        <x:v>EXH-2026-7f41e63bd0f47a62</x:v>
      </x:c>
      <x:c r="H71" s="7" t="str">
        <x:v>株式会社伊東商会</x:v>
      </x:c>
    </x:row>
    <x:row r="72" ht="65" customHeight="1">
      <x:c r="A72" s="7" t="str">
        <x:v>伊藤忠マシンテクノス株式会社</x:v>
      </x:c>
      <x:c r="B72" s="7" t="str">
        <x:v>E1002</x:v>
      </x:c>
      <x:c r="C72" s="7" t="str">
        <x:v>カテゴリー付与（一次整理）</x:v>
      </x:c>
      <x:c r="D72" s="7" t="str">
        <x:v>原典の該当記述に基づく一次分類。個別製品の方式・年度差分の精査とは区別。</x:v>
      </x:c>
      <x:c r="E72" s="7" t="str">
        <x:v>AC019</x:v>
      </x:c>
      <x:c r="F72" s="7" t="str">
        <x:v>https://www.jimtof.org/search/jp/ESdetails?e=7ypX6WR51KU</x:v>
      </x:c>
      <x:c r="G72" s="7" t="str">
        <x:v>EXH-2026-41dc1e5513fe9737</x:v>
      </x:c>
      <x:c r="H72" s="7" t="str">
        <x:v>伊藤忠マシンテクノス株式会社</x:v>
      </x:c>
    </x:row>
    <x:row r="73" ht="65" customHeight="1">
      <x:c r="A73" s="7" t="str">
        <x:v>イハラサイエンス株式会社</x:v>
      </x:c>
      <x:c r="B73" s="7" t="str">
        <x:v>W4067</x:v>
      </x:c>
      <x:c r="C73" s="7" t="str">
        <x:v>対象外（語の一致・用途等）</x:v>
      </x:c>
      <x:c r="D73" s="7" t="str">
        <x:v>配管・流量最適化の説明。AI・DX・自動運用の具体機能は今回の記述では確認できない。</x:v>
      </x:c>
      <x:c r="E73" s="7" t="str"/>
      <x:c r="F73" s="7" t="str">
        <x:v>https://www.jimtof.org/search/jp/ESdetails?e=XWNRIrV419c</x:v>
      </x:c>
      <x:c r="G73" s="7" t="str">
        <x:v>EXH-2026-442ce0260aab1d7c</x:v>
      </x:c>
      <x:c r="H73" s="7" t="str">
        <x:v>イハラサイエンス株式会社</x:v>
      </x:c>
    </x:row>
    <x:row r="74" ht="65" customHeight="1">
      <x:c r="A74" s="7" t="str">
        <x:v>入野機工株式会社</x:v>
      </x:c>
      <x:c r="B74" s="7" t="str">
        <x:v>E7048</x:v>
      </x:c>
      <x:c r="C74" s="7" t="str">
        <x:v>カテゴリー付与（一次整理）</x:v>
      </x:c>
      <x:c r="D74" s="7" t="str">
        <x:v>原典の該当記述に基づく一次分類。個別製品の方式・年度差分の精査とは区別。</x:v>
      </x:c>
      <x:c r="E74" s="7" t="str">
        <x:v>AC021</x:v>
      </x:c>
      <x:c r="F74" s="7" t="str">
        <x:v>https://www.jimtof.org/search/jp/ESdetails?e=vWBww2kQlVU</x:v>
      </x:c>
      <x:c r="G74" s="7" t="str">
        <x:v>EXH-2026-e688a71f11c19f74</x:v>
      </x:c>
      <x:c r="H74" s="7" t="str">
        <x:v>入野機工株式会社</x:v>
      </x:c>
    </x:row>
    <x:row r="75" ht="65" customHeight="1">
      <x:c r="A75" s="7" t="str">
        <x:v>株式会社イワタツール</x:v>
      </x:c>
      <x:c r="B75" s="7" t="str">
        <x:v>W1069</x:v>
      </x:c>
      <x:c r="C75" s="7" t="str">
        <x:v>カテゴリー付与（一次整理）</x:v>
      </x:c>
      <x:c r="D75" s="7" t="str">
        <x:v>原典の該当記述に基づく一次分類。個別製品の方式・年度差分の精査とは区別。</x:v>
      </x:c>
      <x:c r="E75" s="7" t="str">
        <x:v>AC022</x:v>
      </x:c>
      <x:c r="F75" s="7" t="str">
        <x:v>https://www.jimtof.org/search/jp/ESdetails?e=1GQBhZ1T3X0</x:v>
      </x:c>
      <x:c r="G75" s="7" t="str">
        <x:v>EXH-2026-30fa7d4bf3eb94b2</x:v>
      </x:c>
      <x:c r="H75" s="7" t="str">
        <x:v>株式会社イワタツール</x:v>
      </x:c>
    </x:row>
    <x:row r="76" ht="65" customHeight="1">
      <x:c r="A76" s="7" t="str">
        <x:v>岩本工業株式会社</x:v>
      </x:c>
      <x:c r="B76" s="7" t="str">
        <x:v>S4043</x:v>
      </x:c>
      <x:c r="C76" s="7" t="str">
        <x:v>カテゴリー付与（一次整理）</x:v>
      </x:c>
      <x:c r="D76" s="7" t="str">
        <x:v>原典の該当記述に基づく一次分類。個別製品の方式・年度差分の精査とは区別。</x:v>
      </x:c>
      <x:c r="E76" s="7" t="str">
        <x:v>AC023</x:v>
      </x:c>
      <x:c r="F76" s="7" t="str">
        <x:v>https://www.jimtof.org/search/jp/ESdetails?e=pOe5ZdiBMpc</x:v>
      </x:c>
      <x:c r="G76" s="7" t="str">
        <x:v>EXH-2026-f1109e3463dd2ac3</x:v>
      </x:c>
      <x:c r="H76" s="7" t="str">
        <x:v>岩本工業株式会社</x:v>
      </x:c>
    </x:row>
    <x:row r="77" ht="65" customHeight="1">
      <x:c r="A77" s="7" t="str">
        <x:v>株式会社インテグラ技術研究所</x:v>
      </x:c>
      <x:c r="B77" s="7" t="str">
        <x:v>S3069</x:v>
      </x:c>
      <x:c r="C77" s="7" t="str">
        <x:v>カテゴリー付与（一次整理）</x:v>
      </x:c>
      <x:c r="D77" s="7" t="str">
        <x:v>原典の該当記述に基づく一次分類。個別製品の方式・年度差分の精査とは区別。</x:v>
      </x:c>
      <x:c r="E77" s="7" t="str">
        <x:v>AC024</x:v>
      </x:c>
      <x:c r="F77" s="7" t="str">
        <x:v>https://www.jimtof.org/search/jp/ESdetails?e=xEdNPWdhbs8</x:v>
      </x:c>
      <x:c r="G77" s="7" t="str">
        <x:v>EXH-2026-10a39d4f417e3976</x:v>
      </x:c>
      <x:c r="H77" s="7" t="str">
        <x:v>株式会社インテグラ技術研究所</x:v>
      </x:c>
    </x:row>
    <x:row r="78" ht="65" customHeight="1">
      <x:c r="A78" s="7" t="str">
        <x:v>株式会社インプローブ</x:v>
      </x:c>
      <x:c r="B78" s="7" t="str">
        <x:v>W3042</x:v>
      </x:c>
      <x:c r="C78" s="7" t="str">
        <x:v>カテゴリー付与（一次整理）</x:v>
      </x:c>
      <x:c r="D78" s="7" t="str">
        <x:v>原典の該当記述に基づく一次分類。個別製品の方式・年度差分の精査とは区別。</x:v>
      </x:c>
      <x:c r="E78" s="7" t="str">
        <x:v>AC025</x:v>
      </x:c>
      <x:c r="F78" s="7" t="str">
        <x:v>https://www.jimtof.org/search/jp/ESdetails?e=WacbHqw4PMw</x:v>
      </x:c>
      <x:c r="G78" s="7" t="str">
        <x:v>EXH-2026-2703960c6bc2e1d3</x:v>
      </x:c>
      <x:c r="H78" s="7" t="str">
        <x:v>株式会社インプローブ</x:v>
      </x:c>
    </x:row>
    <x:row r="79" ht="65" customHeight="1">
      <x:c r="A79" s="7" t="str">
        <x:v>株式会社インプローブ</x:v>
      </x:c>
      <x:c r="B79" s="7" t="str">
        <x:v>S3008</x:v>
      </x:c>
      <x:c r="C79" s="7" t="str">
        <x:v>カテゴリー付与（一次整理）</x:v>
      </x:c>
      <x:c r="D79" s="7" t="str">
        <x:v>原典の該当記述に基づく一次分類。個別製品の方式・年度差分の精査とは区別。</x:v>
      </x:c>
      <x:c r="E79" s="7" t="str">
        <x:v>AC026</x:v>
      </x:c>
      <x:c r="F79" s="7" t="str">
        <x:v>https://www.jimtof.org/search/jp/ESdetails?e=U6gS--b_Z9A</x:v>
      </x:c>
      <x:c r="G79" s="7" t="str">
        <x:v>EXH-2026-dc0db149daeb6803</x:v>
      </x:c>
      <x:c r="H79" s="7" t="str">
        <x:v>株式会社インプローブ</x:v>
      </x:c>
    </x:row>
    <x:row r="80" ht="65" customHeight="1">
      <x:c r="A80" s="7" t="str">
        <x:v>株式会社ヴィクストリン</x:v>
      </x:c>
      <x:c r="B80" s="7" t="str">
        <x:v>W4098</x:v>
      </x:c>
      <x:c r="C80" s="7" t="str">
        <x:v>カテゴリー付与（周辺要素）</x:v>
      </x:c>
      <x:c r="D80" s="7" t="str">
        <x:v>原典の該当記述に基づく一次分類。個別製品の方式・年度差分の精査とは区別。</x:v>
      </x:c>
      <x:c r="E80" s="7" t="str">
        <x:v>AC027</x:v>
      </x:c>
      <x:c r="F80" s="7" t="str">
        <x:v>https://www.jimtof.org/search/jp/ESdetails?e=aO10VG4tnUs</x:v>
      </x:c>
      <x:c r="G80" s="7" t="str">
        <x:v>EXH-2026-3884a355dc068f08</x:v>
      </x:c>
      <x:c r="H80" s="7" t="str">
        <x:v>株式会社ヴィクストリン</x:v>
      </x:c>
    </x:row>
    <x:row r="81" ht="65" customHeight="1">
      <x:c r="A81" s="7" t="str">
        <x:v>宇治電化学工業株式会社</x:v>
      </x:c>
      <x:c r="B81" s="7" t="str">
        <x:v>W4025</x:v>
      </x:c>
      <x:c r="C81" s="7" t="str">
        <x:v>カテゴリー付与（一次整理）</x:v>
      </x:c>
      <x:c r="D81" s="7" t="str">
        <x:v>原典の該当記述に基づく一次分類。個別製品の方式・年度差分の精査とは区別。</x:v>
      </x:c>
      <x:c r="E81" s="7" t="str">
        <x:v>AC028</x:v>
      </x:c>
      <x:c r="F81" s="7" t="str">
        <x:v>https://www.jimtof.org/search/jp/ESdetails?e=nxFvaTiEEvg</x:v>
      </x:c>
      <x:c r="G81" s="7" t="str">
        <x:v>EXH-2026-f82101935c4b9830</x:v>
      </x:c>
      <x:c r="H81" s="7" t="str">
        <x:v>宇治電化学工業株式会社</x:v>
      </x:c>
    </x:row>
    <x:row r="82" ht="65" customHeight="1">
      <x:c r="A82" s="7" t="str">
        <x:v>株式会社宇都宮製作所</x:v>
      </x:c>
      <x:c r="B82" s="7" t="str">
        <x:v>W1001</x:v>
      </x:c>
      <x:c r="C82" s="7" t="str">
        <x:v>カテゴリー付与（一次整理）</x:v>
      </x:c>
      <x:c r="D82" s="7" t="str">
        <x:v>原典の該当記述に基づく一次分類。個別製品の方式・年度差分の精査とは区別。</x:v>
      </x:c>
      <x:c r="E82" s="7" t="str">
        <x:v>AC029</x:v>
      </x:c>
      <x:c r="F82" s="7" t="str">
        <x:v>https://www.jimtof.org/search/jp/ESdetails?e=hU8LqSDiscs</x:v>
      </x:c>
      <x:c r="G82" s="7" t="str">
        <x:v>EXH-2026-cf22d85686acc029</x:v>
      </x:c>
      <x:c r="H82" s="7" t="str">
        <x:v>株式会社宇都宮製作所</x:v>
      </x:c>
    </x:row>
    <x:row r="83" ht="65" customHeight="1">
      <x:c r="A83" s="7" t="str">
        <x:v>永興電機工業株式会社</x:v>
      </x:c>
      <x:c r="B83" s="7" t="str">
        <x:v>W3057</x:v>
      </x:c>
      <x:c r="C83" s="7" t="str">
        <x:v>カテゴリー付与（周辺要素）</x:v>
      </x:c>
      <x:c r="D83" s="7" t="str">
        <x:v>原典の該当記述に基づく一次分類。個別製品の方式・年度差分の精査とは区別。</x:v>
      </x:c>
      <x:c r="E83" s="7" t="str">
        <x:v>AC030</x:v>
      </x:c>
      <x:c r="F83" s="7" t="str">
        <x:v>https://www.jimtof.org/search/jp/ESdetails?e=rF_cWwycdK4</x:v>
      </x:c>
      <x:c r="G83" s="7" t="str">
        <x:v>EXH-2026-6ef0e5bdfc35158c</x:v>
      </x:c>
      <x:c r="H83" s="7" t="str">
        <x:v>永興電機工業株式会社</x:v>
      </x:c>
    </x:row>
    <x:row r="84" ht="65" customHeight="1">
      <x:c r="A84" s="7" t="str">
        <x:v>株式会社Aiソリューションズ</x:v>
      </x:c>
      <x:c r="B84" s="7" t="str">
        <x:v>S4011</x:v>
      </x:c>
      <x:c r="C84" s="7" t="str">
        <x:v>カテゴリー付与（一次整理）</x:v>
      </x:c>
      <x:c r="D84" s="7" t="str">
        <x:v>原典の該当記述に基づく一次分類。個別製品の方式・年度差分の精査とは区別。</x:v>
      </x:c>
      <x:c r="E84" s="7" t="str">
        <x:v>AC031</x:v>
      </x:c>
      <x:c r="F84" s="7" t="str">
        <x:v>https://www.jimtof.org/search/jp/ESdetails?e=DiSAGV9x7AM</x:v>
      </x:c>
      <x:c r="G84" s="7" t="str">
        <x:v>EXH-2026-9109f51b0514db5c</x:v>
      </x:c>
      <x:c r="H84" s="7" t="str">
        <x:v>株式会社aiソリューションズ</x:v>
      </x:c>
    </x:row>
    <x:row r="85" ht="65" customHeight="1">
      <x:c r="A85" s="7" t="str">
        <x:v>株式会社エグロ</x:v>
      </x:c>
      <x:c r="B85" s="7" t="str">
        <x:v>E1045</x:v>
      </x:c>
      <x:c r="C85" s="7" t="str">
        <x:v>カテゴリー付与（一次整理）</x:v>
      </x:c>
      <x:c r="D85" s="7" t="str">
        <x:v>原典の該当記述に基づく一次分類。個別製品の方式・年度差分の精査とは区別。</x:v>
      </x:c>
      <x:c r="E85" s="7" t="str">
        <x:v>AC032</x:v>
      </x:c>
      <x:c r="F85" s="7" t="str">
        <x:v>https://www.jimtof.org/search/jp/ESdetails?e=jYjN83ZMZpQ</x:v>
      </x:c>
      <x:c r="G85" s="7" t="str">
        <x:v>EXH-2026-8b33ed02caa981c7</x:v>
      </x:c>
      <x:c r="H85" s="7" t="str">
        <x:v>株式会社エグロ</x:v>
      </x:c>
    </x:row>
    <x:row r="86" ht="65" customHeight="1">
      <x:c r="A86" s="7" t="str">
        <x:v>エスエムダブリューオートブロック株式会社</x:v>
      </x:c>
      <x:c r="B86" s="7" t="str">
        <x:v>W2074</x:v>
      </x:c>
      <x:c r="C86" s="7" t="str">
        <x:v>カテゴリー付与（周辺要素）</x:v>
      </x:c>
      <x:c r="D86" s="7" t="str">
        <x:v>原典の該当記述に基づく一次分類。個別製品の方式・年度差分の精査とは区別。</x:v>
      </x:c>
      <x:c r="E86" s="7" t="str">
        <x:v>AC033</x:v>
      </x:c>
      <x:c r="F86" s="7" t="str">
        <x:v>https://www.jimtof.org/search/jp/ESdetails?e=AKC0LsfHQI4</x:v>
      </x:c>
      <x:c r="G86" s="7" t="str">
        <x:v>EXH-2026-d32f9a2c2a12af7a</x:v>
      </x:c>
      <x:c r="H86" s="7" t="str">
        <x:v>エスエムダブリューオートブロック株式会社</x:v>
      </x:c>
    </x:row>
    <x:row r="87" ht="65" customHeight="1">
      <x:c r="A87" s="7" t="str">
        <x:v>株式会社エス・ティ・シー</x:v>
      </x:c>
      <x:c r="B87" s="7" t="str">
        <x:v>E1069</x:v>
      </x:c>
      <x:c r="C87" s="7" t="str">
        <x:v>カテゴリー付与（一次整理）</x:v>
      </x:c>
      <x:c r="D87" s="7" t="str">
        <x:v>原典の該当記述に基づく一次分類。個別製品の方式・年度差分の精査とは区別。</x:v>
      </x:c>
      <x:c r="E87" s="7" t="str">
        <x:v>AC034</x:v>
      </x:c>
      <x:c r="F87" s="7" t="str">
        <x:v>https://www.jimtof.org/search/jp/ESdetails?e=KczqG602kSE</x:v>
      </x:c>
      <x:c r="G87" s="7" t="str">
        <x:v>EXH-2026-521637b4c962ce6d</x:v>
      </x:c>
      <x:c r="H87" s="7" t="str">
        <x:v>株式会社エス・ティ・シー</x:v>
      </x:c>
    </x:row>
    <x:row r="88" ht="65" customHeight="1">
      <x:c r="A88" s="7" t="str">
        <x:v>株式会社SPIエンジニアリング</x:v>
      </x:c>
      <x:c r="B88" s="7" t="str">
        <x:v>S3079</x:v>
      </x:c>
      <x:c r="C88" s="7" t="str">
        <x:v>対象外（語の一致・用途等）</x:v>
      </x:c>
      <x:c r="D88" s="7" t="str">
        <x:v>CAMは内視鏡の型番。CAD/CAMやAI展示を示す一致ではない。</x:v>
      </x:c>
      <x:c r="E88" s="7" t="str"/>
      <x:c r="F88" s="7" t="str">
        <x:v>https://www.jimtof.org/search/jp/ESdetails?e=ogbuUD4PHqo</x:v>
      </x:c>
      <x:c r="G88" s="7" t="str">
        <x:v>EXH-2026-6cc94d6dd29e297f</x:v>
      </x:c>
      <x:c r="H88" s="7" t="str">
        <x:v>株式会社spiエンジニアリング</x:v>
      </x:c>
    </x:row>
    <x:row r="89" ht="65" customHeight="1">
      <x:c r="A89" s="7" t="str">
        <x:v>株式会社Any Design</x:v>
      </x:c>
      <x:c r="B89" s="7" t="str">
        <x:v>S4033</x:v>
      </x:c>
      <x:c r="C89" s="7" t="str">
        <x:v>カテゴリー付与（一次整理）</x:v>
      </x:c>
      <x:c r="D89" s="7" t="str">
        <x:v>原典の該当記述に基づく一次分類。個別製品の方式・年度差分の精査とは区別。</x:v>
      </x:c>
      <x:c r="E89" s="7" t="str">
        <x:v>AC036</x:v>
      </x:c>
      <x:c r="F89" s="7" t="str">
        <x:v>https://www.jimtof.org/search/jp/ESdetails?e=IR4kvy0h_O4</x:v>
      </x:c>
      <x:c r="G89" s="7" t="str">
        <x:v>EXH-2026-6059dd307931eaee</x:v>
      </x:c>
      <x:c r="H89" s="7" t="str">
        <x:v>株式会社anydesign</x:v>
      </x:c>
    </x:row>
    <x:row r="90" ht="65" customHeight="1">
      <x:c r="A90" s="7" t="str">
        <x:v>NKワークス株式会社</x:v>
      </x:c>
      <x:c r="B90" s="7" t="str">
        <x:v>E3015</x:v>
      </x:c>
      <x:c r="C90" s="7" t="str">
        <x:v>カテゴリー付与（周辺要素）</x:v>
      </x:c>
      <x:c r="D90" s="7" t="str">
        <x:v>原典の該当記述に基づく一次分類。個別製品の方式・年度差分の精査とは区別。</x:v>
      </x:c>
      <x:c r="E90" s="7" t="str">
        <x:v>AC037</x:v>
      </x:c>
      <x:c r="F90" s="7" t="str">
        <x:v>https://www.jimtof.org/search/jp/ESdetails?e=UQBQ5yg2WIk</x:v>
      </x:c>
      <x:c r="G90" s="7" t="str">
        <x:v>EXH-2026-9ac2eb87d29b1692</x:v>
      </x:c>
      <x:c r="H90" s="7" t="str">
        <x:v>nkワークス株式会社</x:v>
      </x:c>
    </x:row>
    <x:row r="91" ht="65" customHeight="1">
      <x:c r="A91" s="7" t="str">
        <x:v>エバ工業株式会社</x:v>
      </x:c>
      <x:c r="B91" s="7" t="str">
        <x:v>E7065</x:v>
      </x:c>
      <x:c r="C91" s="7" t="str">
        <x:v>カテゴリー付与（一次整理）</x:v>
      </x:c>
      <x:c r="D91" s="7" t="str">
        <x:v>原典の該当記述に基づく一次分類。個別製品の方式・年度差分の精査とは区別。</x:v>
      </x:c>
      <x:c r="E91" s="7" t="str">
        <x:v>AC038</x:v>
      </x:c>
      <x:c r="F91" s="7" t="str">
        <x:v>https://www.jimtof.org/search/jp/ESdetails?e=BQDEsiMInIU</x:v>
      </x:c>
      <x:c r="G91" s="7" t="str">
        <x:v>EXH-2026-82c1d23abea2ae6d</x:v>
      </x:c>
      <x:c r="H91" s="7" t="str">
        <x:v>エバ工業株式会社</x:v>
      </x:c>
    </x:row>
    <x:row r="92" ht="65" customHeight="1">
      <x:c r="A92" s="7" t="str">
        <x:v>FNS株式会社</x:v>
      </x:c>
      <x:c r="B92" s="7" t="str">
        <x:v>E2034</x:v>
      </x:c>
      <x:c r="C92" s="7" t="str">
        <x:v>カテゴリー付与（一次整理）</x:v>
      </x:c>
      <x:c r="D92" s="7" t="str">
        <x:v>原典の該当記述に基づく一次分類。個別製品の方式・年度差分の精査とは区別。</x:v>
      </x:c>
      <x:c r="E92" s="7" t="str">
        <x:v>AC039</x:v>
      </x:c>
      <x:c r="F92" s="7" t="str">
        <x:v>https://www.jimtof.org/search/jp/ESdetails?e=_q_YetP8_og</x:v>
      </x:c>
      <x:c r="G92" s="7" t="str">
        <x:v>EXH-2026-9022dcaec2b02dde</x:v>
      </x:c>
      <x:c r="H92" s="7" t="str">
        <x:v>fns株式会社</x:v>
      </x:c>
    </x:row>
    <x:row r="93" ht="65" customHeight="1">
      <x:c r="A93" s="7" t="str">
        <x:v>株式会社MSTコーポレーション</x:v>
      </x:c>
      <x:c r="B93" s="7" t="str">
        <x:v>W2011</x:v>
      </x:c>
      <x:c r="C93" s="7" t="str">
        <x:v>カテゴリー付与（周辺要素）</x:v>
      </x:c>
      <x:c r="D93" s="7" t="str">
        <x:v>原典の該当記述に基づく一次分類。個別製品の方式・年度差分の精査とは区別。</x:v>
      </x:c>
      <x:c r="E93" s="7" t="str">
        <x:v>AC040</x:v>
      </x:c>
      <x:c r="F93" s="7" t="str">
        <x:v>https://www.jimtof.org/search/jp/ESdetails?e=SJ1uP-anpRI</x:v>
      </x:c>
      <x:c r="G93" s="7" t="str">
        <x:v>EXH-2026-f74dba1a90bb7c60</x:v>
      </x:c>
      <x:c r="H93" s="7" t="str">
        <x:v>株式会社mstコーポレーション</x:v>
      </x:c>
    </x:row>
    <x:row r="94" ht="65" customHeight="1">
      <x:c r="A94" s="7" t="str">
        <x:v>エンシュウ株式会社</x:v>
      </x:c>
      <x:c r="B94" s="7" t="str">
        <x:v>E3027</x:v>
      </x:c>
      <x:c r="C94" s="7" t="str">
        <x:v>カテゴリー付与（一次整理）</x:v>
      </x:c>
      <x:c r="D94" s="7" t="str">
        <x:v>原典の該当記述に基づく一次分類。個別製品の方式・年度差分の精査とは区別。</x:v>
      </x:c>
      <x:c r="E94" s="7" t="str">
        <x:v>AC041</x:v>
      </x:c>
      <x:c r="F94" s="7" t="str">
        <x:v>https://www.jimtof.org/search/jp/ESdetails?e=fPfTIEegDHY</x:v>
      </x:c>
      <x:c r="G94" s="7" t="str">
        <x:v>EXH-2026-0e942b9436bf5d6c</x:v>
      </x:c>
      <x:c r="H94" s="7" t="str">
        <x:v>エンシュウ株式会社</x:v>
      </x:c>
    </x:row>
    <x:row r="95" ht="65" customHeight="1">
      <x:c r="A95" s="7" t="str">
        <x:v>オーエスジー株式会社</x:v>
      </x:c>
      <x:c r="B95" s="7" t="str">
        <x:v>W1070</x:v>
      </x:c>
      <x:c r="C95" s="7" t="str">
        <x:v>カテゴリー付与（一次整理）</x:v>
      </x:c>
      <x:c r="D95" s="7" t="str">
        <x:v>原典の該当記述に基づく一次分類。個別製品の方式・年度差分の精査とは区別。</x:v>
      </x:c>
      <x:c r="E95" s="7" t="str">
        <x:v>AC042</x:v>
      </x:c>
      <x:c r="F95" s="7" t="str">
        <x:v>https://www.jimtof.org/search/jp/ESdetails?e=AooPnMJlHW4</x:v>
      </x:c>
      <x:c r="G95" s="7" t="str">
        <x:v>EXH-2026-89ee86275a54f434</x:v>
      </x:c>
      <x:c r="H95" s="7" t="str">
        <x:v>オーエスジー株式会社</x:v>
      </x:c>
    </x:row>
    <x:row r="96" ht="65" customHeight="1">
      <x:c r="A96" s="7" t="str">
        <x:v>株式会社オーエム製作所</x:v>
      </x:c>
      <x:c r="B96" s="7" t="str">
        <x:v>E2019</x:v>
      </x:c>
      <x:c r="C96" s="7" t="str">
        <x:v>カテゴリー付与（一次整理）</x:v>
      </x:c>
      <x:c r="D96" s="7" t="str">
        <x:v>原典の該当記述に基づく一次分類。個別製品の方式・年度差分の精査とは区別。</x:v>
      </x:c>
      <x:c r="E96" s="7" t="str">
        <x:v>AC043</x:v>
      </x:c>
      <x:c r="F96" s="7" t="str">
        <x:v>https://www.jimtof.org/search/jp/ESdetails?e=TbC314Ifhvc</x:v>
      </x:c>
      <x:c r="G96" s="7" t="str">
        <x:v>EXH-2026-75e6c92f1fdf0cb3</x:v>
      </x:c>
      <x:c r="H96" s="7" t="str">
        <x:v>株式会社オーエム製作所</x:v>
      </x:c>
    </x:row>
    <x:row r="97" ht="65" customHeight="1">
      <x:c r="A97" s="7" t="str">
        <x:v>大阪製罐株式会社</x:v>
      </x:c>
      <x:c r="B97" s="7" t="str">
        <x:v>W3112</x:v>
      </x:c>
      <x:c r="C97" s="7" t="str">
        <x:v>対象外（語の一致・用途等）</x:v>
      </x:c>
      <x:c r="D97" s="7" t="str">
        <x:v>DXはキャビネットの型番。透明窓による見える化をデジタルDXと扱わない。</x:v>
      </x:c>
      <x:c r="E97" s="7" t="str"/>
      <x:c r="F97" s="7" t="str">
        <x:v>https://www.jimtof.org/search/jp/ESdetails?e=fVouQpPd88c</x:v>
      </x:c>
      <x:c r="G97" s="7" t="str">
        <x:v>EXH-2026-40870007c88bd39f</x:v>
      </x:c>
      <x:c r="H97" s="7" t="str">
        <x:v>大阪製罐株式会社</x:v>
      </x:c>
    </x:row>
    <x:row r="98" ht="65" customHeight="1">
      <x:c r="A98" s="7" t="str">
        <x:v>大野精工株式会社</x:v>
      </x:c>
      <x:c r="B98" s="7" t="str">
        <x:v>E7075</x:v>
      </x:c>
      <x:c r="C98" s="7" t="str">
        <x:v>カテゴリー付与（一次整理）</x:v>
      </x:c>
      <x:c r="D98" s="7" t="str">
        <x:v>原典の該当記述に基づく一次分類。個別製品の方式・年度差分の精査とは区別。</x:v>
      </x:c>
      <x:c r="E98" s="7" t="str">
        <x:v>AC045</x:v>
      </x:c>
      <x:c r="F98" s="7" t="str">
        <x:v>https://www.jimtof.org/search/jp/ESdetails?e=BUXIodTELh0</x:v>
      </x:c>
      <x:c r="G98" s="7" t="str">
        <x:v>EXH-2026-426a2f9fe17c70e9</x:v>
      </x:c>
      <x:c r="H98" s="7" t="str">
        <x:v>大野精工株式会社</x:v>
      </x:c>
    </x:row>
    <x:row r="99" ht="65" customHeight="1">
      <x:c r="A99" s="7" t="str">
        <x:v>Orbray株式会社</x:v>
      </x:c>
      <x:c r="B99" s="7" t="str">
        <x:v>E7023</x:v>
      </x:c>
      <x:c r="C99" s="7" t="str">
        <x:v>カテゴリー付与（一次整理）</x:v>
      </x:c>
      <x:c r="D99" s="7" t="str">
        <x:v>原典の該当記述に基づく一次分類。個別製品の方式・年度差分の精査とは区別。</x:v>
      </x:c>
      <x:c r="E99" s="7" t="str">
        <x:v>AC046</x:v>
      </x:c>
      <x:c r="F99" s="7" t="str">
        <x:v>https://www.jimtof.org/search/jp/ESdetails?e=sqqEKtPeqfw</x:v>
      </x:c>
      <x:c r="G99" s="7" t="str">
        <x:v>EXH-2026-ba1fb022d9f4e67c</x:v>
      </x:c>
      <x:c r="H99" s="7" t="str">
        <x:v>orbray株式会社</x:v>
      </x:c>
    </x:row>
    <x:row r="100" ht="65" customHeight="1">
      <x:c r="A100" s="7" t="str">
        <x:v>オープン・マインド・テクノロジーズ・ジャパン株式会社</x:v>
      </x:c>
      <x:c r="B100" s="7" t="str">
        <x:v>S4007</x:v>
      </x:c>
      <x:c r="C100" s="7" t="str">
        <x:v>カテゴリー付与（一次整理）</x:v>
      </x:c>
      <x:c r="D100" s="7" t="str">
        <x:v>原典の該当記述に基づく一次分類。個別製品の方式・年度差分の精査とは区別。</x:v>
      </x:c>
      <x:c r="E100" s="7" t="str">
        <x:v>AC047</x:v>
      </x:c>
      <x:c r="F100" s="7" t="str">
        <x:v>https://www.jimtof.org/search/jp/ESdetails?e=A5CG9Q83cis</x:v>
      </x:c>
      <x:c r="G100" s="7" t="str">
        <x:v>EXH-2026-f3eec5560e813e09</x:v>
      </x:c>
      <x:c r="H100" s="7" t="str">
        <x:v>オープン・マインド・テクノロジーズ・ジャパン株式会社</x:v>
      </x:c>
    </x:row>
    <x:row r="101" ht="65" customHeight="1">
      <x:c r="A101" s="7" t="str">
        <x:v>株式会社大宮マシナリー</x:v>
      </x:c>
      <x:c r="B101" s="7" t="str">
        <x:v>E7049</x:v>
      </x:c>
      <x:c r="C101" s="7" t="str">
        <x:v>カテゴリー付与（一次整理）</x:v>
      </x:c>
      <x:c r="D101" s="7" t="str">
        <x:v>原典の該当記述に基づく一次分類。個別製品の方式・年度差分の精査とは区別。</x:v>
      </x:c>
      <x:c r="E101" s="7" t="str">
        <x:v>AC048</x:v>
      </x:c>
      <x:c r="F101" s="7" t="str">
        <x:v>https://www.jimtof.org/search/jp/ESdetails?e=q6gAUajA3gE</x:v>
      </x:c>
      <x:c r="G101" s="7" t="str">
        <x:v>EXH-2026-6703fc63c6ab91c5</x:v>
      </x:c>
      <x:c r="H101" s="7" t="str">
        <x:v>株式会社大宮マシナリー</x:v>
      </x:c>
    </x:row>
    <x:row r="102" ht="65" customHeight="1">
      <x:c r="A102" s="7" t="str">
        <x:v>株式会社岡本工作機械製作所</x:v>
      </x:c>
      <x:c r="B102" s="7" t="str">
        <x:v>E7095</x:v>
      </x:c>
      <x:c r="C102" s="7" t="str">
        <x:v>カテゴリー付与（一次整理）</x:v>
      </x:c>
      <x:c r="D102" s="7" t="str">
        <x:v>原典の該当記述に基づく一次分類。個別製品の方式・年度差分の精査とは区別。</x:v>
      </x:c>
      <x:c r="E102" s="7" t="str">
        <x:v>AC049</x:v>
      </x:c>
      <x:c r="F102" s="7" t="str">
        <x:v>https://www.jimtof.org/search/jp/ESdetails?e=cWqFNxFT9X8</x:v>
      </x:c>
      <x:c r="G102" s="7" t="str">
        <x:v>EXH-2026-6c8f6fc8882f6c9c</x:v>
      </x:c>
      <x:c r="H102" s="7" t="str">
        <x:v>株式会社岡本工作機械製作所</x:v>
      </x:c>
    </x:row>
    <x:row r="103" ht="65" customHeight="1">
      <x:c r="A103" s="7" t="str">
        <x:v>カトウ工機株式会社</x:v>
      </x:c>
      <x:c r="B103" s="7" t="str">
        <x:v>W2038</x:v>
      </x:c>
      <x:c r="C103" s="7" t="str">
        <x:v>カテゴリー付与（周辺要素）</x:v>
      </x:c>
      <x:c r="D103" s="7" t="str">
        <x:v>原典の該当記述に基づく一次分類。個別製品の方式・年度差分の精査とは区別。</x:v>
      </x:c>
      <x:c r="E103" s="7" t="str">
        <x:v>AC050</x:v>
      </x:c>
      <x:c r="F103" s="7" t="str">
        <x:v>https://www.jimtof.org/search/jp/ESdetails?e=36Mstb-jm5Q</x:v>
      </x:c>
      <x:c r="G103" s="7" t="str">
        <x:v>EXH-2026-024be58bd1c7d46f</x:v>
      </x:c>
      <x:c r="H103" s="7" t="str">
        <x:v>カトウ工機株式会社</x:v>
      </x:c>
    </x:row>
    <x:row r="104" ht="65" customHeight="1">
      <x:c r="A104" s="7" t="str">
        <x:v>カネテック株式会社</x:v>
      </x:c>
      <x:c r="B104" s="7" t="str">
        <x:v>W2013</x:v>
      </x:c>
      <x:c r="C104" s="7" t="str">
        <x:v>カテゴリー付与（一次整理）</x:v>
      </x:c>
      <x:c r="D104" s="7" t="str">
        <x:v>原典の該当記述に基づく一次分類。個別製品の方式・年度差分の精査とは区別。</x:v>
      </x:c>
      <x:c r="E104" s="7" t="str">
        <x:v>AC051</x:v>
      </x:c>
      <x:c r="F104" s="7" t="str">
        <x:v>https://www.jimtof.org/search/jp/ESdetails?e=ekM3exgIAtc</x:v>
      </x:c>
      <x:c r="G104" s="7" t="str">
        <x:v>EXH-2026-30b70a74241de123</x:v>
      </x:c>
      <x:c r="H104" s="7" t="str">
        <x:v>カネテック株式会社</x:v>
      </x:c>
    </x:row>
    <x:row r="105" ht="65" customHeight="1">
      <x:c r="A105" s="7" t="str">
        <x:v>株式会社兼松ケージーケイ</x:v>
      </x:c>
      <x:c r="B105" s="7" t="str">
        <x:v>S2017</x:v>
      </x:c>
      <x:c r="C105" s="7" t="str">
        <x:v>カテゴリー付与（一次整理）</x:v>
      </x:c>
      <x:c r="D105" s="7" t="str">
        <x:v>原典の該当記述に基づく一次分類。個別製品の方式・年度差分の精査とは区別。</x:v>
      </x:c>
      <x:c r="E105" s="7" t="str">
        <x:v>AC052</x:v>
      </x:c>
      <x:c r="F105" s="7" t="str">
        <x:v>https://www.jimtof.org/search/jp/ESdetails?e=soucpoaRRyI</x:v>
      </x:c>
      <x:c r="G105" s="7" t="str">
        <x:v>EXH-2026-8c94cb18f4807b4e</x:v>
      </x:c>
      <x:c r="H105" s="7" t="str">
        <x:v>株式会社兼松ケージーケイ</x:v>
      </x:c>
    </x:row>
    <x:row r="106" ht="65" customHeight="1">
      <x:c r="A106" s="7" t="str">
        <x:v>川重テクノロジー株式会社</x:v>
      </x:c>
      <x:c r="B106" s="7" t="str">
        <x:v>S1042</x:v>
      </x:c>
      <x:c r="C106" s="7" t="str">
        <x:v>カテゴリー付与（一次整理）</x:v>
      </x:c>
      <x:c r="D106" s="7" t="str">
        <x:v>原典の該当記述に基づく一次分類。個別製品の方式・年度差分の精査とは区別。</x:v>
      </x:c>
      <x:c r="E106" s="7" t="str">
        <x:v>AC053</x:v>
      </x:c>
      <x:c r="F106" s="7" t="str">
        <x:v>https://www.jimtof.org/search/jp/ESdetails?e=Wa3P03zlqwQ</x:v>
      </x:c>
      <x:c r="G106" s="7" t="str">
        <x:v>EXH-2026-8b196d0a504dcc0c</x:v>
      </x:c>
      <x:c r="H106" s="7" t="str">
        <x:v>川重テクノロジー株式会社</x:v>
      </x:c>
    </x:row>
    <x:row r="107" ht="65" customHeight="1">
      <x:c r="A107" s="7" t="str">
        <x:v>株式会社神崎高級工機製作所</x:v>
      </x:c>
      <x:c r="B107" s="7" t="str">
        <x:v>E1071</x:v>
      </x:c>
      <x:c r="C107" s="7" t="str">
        <x:v>カテゴリー付与（一次整理）</x:v>
      </x:c>
      <x:c r="D107" s="7" t="str">
        <x:v>原典の該当記述に基づく一次分類。個別製品の方式・年度差分の精査とは区別。</x:v>
      </x:c>
      <x:c r="E107" s="7" t="str">
        <x:v>AC054</x:v>
      </x:c>
      <x:c r="F107" s="7" t="str">
        <x:v>https://www.jimtof.org/search/jp/ESdetails?e=bpuT_4Xpv_c</x:v>
      </x:c>
      <x:c r="G107" s="7" t="str">
        <x:v>EXH-2026-91aa8dd094a4a7b2</x:v>
      </x:c>
      <x:c r="H107" s="7" t="str">
        <x:v>株式会社神崎高級工機製作所</x:v>
      </x:c>
    </x:row>
    <x:row r="108" ht="65" customHeight="1">
      <x:c r="A108" s="7" t="str">
        <x:v>キステム株式会社</x:v>
      </x:c>
      <x:c r="B108" s="7" t="str">
        <x:v>S4014</x:v>
      </x:c>
      <x:c r="C108" s="7" t="str">
        <x:v>カテゴリー付与（一次整理）</x:v>
      </x:c>
      <x:c r="D108" s="7" t="str">
        <x:v>原典の該当記述に基づく一次分類。個別製品の方式・年度差分の精査とは区別。</x:v>
      </x:c>
      <x:c r="E108" s="7" t="str">
        <x:v>AC055</x:v>
      </x:c>
      <x:c r="F108" s="7" t="str">
        <x:v>https://www.jimtof.org/search/jp/ESdetails?e=QjS8eNKRLhw</x:v>
      </x:c>
      <x:c r="G108" s="7" t="str">
        <x:v>EXH-2026-2c1bff525e1eb40c</x:v>
      </x:c>
      <x:c r="H108" s="7" t="str">
        <x:v>キステム株式会社</x:v>
      </x:c>
    </x:row>
    <x:row r="109" ht="65" customHeight="1">
      <x:c r="A109" s="7" t="str">
        <x:v>キソー株式会社</x:v>
      </x:c>
      <x:c r="B109" s="7" t="str">
        <x:v>S3092</x:v>
      </x:c>
      <x:c r="C109" s="7" t="str">
        <x:v>カテゴリー付与（一次整理）</x:v>
      </x:c>
      <x:c r="D109" s="7" t="str">
        <x:v>原典の該当記述に基づく一次分類。個別製品の方式・年度差分の精査とは区別。</x:v>
      </x:c>
      <x:c r="E109" s="7" t="str">
        <x:v>AC056</x:v>
      </x:c>
      <x:c r="F109" s="7" t="str">
        <x:v>https://www.jimtof.org/search/jp/ESdetails?e=q16UKMJlnLI</x:v>
      </x:c>
      <x:c r="G109" s="7" t="str">
        <x:v>EXH-2026-4064c0e9220721ee</x:v>
      </x:c>
      <x:c r="H109" s="7" t="str">
        <x:v>キソー株式会社</x:v>
      </x:c>
    </x:row>
    <x:row r="110" ht="65" customHeight="1">
      <x:c r="A110" s="7" t="str">
        <x:v>株式会社北川鉄工所</x:v>
      </x:c>
      <x:c r="B110" s="7" t="str">
        <x:v>W2016</x:v>
      </x:c>
      <x:c r="C110" s="7" t="str">
        <x:v>カテゴリー付与（周辺要素）</x:v>
      </x:c>
      <x:c r="D110" s="7" t="str">
        <x:v>原典の該当記述に基づく一次分類。個別製品の方式・年度差分の精査とは区別。</x:v>
      </x:c>
      <x:c r="E110" s="7" t="str">
        <x:v>AC057</x:v>
      </x:c>
      <x:c r="F110" s="7" t="str">
        <x:v>https://www.jimtof.org/search/jp/ESdetails?e=XAQiCUDqIGg</x:v>
      </x:c>
      <x:c r="G110" s="7" t="str">
        <x:v>EXH-2026-4e495b7a38654a48</x:v>
      </x:c>
      <x:c r="H110" s="7" t="str">
        <x:v>株式会社北川鉄工所</x:v>
      </x:c>
    </x:row>
    <x:row r="111" ht="65" customHeight="1">
      <x:c r="A111" s="7" t="str">
        <x:v>キタムラ機械株式会社</x:v>
      </x:c>
      <x:c r="B111" s="7" t="str">
        <x:v>E2030</x:v>
      </x:c>
      <x:c r="C111" s="7" t="str">
        <x:v>カテゴリー付与（一次整理）</x:v>
      </x:c>
      <x:c r="D111" s="7" t="str">
        <x:v>原典の該当記述に基づく一次分類。個別製品の方式・年度差分の精査とは区別。</x:v>
      </x:c>
      <x:c r="E111" s="7" t="str">
        <x:v>AC058</x:v>
      </x:c>
      <x:c r="F111" s="7" t="str">
        <x:v>https://www.jimtof.org/search/jp/ESdetails?e=8B2MeaGChjg</x:v>
      </x:c>
      <x:c r="G111" s="7" t="str">
        <x:v>EXH-2026-8dc74bc2bb78626e</x:v>
      </x:c>
      <x:c r="H111" s="7" t="str">
        <x:v>キタムラ機械株式会社</x:v>
      </x:c>
    </x:row>
    <x:row r="112" ht="65" customHeight="1">
      <x:c r="A112" s="7" t="str">
        <x:v>株式会社北村製作所</x:v>
      </x:c>
      <x:c r="B112" s="7" t="str">
        <x:v>E7054</x:v>
      </x:c>
      <x:c r="C112" s="7" t="str">
        <x:v>カテゴリー付与（一次整理）</x:v>
      </x:c>
      <x:c r="D112" s="7" t="str">
        <x:v>原典の該当記述に基づく一次分類。個別製品の方式・年度差分の精査とは区別。</x:v>
      </x:c>
      <x:c r="E112" s="7" t="str">
        <x:v>AC059</x:v>
      </x:c>
      <x:c r="F112" s="7" t="str">
        <x:v>https://www.jimtof.org/search/jp/ESdetails?e=ggacRtFUF1k</x:v>
      </x:c>
      <x:c r="G112" s="7" t="str">
        <x:v>EXH-2026-99a305a4fe6032c4</x:v>
      </x:c>
      <x:c r="H112" s="7" t="str">
        <x:v>株式会社北村製作所</x:v>
      </x:c>
    </x:row>
    <x:row r="113" ht="65" customHeight="1">
      <x:c r="A113" s="7" t="str">
        <x:v>株式会社キャプテンインダストリーズ</x:v>
      </x:c>
      <x:c r="B113" s="7" t="str">
        <x:v>E3003</x:v>
      </x:c>
      <x:c r="C113" s="7" t="str">
        <x:v>カテゴリー付与（一次整理）</x:v>
      </x:c>
      <x:c r="D113" s="7" t="str">
        <x:v>原典の該当記述に基づく一次分類。個別製品の方式・年度差分の精査とは区別。</x:v>
      </x:c>
      <x:c r="E113" s="7" t="str">
        <x:v>AC060</x:v>
      </x:c>
      <x:c r="F113" s="7" t="str">
        <x:v>https://www.jimtof.org/search/jp/ESdetails?e=9vpTjarQl8s</x:v>
      </x:c>
      <x:c r="G113" s="7" t="str">
        <x:v>EXH-2026-c8de4ae2c9076f2f</x:v>
      </x:c>
      <x:c r="H113" s="7" t="str">
        <x:v>株式会社キャプテンインダストリーズ</x:v>
      </x:c>
    </x:row>
    <x:row r="114" ht="65" customHeight="1">
      <x:c r="A114" s="7" t="str">
        <x:v>キャムタス株式会社</x:v>
      </x:c>
      <x:c r="B114" s="7" t="str">
        <x:v>S3067</x:v>
      </x:c>
      <x:c r="C114" s="7" t="str">
        <x:v>カテゴリー付与（一次整理）</x:v>
      </x:c>
      <x:c r="D114" s="7" t="str">
        <x:v>原典の該当記述に基づく一次分類。個別製品の方式・年度差分の精査とは区別。</x:v>
      </x:c>
      <x:c r="E114" s="7" t="str">
        <x:v>AC061</x:v>
      </x:c>
      <x:c r="F114" s="7" t="str">
        <x:v>https://www.jimtof.org/search/jp/ESdetails?e=7W94U2NDZqc</x:v>
      </x:c>
      <x:c r="G114" s="7" t="str">
        <x:v>EXH-2026-27ca2522afe8413a</x:v>
      </x:c>
      <x:c r="H114" s="7" t="str">
        <x:v>キャムタス株式会社</x:v>
      </x:c>
    </x:row>
    <x:row r="115" ht="65" customHeight="1">
      <x:c r="A115" s="7" t="str">
        <x:v>京セラ株式会社</x:v>
      </x:c>
      <x:c r="B115" s="7" t="str">
        <x:v>W1046</x:v>
      </x:c>
      <x:c r="C115" s="7" t="str">
        <x:v>カテゴリー付与（一次整理）</x:v>
      </x:c>
      <x:c r="D115" s="7" t="str">
        <x:v>原典の該当記述に基づく一次分類。個別製品の方式・年度差分の精査とは区別。</x:v>
      </x:c>
      <x:c r="E115" s="7" t="str">
        <x:v>AC062</x:v>
      </x:c>
      <x:c r="F115" s="7" t="str">
        <x:v>https://www.jimtof.org/search/jp/ESdetails?e=E4SA18YM2G4</x:v>
      </x:c>
      <x:c r="G115" s="7" t="str">
        <x:v>EXH-2026-916418fd838030de</x:v>
      </x:c>
      <x:c r="H115" s="7" t="str">
        <x:v>京セラ株式会社</x:v>
      </x:c>
    </x:row>
    <x:row r="116" ht="65" customHeight="1">
      <x:c r="A116" s="7" t="str">
        <x:v>共立精機株式会社</x:v>
      </x:c>
      <x:c r="B116" s="7" t="str">
        <x:v>W2025</x:v>
      </x:c>
      <x:c r="C116" s="7" t="str">
        <x:v>カテゴリー付与（一次整理）</x:v>
      </x:c>
      <x:c r="D116" s="7" t="str">
        <x:v>原典の該当記述に基づく一次分類。個別製品の方式・年度差分の精査とは区別。</x:v>
      </x:c>
      <x:c r="E116" s="7" t="str">
        <x:v>AC063</x:v>
      </x:c>
      <x:c r="F116" s="7" t="str">
        <x:v>https://www.jimtof.org/search/jp/ESdetails?e=9k7ro8sL0VA</x:v>
      </x:c>
      <x:c r="G116" s="7" t="str">
        <x:v>EXH-2026-1c8938d47b63e4bb</x:v>
      </x:c>
      <x:c r="H116" s="7" t="str">
        <x:v>共立精機株式会社</x:v>
      </x:c>
    </x:row>
    <x:row r="117" ht="65" customHeight="1">
      <x:c r="A117" s="7" t="str">
        <x:v>Quod6株式会社</x:v>
      </x:c>
      <x:c r="B117" s="7" t="str">
        <x:v>W4017</x:v>
      </x:c>
      <x:c r="C117" s="7" t="str">
        <x:v>カテゴリー付与（周辺要素）</x:v>
      </x:c>
      <x:c r="D117" s="7" t="str">
        <x:v>原典の該当記述に基づく一次分類。個別製品の方式・年度差分の精査とは区別。</x:v>
      </x:c>
      <x:c r="E117" s="7" t="str">
        <x:v>AC064</x:v>
      </x:c>
      <x:c r="F117" s="7" t="str">
        <x:v>https://www.jimtof.org/search/jp/ESdetails?e=ecnhDTVp2uU</x:v>
      </x:c>
      <x:c r="G117" s="7" t="str">
        <x:v>EXH-2026-7b1312c50474d3b9</x:v>
      </x:c>
      <x:c r="H117" s="7" t="str">
        <x:v>quod6株式会社</x:v>
      </x:c>
    </x:row>
    <x:row r="118" ht="65" customHeight="1">
      <x:c r="A118" s="7" t="str">
        <x:v>株式会社国盛化学</x:v>
      </x:c>
      <x:c r="B118" s="7" t="str">
        <x:v>S3039</x:v>
      </x:c>
      <x:c r="C118" s="7" t="str">
        <x:v>カテゴリー付与（周辺要素）</x:v>
      </x:c>
      <x:c r="D118" s="7" t="str">
        <x:v>原典の該当記述に基づく一次分類。個別製品の方式・年度差分の精査とは区別。</x:v>
      </x:c>
      <x:c r="E118" s="7" t="str">
        <x:v>AC065</x:v>
      </x:c>
      <x:c r="F118" s="7" t="str">
        <x:v>https://www.jimtof.org/search/jp/ESdetails?e=27tfI7tHVRI</x:v>
      </x:c>
      <x:c r="G118" s="7" t="str">
        <x:v>EXH-2026-494539b75342b5a9</x:v>
      </x:c>
      <x:c r="H118" s="7" t="str">
        <x:v>株式会社国盛化学</x:v>
      </x:c>
    </x:row>
    <x:row r="119" ht="65" customHeight="1">
      <x:c r="A119" s="7" t="str">
        <x:v>株式会社クロイツ</x:v>
      </x:c>
      <x:c r="B119" s="7" t="str">
        <x:v>E3025</x:v>
      </x:c>
      <x:c r="C119" s="7" t="str">
        <x:v>カテゴリー付与（周辺要素）</x:v>
      </x:c>
      <x:c r="D119" s="7" t="str">
        <x:v>原典の該当記述に基づく一次分類。個別製品の方式・年度差分の精査とは区別。</x:v>
      </x:c>
      <x:c r="E119" s="7" t="str">
        <x:v>AC066</x:v>
      </x:c>
      <x:c r="F119" s="7" t="str">
        <x:v>https://www.jimtof.org/search/jp/ESdetails?e=pKhtGg5AXLc</x:v>
      </x:c>
      <x:c r="G119" s="7" t="str">
        <x:v>EXH-2026-65a684118b48bdf2</x:v>
      </x:c>
      <x:c r="H119" s="7" t="str">
        <x:v>株式会社クロイツ</x:v>
      </x:c>
    </x:row>
    <x:row r="120" ht="65" customHeight="1">
      <x:c r="A120" s="7" t="str">
        <x:v>株式会社グローバル・パーツ</x:v>
      </x:c>
      <x:c r="B120" s="7" t="str">
        <x:v>S3045</x:v>
      </x:c>
      <x:c r="C120" s="7" t="str">
        <x:v>カテゴリー付与（周辺要素）</x:v>
      </x:c>
      <x:c r="D120" s="7" t="str">
        <x:v>原典の該当記述に基づく一次分類。個別製品の方式・年度差分の精査とは区別。</x:v>
      </x:c>
      <x:c r="E120" s="7" t="str">
        <x:v>AC067</x:v>
      </x:c>
      <x:c r="F120" s="7" t="str">
        <x:v>https://www.jimtof.org/search/jp/ESdetails?e=7pg5I7Dvfkc</x:v>
      </x:c>
      <x:c r="G120" s="7" t="str">
        <x:v>EXH-2026-52c126c6f3c4371e</x:v>
      </x:c>
      <x:c r="H120" s="7" t="str">
        <x:v>株式会社グローバル・パーツ</x:v>
      </x:c>
    </x:row>
    <x:row r="121" ht="65" customHeight="1">
      <x:c r="A121" s="7" t="str">
        <x:v>黒田精工株式会社</x:v>
      </x:c>
      <x:c r="B121" s="7" t="str">
        <x:v>E7091</x:v>
      </x:c>
      <x:c r="C121" s="7" t="str">
        <x:v>カテゴリー付与（一次整理）</x:v>
      </x:c>
      <x:c r="D121" s="7" t="str">
        <x:v>原典の該当記述に基づく一次分類。個別製品の方式・年度差分の精査とは区別。</x:v>
      </x:c>
      <x:c r="E121" s="7" t="str">
        <x:v>AC068</x:v>
      </x:c>
      <x:c r="F121" s="7" t="str">
        <x:v>https://www.jimtof.org/search/jp/ESdetails?e=46cG1q7GwI4</x:v>
      </x:c>
      <x:c r="G121" s="7" t="str">
        <x:v>EXH-2026-d1c4b808057b7341</x:v>
      </x:c>
      <x:c r="H121" s="7" t="str">
        <x:v>黒田精工株式会社</x:v>
      </x:c>
    </x:row>
    <x:row r="122" ht="65" customHeight="1">
      <x:c r="A122" s="7" t="str">
        <x:v>GROB Japan株式会社</x:v>
      </x:c>
      <x:c r="B122" s="7" t="str">
        <x:v>S1059</x:v>
      </x:c>
      <x:c r="C122" s="7" t="str">
        <x:v>カテゴリー付与（一次整理）</x:v>
      </x:c>
      <x:c r="D122" s="7" t="str">
        <x:v>原典の該当記述に基づく一次分類。個別製品の方式・年度差分の精査とは区別。</x:v>
      </x:c>
      <x:c r="E122" s="7" t="str">
        <x:v>AC069</x:v>
      </x:c>
      <x:c r="F122" s="7" t="str">
        <x:v>https://www.jimtof.org/search/jp/ESdetails?e=1gMJ22MesEE</x:v>
      </x:c>
      <x:c r="G122" s="7" t="str">
        <x:v>EXH-2026-c73d489b393f8bc8</x:v>
      </x:c>
      <x:c r="H122" s="7" t="str">
        <x:v>grobjapan株式会社</x:v>
      </x:c>
    </x:row>
    <x:row r="123" ht="65" customHeight="1">
      <x:c r="A123" s="7" t="str">
        <x:v>株式会社ケーエムケーワールド</x:v>
      </x:c>
      <x:c r="B123" s="7" t="str">
        <x:v>S3018</x:v>
      </x:c>
      <x:c r="C123" s="7" t="str">
        <x:v>カテゴリー付与（一次整理）</x:v>
      </x:c>
      <x:c r="D123" s="7" t="str">
        <x:v>原典の該当記述に基づく一次分類。個別製品の方式・年度差分の精査とは区別。</x:v>
      </x:c>
      <x:c r="E123" s="7" t="str">
        <x:v>AC070</x:v>
      </x:c>
      <x:c r="F123" s="7" t="str">
        <x:v>https://www.jimtof.org/search/jp/ESdetails?e=iRQKn5kaGi8</x:v>
      </x:c>
      <x:c r="G123" s="7" t="str">
        <x:v>EXH-2026-5f368e093f795d47</x:v>
      </x:c>
      <x:c r="H123" s="7" t="str">
        <x:v>株式会社ケーエムケーワールド</x:v>
      </x:c>
    </x:row>
    <x:row r="124" ht="65" customHeight="1">
      <x:c r="A124" s="7" t="str">
        <x:v>株式会社ＫＥＬＫ</x:v>
      </x:c>
      <x:c r="B124" s="7" t="str">
        <x:v>E1058</x:v>
      </x:c>
      <x:c r="C124" s="7" t="str">
        <x:v>カテゴリー付与（一次整理）</x:v>
      </x:c>
      <x:c r="D124" s="7" t="str">
        <x:v>原典の該当記述に基づく一次分類。個別製品の方式・年度差分の精査とは区別。</x:v>
      </x:c>
      <x:c r="E124" s="7" t="str">
        <x:v>AC071</x:v>
      </x:c>
      <x:c r="F124" s="7" t="str">
        <x:v>https://www.jimtof.org/search/jp/ESdetails?e=bcTCu5edlsM</x:v>
      </x:c>
      <x:c r="G124" s="7" t="str">
        <x:v>EXH-2026-f9b4b6d720da3a67</x:v>
      </x:c>
      <x:c r="H124" s="7" t="str">
        <x:v>株式会社kelk</x:v>
      </x:c>
    </x:row>
    <x:row r="125" ht="65" customHeight="1">
      <x:c r="A125" s="7" t="str">
        <x:v>コアーテック株式会社</x:v>
      </x:c>
      <x:c r="B125" s="7" t="str">
        <x:v>E7018</x:v>
      </x:c>
      <x:c r="C125" s="7" t="str">
        <x:v>カテゴリー付与（周辺要素）</x:v>
      </x:c>
      <x:c r="D125" s="7" t="str">
        <x:v>原典の該当記述に基づく一次分類。個別製品の方式・年度差分の精査とは区別。</x:v>
      </x:c>
      <x:c r="E125" s="7" t="str">
        <x:v>AC072</x:v>
      </x:c>
      <x:c r="F125" s="7" t="str">
        <x:v>https://www.jimtof.org/search/jp/ESdetails?e=TfkhiNP60VQ</x:v>
      </x:c>
      <x:c r="G125" s="7" t="str">
        <x:v>EXH-2026-01761b7d0056c58f</x:v>
      </x:c>
      <x:c r="H125" s="7" t="str">
        <x:v>コアーテック株式会社</x:v>
      </x:c>
    </x:row>
    <x:row r="126" ht="65" customHeight="1">
      <x:c r="A126" s="7" t="str">
        <x:v>株式会社ゴーショー</x:v>
      </x:c>
      <x:c r="B126" s="7" t="str">
        <x:v>E3014</x:v>
      </x:c>
      <x:c r="C126" s="7" t="str">
        <x:v>カテゴリー付与（一次整理）</x:v>
      </x:c>
      <x:c r="D126" s="7" t="str">
        <x:v>原典の該当記述に基づく一次分類。個別製品の方式・年度差分の精査とは区別。</x:v>
      </x:c>
      <x:c r="E126" s="7" t="str">
        <x:v>AC073</x:v>
      </x:c>
      <x:c r="F126" s="7" t="str">
        <x:v>https://www.jimtof.org/search/jp/ESdetails?e=CKssMtqLQME</x:v>
      </x:c>
      <x:c r="G126" s="7" t="str">
        <x:v>EXH-2026-274028d500af35a8</x:v>
      </x:c>
      <x:c r="H126" s="7" t="str">
        <x:v>株式会社ゴーショー</x:v>
      </x:c>
    </x:row>
    <x:row r="127" ht="65" customHeight="1">
      <x:c r="A127" s="7" t="str">
        <x:v>株式会社ゴードーソリューション</x:v>
      </x:c>
      <x:c r="B127" s="7" t="str">
        <x:v>S4009</x:v>
      </x:c>
      <x:c r="C127" s="7" t="str">
        <x:v>カテゴリー付与（一次整理）</x:v>
      </x:c>
      <x:c r="D127" s="7" t="str">
        <x:v>原典の該当記述に基づく一次分類。個別製品の方式・年度差分の精査とは区別。</x:v>
      </x:c>
      <x:c r="E127" s="7" t="str">
        <x:v>AC074</x:v>
      </x:c>
      <x:c r="F127" s="7" t="str">
        <x:v>https://www.jimtof.org/search/jp/ESdetails?e=oO-G_YDcimE</x:v>
      </x:c>
      <x:c r="G127" s="7" t="str">
        <x:v>EXH-2026-a64bab179251039a</x:v>
      </x:c>
      <x:c r="H127" s="7" t="str">
        <x:v>株式会社ゴードーソリューション</x:v>
      </x:c>
    </x:row>
    <x:row r="128" ht="65" customHeight="1">
      <x:c r="A128" s="7" t="str">
        <x:v>株式会社コスメック</x:v>
      </x:c>
      <x:c r="B128" s="7" t="str">
        <x:v>W2033</x:v>
      </x:c>
      <x:c r="C128" s="7" t="str">
        <x:v>カテゴリー付与（周辺要素）</x:v>
      </x:c>
      <x:c r="D128" s="7" t="str">
        <x:v>原典の該当記述に基づく一次分類。個別製品の方式・年度差分の精査とは区別。</x:v>
      </x:c>
      <x:c r="E128" s="7" t="str">
        <x:v>AC075</x:v>
      </x:c>
      <x:c r="F128" s="7" t="str">
        <x:v>https://www.jimtof.org/search/jp/ESdetails?e=yiHo9SMP4lY</x:v>
      </x:c>
      <x:c r="G128" s="7" t="str">
        <x:v>EXH-2026-0376f488fb693c45</x:v>
      </x:c>
      <x:c r="H128" s="7" t="str">
        <x:v>株式会社コスメック</x:v>
      </x:c>
    </x:row>
    <x:row r="129" ht="65" customHeight="1">
      <x:c r="A129" s="7" t="str">
        <x:v>コダマコーポレーション株式会社</x:v>
      </x:c>
      <x:c r="B129" s="7" t="str">
        <x:v>S3066</x:v>
      </x:c>
      <x:c r="C129" s="7" t="str">
        <x:v>カテゴリー付与（一次整理）</x:v>
      </x:c>
      <x:c r="D129" s="7" t="str">
        <x:v>原典の該当記述に基づく一次分類。個別製品の方式・年度差分の精査とは区別。</x:v>
      </x:c>
      <x:c r="E129" s="7" t="str">
        <x:v>AC076</x:v>
      </x:c>
      <x:c r="F129" s="7" t="str">
        <x:v>https://www.jimtof.org/search/jp/ESdetails?e=w3OCd-Yb-pM</x:v>
      </x:c>
      <x:c r="G129" s="7" t="str">
        <x:v>EXH-2026-d7ec640627a22b17</x:v>
      </x:c>
      <x:c r="H129" s="7" t="str">
        <x:v>コダマコーポレーション株式会社</x:v>
      </x:c>
    </x:row>
    <x:row r="130" ht="65" customHeight="1">
      <x:c r="A130" s="7" t="str">
        <x:v>コマツNTC株式会社</x:v>
      </x:c>
      <x:c r="B130" s="7" t="str">
        <x:v>E1058</x:v>
      </x:c>
      <x:c r="C130" s="7" t="str">
        <x:v>カテゴリー付与（一次整理）</x:v>
      </x:c>
      <x:c r="D130" s="7" t="str">
        <x:v>原典の該当記述に基づく一次分類。個別製品の方式・年度差分の精査とは区別。</x:v>
      </x:c>
      <x:c r="E130" s="7" t="str">
        <x:v>AC077</x:v>
      </x:c>
      <x:c r="F130" s="7" t="str">
        <x:v>https://www.jimtof.org/search/jp/ESdetails?e=juRUHcsXGOk</x:v>
      </x:c>
      <x:c r="G130" s="7" t="str">
        <x:v>EXH-2026-8970f2d69919d770</x:v>
      </x:c>
      <x:c r="H130" s="7" t="str">
        <x:v>コマツntc株式会社</x:v>
      </x:c>
    </x:row>
    <x:row r="131" ht="65" customHeight="1">
      <x:c r="A131" s="7" t="str">
        <x:v>株式会社Cominix</x:v>
      </x:c>
      <x:c r="B131" s="7" t="str">
        <x:v>W1094</x:v>
      </x:c>
      <x:c r="C131" s="7" t="str">
        <x:v>カテゴリー付与（一次整理）</x:v>
      </x:c>
      <x:c r="D131" s="7" t="str">
        <x:v>原典の該当記述に基づく一次分類。個別製品の方式・年度差分の精査とは区別。</x:v>
      </x:c>
      <x:c r="E131" s="7" t="str">
        <x:v>AC078</x:v>
      </x:c>
      <x:c r="F131" s="7" t="str">
        <x:v>https://www.jimtof.org/search/jp/ESdetails?e=HppbBVVl0EY</x:v>
      </x:c>
      <x:c r="G131" s="7" t="str">
        <x:v>EXH-2026-63e31a243d5f56e1</x:v>
      </x:c>
      <x:c r="H131" s="7" t="str">
        <x:v>株式会社cominix</x:v>
      </x:c>
    </x:row>
    <x:row r="132" ht="65" customHeight="1">
      <x:c r="A132" s="7" t="str">
        <x:v>株式会社小森安全機研究所</x:v>
      </x:c>
      <x:c r="B132" s="7" t="str">
        <x:v>E1039</x:v>
      </x:c>
      <x:c r="C132" s="7" t="str">
        <x:v>カテゴリー付与（一次整理）</x:v>
      </x:c>
      <x:c r="D132" s="7" t="str">
        <x:v>原典の該当記述に基づく一次分類。個別製品の方式・年度差分の精査とは区別。</x:v>
      </x:c>
      <x:c r="E132" s="7" t="str">
        <x:v>AC079</x:v>
      </x:c>
      <x:c r="F132" s="7" t="str">
        <x:v>https://www.jimtof.org/search/jp/ESdetails?e=utVc5A88Bgw</x:v>
      </x:c>
      <x:c r="G132" s="7" t="str">
        <x:v>EXH-2026-7dc74545d7cf35a3</x:v>
      </x:c>
      <x:c r="H132" s="7" t="str">
        <x:v>株式会社小森安全機研究所</x:v>
      </x:c>
    </x:row>
    <x:row r="133" ht="65" customHeight="1">
      <x:c r="A133" s="7" t="str">
        <x:v>株式会社小森精機</x:v>
      </x:c>
      <x:c r="B133" s="7" t="str">
        <x:v>W3042</x:v>
      </x:c>
      <x:c r="C133" s="7" t="str">
        <x:v>対象外（語の一致・用途等）</x:v>
      </x:c>
      <x:c r="D133" s="7" t="str">
        <x:v>社内のCAD/CAM設備と受託精密加工の説明。DXソフト展示ではない。</x:v>
      </x:c>
      <x:c r="E133" s="7" t="str"/>
      <x:c r="F133" s="7" t="str">
        <x:v>https://www.jimtof.org/search/jp/ESdetails?e=lCRhaAH1JOM</x:v>
      </x:c>
      <x:c r="G133" s="7" t="str">
        <x:v>EXH-2026-0ec4261df2255692</x:v>
      </x:c>
      <x:c r="H133" s="7" t="str">
        <x:v>株式会社小森精機</x:v>
      </x:c>
    </x:row>
    <x:row r="134" ht="65" customHeight="1">
      <x:c r="A134" s="7" t="str">
        <x:v>株式会社近藤製作所</x:v>
      </x:c>
      <x:c r="B134" s="7" t="str">
        <x:v>E7096</x:v>
      </x:c>
      <x:c r="C134" s="7" t="str">
        <x:v>カテゴリー付与（周辺要素）</x:v>
      </x:c>
      <x:c r="D134" s="7" t="str">
        <x:v>原典の該当記述に基づく一次分類。個別製品の方式・年度差分の精査とは区別。</x:v>
      </x:c>
      <x:c r="E134" s="7" t="str">
        <x:v>AC081</x:v>
      </x:c>
      <x:c r="F134" s="7" t="str">
        <x:v>https://www.jimtof.org/search/jp/ESdetails?e=2lZ4aWGpFxM</x:v>
      </x:c>
      <x:c r="G134" s="7" t="str">
        <x:v>EXH-2026-ff39ef77fc84bf6f</x:v>
      </x:c>
      <x:c r="H134" s="7" t="str">
        <x:v>株式会社近藤製作所</x:v>
      </x:c>
    </x:row>
    <x:row r="135" ht="65" customHeight="1">
      <x:c r="A135" s="7" t="str">
        <x:v>Third Wave Systems Japan合同会社</x:v>
      </x:c>
      <x:c r="B135" s="7" t="str">
        <x:v>E1064</x:v>
      </x:c>
      <x:c r="C135" s="7" t="str">
        <x:v>カテゴリー付与（一次整理）</x:v>
      </x:c>
      <x:c r="D135" s="7" t="str">
        <x:v>原典の該当記述に基づく一次分類。個別製品の方式・年度差分の精査とは区別。</x:v>
      </x:c>
      <x:c r="E135" s="7" t="str">
        <x:v>AC082</x:v>
      </x:c>
      <x:c r="F135" s="7" t="str">
        <x:v>https://www.jimtof.org/search/jp/ESdetails?e=L43LSAjxuyc</x:v>
      </x:c>
      <x:c r="G135" s="7" t="str">
        <x:v>EXH-2026-3f24aaee60d77db1</x:v>
      </x:c>
      <x:c r="H135" s="7" t="str">
        <x:v>thirdwavesystemsjapan合同会社</x:v>
      </x:c>
    </x:row>
    <x:row r="136" ht="65" customHeight="1">
      <x:c r="A136" s="7" t="str">
        <x:v>埼玉精機株式会社</x:v>
      </x:c>
      <x:c r="B136" s="7" t="str">
        <x:v>W1002</x:v>
      </x:c>
      <x:c r="C136" s="7" t="str">
        <x:v>カテゴリー付与（周辺要素）</x:v>
      </x:c>
      <x:c r="D136" s="7" t="str">
        <x:v>原典の該当記述に基づく一次分類。個別製品の方式・年度差分の精査とは区別。</x:v>
      </x:c>
      <x:c r="E136" s="7" t="str">
        <x:v>AC083</x:v>
      </x:c>
      <x:c r="F136" s="7" t="str">
        <x:v>https://www.jimtof.org/search/jp/ESdetails?e=eKJZ035sC1A</x:v>
      </x:c>
      <x:c r="G136" s="7" t="str">
        <x:v>EXH-2026-08030dcd82b4b70e</x:v>
      </x:c>
      <x:c r="H136" s="7" t="str">
        <x:v>埼玉精機株式会社</x:v>
      </x:c>
    </x:row>
    <x:row r="137" ht="65" customHeight="1">
      <x:c r="A137" s="7" t="str">
        <x:v>株式会社サイダ・UMS</x:v>
      </x:c>
      <x:c r="B137" s="7" t="str">
        <x:v>E2003</x:v>
      </x:c>
      <x:c r="C137" s="7" t="str">
        <x:v>対象外（語の一致・用途等）</x:v>
      </x:c>
      <x:c r="D137" s="7" t="str">
        <x:v>汎用旋盤の条件調整・教育用途。最適化の語だけでAI等に分類しない。</x:v>
      </x:c>
      <x:c r="E137" s="7" t="str"/>
      <x:c r="F137" s="7" t="str">
        <x:v>https://www.jimtof.org/search/jp/ESdetails?e=FVMAfUat0Tc</x:v>
      </x:c>
      <x:c r="G137" s="7" t="str">
        <x:v>EXH-2026-a77435681a096374</x:v>
      </x:c>
      <x:c r="H137" s="7" t="str">
        <x:v>株式会社サイダ・ums</x:v>
      </x:c>
    </x:row>
    <x:row r="138" ht="65" customHeight="1">
      <x:c r="A138" s="7" t="str">
        <x:v>株式会社サイバーRC</x:v>
      </x:c>
      <x:c r="B138" s="7" t="str">
        <x:v>E7074</x:v>
      </x:c>
      <x:c r="C138" s="7" t="str">
        <x:v>カテゴリー付与（一次整理）</x:v>
      </x:c>
      <x:c r="D138" s="7" t="str">
        <x:v>原典の該当記述に基づく一次分類。個別製品の方式・年度差分の精査とは区別。</x:v>
      </x:c>
      <x:c r="E138" s="7" t="str">
        <x:v>AC085</x:v>
      </x:c>
      <x:c r="F138" s="7" t="str">
        <x:v>https://www.jimtof.org/search/jp/ESdetails?e=8ealehgmk8o</x:v>
      </x:c>
      <x:c r="G138" s="7" t="str">
        <x:v>EXH-2026-a0cbad27ea34d7c4</x:v>
      </x:c>
      <x:c r="H138" s="7" t="str">
        <x:v>株式会社サイバーrc</x:v>
      </x:c>
    </x:row>
    <x:row r="139" ht="65" customHeight="1">
      <x:c r="A139" s="7" t="str">
        <x:v>株式会社桜井製作所</x:v>
      </x:c>
      <x:c r="B139" s="7" t="str">
        <x:v>E2005</x:v>
      </x:c>
      <x:c r="C139" s="7" t="str">
        <x:v>カテゴリー付与（一次整理）</x:v>
      </x:c>
      <x:c r="D139" s="7" t="str">
        <x:v>原典の該当記述に基づく一次分類。個別製品の方式・年度差分の精査とは区別。</x:v>
      </x:c>
      <x:c r="E139" s="7" t="str">
        <x:v>AC086</x:v>
      </x:c>
      <x:c r="F139" s="7" t="str">
        <x:v>https://www.jimtof.org/search/jp/ESdetails?e=vrzq9i_9GIk</x:v>
      </x:c>
      <x:c r="G139" s="7" t="str">
        <x:v>EXH-2026-84b51f9f321194ba</x:v>
      </x:c>
      <x:c r="H139" s="7" t="str">
        <x:v>株式会社桜井製作所</x:v>
      </x:c>
    </x:row>
    <x:row r="140" ht="65" customHeight="1">
      <x:c r="A140" s="7" t="str">
        <x:v>三旺株式会社</x:v>
      </x:c>
      <x:c r="B140" s="7" t="str">
        <x:v>WA022</x:v>
      </x:c>
      <x:c r="C140" s="7" t="str">
        <x:v>対象外（語の一致・用途等）</x:v>
      </x:c>
      <x:c r="D140" s="7" t="str">
        <x:v>AIロボット等はベアリングの供給先分野。AI作業の展示ではない。</x:v>
      </x:c>
      <x:c r="E140" s="7" t="str"/>
      <x:c r="F140" s="7" t="str">
        <x:v>https://www.jimtof.org/search/jp/ESdetails?e=i91hxA4q8KY</x:v>
      </x:c>
      <x:c r="G140" s="7" t="str">
        <x:v>EXH-2026-9f34e4dab6479e5b</x:v>
      </x:c>
      <x:c r="H140" s="7" t="str">
        <x:v>三旺株式会社</x:v>
      </x:c>
    </x:row>
    <x:row r="141" ht="65" customHeight="1">
      <x:c r="A141" s="7" t="str">
        <x:v>サンゲン株式会社</x:v>
      </x:c>
      <x:c r="B141" s="7" t="str">
        <x:v>S4032</x:v>
      </x:c>
      <x:c r="C141" s="7" t="str">
        <x:v>カテゴリー付与（一次整理）</x:v>
      </x:c>
      <x:c r="D141" s="7" t="str">
        <x:v>原典の該当記述に基づく一次分類。個別製品の方式・年度差分の精査とは区別。</x:v>
      </x:c>
      <x:c r="E141" s="7" t="str">
        <x:v>AC088</x:v>
      </x:c>
      <x:c r="F141" s="7" t="str">
        <x:v>https://www.jimtof.org/search/jp/ESdetails?e=I2fW30uvRgk</x:v>
      </x:c>
      <x:c r="G141" s="7" t="str">
        <x:v>EXH-2026-5c08ccfcdfa12bac</x:v>
      </x:c>
      <x:c r="H141" s="7" t="str">
        <x:v>サンゲン株式会社</x:v>
      </x:c>
    </x:row>
    <x:row r="142" ht="65" customHeight="1">
      <x:c r="A142" s="7" t="str">
        <x:v>株式会社サンシン</x:v>
      </x:c>
      <x:c r="B142" s="7" t="str">
        <x:v>E7041</x:v>
      </x:c>
      <x:c r="C142" s="7" t="str">
        <x:v>カテゴリー付与（一次整理）</x:v>
      </x:c>
      <x:c r="D142" s="7" t="str">
        <x:v>原典の該当記述に基づく一次分類。個別製品の方式・年度差分の精査とは区別。</x:v>
      </x:c>
      <x:c r="E142" s="7" t="str">
        <x:v>AC089</x:v>
      </x:c>
      <x:c r="F142" s="7" t="str">
        <x:v>https://www.jimtof.org/search/jp/ESdetails?e=ooNmKjSJlIc</x:v>
      </x:c>
      <x:c r="G142" s="7" t="str">
        <x:v>EXH-2026-510e9c3efc641c9f</x:v>
      </x:c>
      <x:c r="H142" s="7" t="str">
        <x:v>株式会社サンシン</x:v>
      </x:c>
    </x:row>
    <x:row r="143" ht="65" customHeight="1">
      <x:c r="A143" s="7" t="str">
        <x:v>株式会社SANMATSU</x:v>
      </x:c>
      <x:c r="B143" s="7" t="str">
        <x:v>S3102</x:v>
      </x:c>
      <x:c r="C143" s="7" t="str">
        <x:v>カテゴリー付与（一次整理）</x:v>
      </x:c>
      <x:c r="D143" s="7" t="str">
        <x:v>原典の該当記述に基づく一次分類。個別製品の方式・年度差分の精査とは区別。</x:v>
      </x:c>
      <x:c r="E143" s="7" t="str">
        <x:v>AC090</x:v>
      </x:c>
      <x:c r="F143" s="7" t="str">
        <x:v>https://www.jimtof.org/search/jp/ESdetails?e=ox2LGS2B2t4</x:v>
      </x:c>
      <x:c r="G143" s="7" t="str">
        <x:v>EXH-2026-b00bbfd6ce23a97e</x:v>
      </x:c>
      <x:c r="H143" s="7" t="str">
        <x:v>株式会社sanmatsu</x:v>
      </x:c>
    </x:row>
    <x:row r="144" ht="65" customHeight="1">
      <x:c r="A144" s="7" t="str">
        <x:v>山陽マシン株式会社</x:v>
      </x:c>
      <x:c r="B144" s="7" t="str">
        <x:v>S1072</x:v>
      </x:c>
      <x:c r="C144" s="7" t="str">
        <x:v>カテゴリー付与（一次整理）</x:v>
      </x:c>
      <x:c r="D144" s="7" t="str">
        <x:v>原典の該当記述に基づく一次分類。個別製品の方式・年度差分の精査とは区別。</x:v>
      </x:c>
      <x:c r="E144" s="7" t="str">
        <x:v>AC091</x:v>
      </x:c>
      <x:c r="F144" s="7" t="str">
        <x:v>https://www.jimtof.org/search/jp/ESdetails?e=mnvwVRInyM8</x:v>
      </x:c>
      <x:c r="G144" s="7" t="str">
        <x:v>EXH-2026-98823a900a697909</x:v>
      </x:c>
      <x:c r="H144" s="7" t="str">
        <x:v>山陽マシン株式会社</x:v>
      </x:c>
    </x:row>
    <x:row r="145" ht="65" customHeight="1">
      <x:c r="A145" s="7" t="str">
        <x:v>株式会社三輪鉱油</x:v>
      </x:c>
      <x:c r="B145" s="7" t="str">
        <x:v>S1039</x:v>
      </x:c>
      <x:c r="C145" s="7" t="str">
        <x:v>対象外（語の一致・用途等）</x:v>
      </x:c>
      <x:c r="D145" s="7" t="str">
        <x:v>CAMはカム式自動旋盤の型番。CAD/CAMの展示ではない。</x:v>
      </x:c>
      <x:c r="E145" s="7" t="str"/>
      <x:c r="F145" s="7" t="str">
        <x:v>https://www.jimtof.org/search/jp/ESdetails?e=DWItcWihgDk</x:v>
      </x:c>
      <x:c r="G145" s="7" t="str">
        <x:v>EXH-2026-e0d6414196392d46</x:v>
      </x:c>
      <x:c r="H145" s="7" t="str">
        <x:v>株式会社三輪鉱油</x:v>
      </x:c>
    </x:row>
    <x:row r="146" ht="65" customHeight="1">
      <x:c r="A146" s="7" t="str">
        <x:v>サンワ産業株式会社</x:v>
      </x:c>
      <x:c r="B146" s="7" t="str">
        <x:v>W3100</x:v>
      </x:c>
      <x:c r="C146" s="7" t="str">
        <x:v>カテゴリー付与（一次整理）</x:v>
      </x:c>
      <x:c r="D146" s="7" t="str">
        <x:v>原典の該当記述に基づく一次分類。個別製品の方式・年度差分の精査とは区別。</x:v>
      </x:c>
      <x:c r="E146" s="7" t="str">
        <x:v>AC093</x:v>
      </x:c>
      <x:c r="F146" s="7" t="str">
        <x:v>https://www.jimtof.org/search/jp/ESdetails?e=KqvVyzLYaL0</x:v>
      </x:c>
      <x:c r="G146" s="7" t="str">
        <x:v>EXH-2026-888a1f50fa3f30c8</x:v>
      </x:c>
      <x:c r="H146" s="7" t="str">
        <x:v>サンワ産業株式会社</x:v>
      </x:c>
    </x:row>
    <x:row r="147" ht="65" customHeight="1">
      <x:c r="A147" s="7" t="str">
        <x:v>三和ロボティクス株式会社</x:v>
      </x:c>
      <x:c r="B147" s="7" t="str">
        <x:v>E7069</x:v>
      </x:c>
      <x:c r="C147" s="7" t="str">
        <x:v>カテゴリー付与（一次整理）</x:v>
      </x:c>
      <x:c r="D147" s="7" t="str">
        <x:v>原典の該当記述に基づく一次分類。個別製品の方式・年度差分の精査とは区別。</x:v>
      </x:c>
      <x:c r="E147" s="7" t="str">
        <x:v>AC094</x:v>
      </x:c>
      <x:c r="F147" s="7" t="str">
        <x:v>https://www.jimtof.org/search/jp/ESdetails?e=SnqZSY1MFMk</x:v>
      </x:c>
      <x:c r="G147" s="7" t="str">
        <x:v>EXH-2026-26cebfacb64ec6c3</x:v>
      </x:c>
      <x:c r="H147" s="7" t="str">
        <x:v>三和ロボティクス株式会社</x:v>
      </x:c>
    </x:row>
    <x:row r="148" ht="65" customHeight="1">
      <x:c r="A148" s="7" t="str">
        <x:v>株式会社C＆Gシステムズ</x:v>
      </x:c>
      <x:c r="B148" s="7" t="str">
        <x:v>E2008</x:v>
      </x:c>
      <x:c r="C148" s="7" t="str">
        <x:v>カテゴリー付与（一次整理）</x:v>
      </x:c>
      <x:c r="D148" s="7" t="str">
        <x:v>原典の該当記述に基づく一次分類。個別製品の方式・年度差分の精査とは区別。</x:v>
      </x:c>
      <x:c r="E148" s="7" t="str">
        <x:v>AC095</x:v>
      </x:c>
      <x:c r="F148" s="7" t="str">
        <x:v>https://www.jimtof.org/search/jp/ESdetails?e=U_kHbhLD6rU</x:v>
      </x:c>
      <x:c r="G148" s="7" t="str">
        <x:v>EXH-2026-8d7ad5c62f3412a9</x:v>
      </x:c>
      <x:c r="H148" s="7" t="str">
        <x:v>株式会社c&amp;gシステムズ</x:v>
      </x:c>
    </x:row>
    <x:row r="149" ht="65" customHeight="1">
      <x:c r="A149" s="7" t="str">
        <x:v>株式会社シーケービー</x:v>
      </x:c>
      <x:c r="B149" s="7" t="str">
        <x:v>E2035</x:v>
      </x:c>
      <x:c r="C149" s="7" t="str">
        <x:v>カテゴリー付与（一次整理）</x:v>
      </x:c>
      <x:c r="D149" s="7" t="str">
        <x:v>原典の該当記述に基づく一次分類。個別製品の方式・年度差分の精査とは区別。</x:v>
      </x:c>
      <x:c r="E149" s="7" t="str">
        <x:v>AC096</x:v>
      </x:c>
      <x:c r="F149" s="7" t="str">
        <x:v>https://www.jimtof.org/search/jp/ESdetails?e=-waFBj53SPU</x:v>
      </x:c>
      <x:c r="G149" s="7" t="str">
        <x:v>EXH-2026-22d80dbe4c402896</x:v>
      </x:c>
      <x:c r="H149" s="7" t="str">
        <x:v>株式会社シーケービー</x:v>
      </x:c>
    </x:row>
    <x:row r="150" ht="65" customHeight="1">
      <x:c r="A150" s="7" t="str">
        <x:v>株式会社ジーベックテクノロジー</x:v>
      </x:c>
      <x:c r="B150" s="7" t="str">
        <x:v>WA006</x:v>
      </x:c>
      <x:c r="C150" s="7" t="str">
        <x:v>カテゴリー付与（一次整理）</x:v>
      </x:c>
      <x:c r="D150" s="7" t="str">
        <x:v>原典の該当記述に基づく一次分類。個別製品の方式・年度差分の精査とは区別。</x:v>
      </x:c>
      <x:c r="E150" s="7" t="str">
        <x:v>AC097</x:v>
      </x:c>
      <x:c r="F150" s="7" t="str">
        <x:v>https://www.jimtof.org/search/jp/ESdetails?e=jbu03Ik4s00</x:v>
      </x:c>
      <x:c r="G150" s="7" t="str">
        <x:v>EXH-2026-ba283a239e52d644</x:v>
      </x:c>
      <x:c r="H150" s="7" t="str">
        <x:v>株式会社ジーベックテクノロジー</x:v>
      </x:c>
    </x:row>
    <x:row r="151" ht="65" customHeight="1">
      <x:c r="A151" s="7" t="str">
        <x:v>シーメンス株式会社</x:v>
      </x:c>
      <x:c r="B151" s="7" t="str">
        <x:v>E3006</x:v>
      </x:c>
      <x:c r="C151" s="7" t="str">
        <x:v>カテゴリー付与（一次整理）</x:v>
      </x:c>
      <x:c r="D151" s="7" t="str">
        <x:v>原典の該当記述に基づく一次分類。個別製品の方式・年度差分の精査とは区別。</x:v>
      </x:c>
      <x:c r="E151" s="7" t="str">
        <x:v>AC098</x:v>
      </x:c>
      <x:c r="F151" s="7" t="str">
        <x:v>https://www.jimtof.org/search/jp/ESdetails?e=EBIotJu7lrg</x:v>
      </x:c>
      <x:c r="G151" s="7" t="str">
        <x:v>EXH-2026-9b991dd8132f51dc</x:v>
      </x:c>
      <x:c r="H151" s="7" t="str">
        <x:v>シーメンス株式会社</x:v>
      </x:c>
    </x:row>
    <x:row r="152" ht="65" customHeight="1">
      <x:c r="A152" s="7" t="str">
        <x:v>JFEエンジニアリング株式会社</x:v>
      </x:c>
      <x:c r="B152" s="7" t="str">
        <x:v>W4102</x:v>
      </x:c>
      <x:c r="C152" s="7" t="str">
        <x:v>カテゴリー付与（一次整理）</x:v>
      </x:c>
      <x:c r="D152" s="7" t="str">
        <x:v>原典の該当記述に基づく一次分類。個別製品の方式・年度差分の精査とは区別。</x:v>
      </x:c>
      <x:c r="E152" s="7" t="str">
        <x:v>AC099</x:v>
      </x:c>
      <x:c r="F152" s="7" t="str">
        <x:v>https://www.jimtof.org/search/jp/ESdetails?e=3fQN8AhQ2X0</x:v>
      </x:c>
      <x:c r="G152" s="7" t="str">
        <x:v>EXH-2026-64caad79f2ec2e09</x:v>
      </x:c>
      <x:c r="H152" s="7" t="str">
        <x:v>jfeエンジニアリング株式会社</x:v>
      </x:c>
    </x:row>
    <x:row r="153" ht="65" customHeight="1">
      <x:c r="A153" s="7" t="str">
        <x:v>株式会社ジェイテクト</x:v>
      </x:c>
      <x:c r="B153" s="7" t="str">
        <x:v>E8003</x:v>
      </x:c>
      <x:c r="C153" s="7" t="str">
        <x:v>カテゴリー付与（一次整理）</x:v>
      </x:c>
      <x:c r="D153" s="7" t="str">
        <x:v>原典の該当記述に基づく一次分類。個別製品の方式・年度差分の精査とは区別。</x:v>
      </x:c>
      <x:c r="E153" s="7" t="str">
        <x:v>AC100</x:v>
      </x:c>
      <x:c r="F153" s="7" t="str">
        <x:v>https://www.jimtof.org/search/jp/ESdetails?e=cW9RNSMEfso</x:v>
      </x:c>
      <x:c r="G153" s="7" t="str">
        <x:v>EXH-2026-18d08a3e4d8ab906</x:v>
      </x:c>
      <x:c r="H153" s="7" t="str">
        <x:v>株式会社ジェイテクト</x:v>
      </x:c>
    </x:row>
    <x:row r="154" ht="65" customHeight="1">
      <x:c r="A154" s="7" t="str">
        <x:v>株式会社シギヤ精機製作所</x:v>
      </x:c>
      <x:c r="B154" s="7" t="str">
        <x:v>E7094</x:v>
      </x:c>
      <x:c r="C154" s="7" t="str">
        <x:v>カテゴリー付与（一次整理）</x:v>
      </x:c>
      <x:c r="D154" s="7" t="str">
        <x:v>原典の該当記述に基づく一次分類。個別製品の方式・年度差分の精査とは区別。</x:v>
      </x:c>
      <x:c r="E154" s="7" t="str">
        <x:v>AC101</x:v>
      </x:c>
      <x:c r="F154" s="7" t="str">
        <x:v>https://www.jimtof.org/search/jp/ESdetails?e=7L3V3jg3cYg</x:v>
      </x:c>
      <x:c r="G154" s="7" t="str">
        <x:v>EXH-2026-ec6cc41bae704f0d</x:v>
      </x:c>
      <x:c r="H154" s="7" t="str">
        <x:v>株式会社シギヤ精機製作所</x:v>
      </x:c>
    </x:row>
    <x:row r="155" ht="65" customHeight="1">
      <x:c r="A155" s="7" t="str">
        <x:v>シチズンマシナリー株式会社</x:v>
      </x:c>
      <x:c r="B155" s="7" t="str">
        <x:v>S2002</x:v>
      </x:c>
      <x:c r="C155" s="7" t="str">
        <x:v>カテゴリー付与（一次整理）</x:v>
      </x:c>
      <x:c r="D155" s="7" t="str">
        <x:v>原典の該当記述に基づく一次分類。個別製品の方式・年度差分の精査とは区別。</x:v>
      </x:c>
      <x:c r="E155" s="7" t="str">
        <x:v>AC102</x:v>
      </x:c>
      <x:c r="F155" s="7" t="str">
        <x:v>https://www.jimtof.org/search/jp/ESdetails?e=sqCigr-Fu70</x:v>
      </x:c>
      <x:c r="G155" s="7" t="str">
        <x:v>EXH-2026-02147c6f37a0a824</x:v>
      </x:c>
      <x:c r="H155" s="7" t="str">
        <x:v>シチズンマシナリー株式会社</x:v>
      </x:c>
    </x:row>
    <x:row r="156" ht="65" customHeight="1">
      <x:c r="A156" s="7" t="str">
        <x:v>芝浦機械株式会社</x:v>
      </x:c>
      <x:c r="B156" s="7" t="str">
        <x:v>E2031</x:v>
      </x:c>
      <x:c r="C156" s="7" t="str">
        <x:v>カテゴリー付与（一次整理）</x:v>
      </x:c>
      <x:c r="D156" s="7" t="str">
        <x:v>原典の該当記述に基づく一次分類。個別製品の方式・年度差分の精査とは区別。</x:v>
      </x:c>
      <x:c r="E156" s="7" t="str">
        <x:v>AC103</x:v>
      </x:c>
      <x:c r="F156" s="7" t="str">
        <x:v>https://www.jimtof.org/search/jp/ESdetails?e=-bHzD_rkD3E</x:v>
      </x:c>
      <x:c r="G156" s="7" t="str">
        <x:v>EXH-2026-2d71c6ed52b9c1a3</x:v>
      </x:c>
      <x:c r="H156" s="7" t="str">
        <x:v>芝浦機械株式会社</x:v>
      </x:c>
    </x:row>
    <x:row r="157" ht="65" customHeight="1">
      <x:c r="A157" s="7" t="str">
        <x:v>CIMSOURCE Japan株式会社</x:v>
      </x:c>
      <x:c r="B157" s="7" t="str">
        <x:v>W1085</x:v>
      </x:c>
      <x:c r="C157" s="7" t="str">
        <x:v>カテゴリー付与（一次整理）</x:v>
      </x:c>
      <x:c r="D157" s="7" t="str">
        <x:v>原典の該当記述に基づく一次分類。個別製品の方式・年度差分の精査とは区別。</x:v>
      </x:c>
      <x:c r="E157" s="7" t="str">
        <x:v>AC104</x:v>
      </x:c>
      <x:c r="F157" s="7" t="str">
        <x:v>https://www.jimtof.org/search/jp/ESdetails?e=qRD_BxF9DJo</x:v>
      </x:c>
      <x:c r="G157" s="7" t="str">
        <x:v>EXH-2026-01e20e87bdb59892</x:v>
      </x:c>
      <x:c r="H157" s="7" t="str">
        <x:v>cimsourcejapan株式会社</x:v>
      </x:c>
    </x:row>
    <x:row r="158" ht="65" customHeight="1">
      <x:c r="A158" s="7" t="str">
        <x:v>シュンク・ジャパン株式会社</x:v>
      </x:c>
      <x:c r="B158" s="7" t="str">
        <x:v>S2024</x:v>
      </x:c>
      <x:c r="C158" s="7" t="str">
        <x:v>カテゴリー付与（周辺要素）</x:v>
      </x:c>
      <x:c r="D158" s="7" t="str">
        <x:v>原典の該当記述に基づく一次分類。個別製品の方式・年度差分の精査とは区別。</x:v>
      </x:c>
      <x:c r="E158" s="7" t="str">
        <x:v>AC105</x:v>
      </x:c>
      <x:c r="F158" s="7" t="str">
        <x:v>https://www.jimtof.org/search/jp/ESdetails?e=2D3NykNxU4o</x:v>
      </x:c>
      <x:c r="G158" s="7" t="str">
        <x:v>EXH-2026-a1b1c81b9862bd22</x:v>
      </x:c>
      <x:c r="H158" s="7" t="str">
        <x:v>シュンク・ジャパン株式会社</x:v>
      </x:c>
    </x:row>
    <x:row r="159" ht="65" customHeight="1">
      <x:c r="A159" s="7" t="str">
        <x:v>SHODA株式会社</x:v>
      </x:c>
      <x:c r="B159" s="7" t="str">
        <x:v>S1070</x:v>
      </x:c>
      <x:c r="C159" s="7" t="str">
        <x:v>カテゴリー付与（一次整理）</x:v>
      </x:c>
      <x:c r="D159" s="7" t="str">
        <x:v>原典の該当記述に基づく一次分類。個別製品の方式・年度差分の精査とは区別。</x:v>
      </x:c>
      <x:c r="E159" s="7" t="str">
        <x:v>AC106</x:v>
      </x:c>
      <x:c r="F159" s="7" t="str">
        <x:v>https://www.jimtof.org/search/jp/ESdetails?e=BeXt5Rn6DGg</x:v>
      </x:c>
      <x:c r="G159" s="7" t="str">
        <x:v>EXH-2026-96430d6788c41c87</x:v>
      </x:c>
      <x:c r="H159" s="7" t="str">
        <x:v>shoda株式会社</x:v>
      </x:c>
    </x:row>
    <x:row r="160" ht="65" customHeight="1">
      <x:c r="A160" s="7" t="str">
        <x:v>株式会社松楽産業</x:v>
      </x:c>
      <x:c r="B160" s="7" t="str">
        <x:v>S3105</x:v>
      </x:c>
      <x:c r="C160" s="7" t="str">
        <x:v>カテゴリー付与（一次整理）</x:v>
      </x:c>
      <x:c r="D160" s="7" t="str">
        <x:v>原典の該当記述に基づく一次分類。個別製品の方式・年度差分の精査とは区別。</x:v>
      </x:c>
      <x:c r="E160" s="7" t="str">
        <x:v>AC107</x:v>
      </x:c>
      <x:c r="F160" s="7" t="str">
        <x:v>https://www.jimtof.org/search/jp/ESdetails?e=L-V39ptNjvw</x:v>
      </x:c>
      <x:c r="G160" s="7" t="str">
        <x:v>EXH-2026-652d399463a4c9e2</x:v>
      </x:c>
      <x:c r="H160" s="7" t="str">
        <x:v>株式会社松楽産業</x:v>
      </x:c>
    </x:row>
    <x:row r="161" ht="65" customHeight="1">
      <x:c r="A161" s="7" t="str">
        <x:v>進桜電機株式会社</x:v>
      </x:c>
      <x:c r="B161" s="7" t="str">
        <x:v>S3049</x:v>
      </x:c>
      <x:c r="C161" s="7" t="str">
        <x:v>カテゴリー付与（周辺要素）</x:v>
      </x:c>
      <x:c r="D161" s="7" t="str">
        <x:v>原典の該当記述に基づく一次分類。個別製品の方式・年度差分の精査とは区別。</x:v>
      </x:c>
      <x:c r="E161" s="7" t="str">
        <x:v>AC108</x:v>
      </x:c>
      <x:c r="F161" s="7" t="str">
        <x:v>https://www.jimtof.org/search/jp/ESdetails?e=8aXnlzFtkVQ</x:v>
      </x:c>
      <x:c r="G161" s="7" t="str">
        <x:v>EXH-2026-90247bcf7f6d80c5</x:v>
      </x:c>
      <x:c r="H161" s="7" t="str">
        <x:v>進桜電機株式会社</x:v>
      </x:c>
    </x:row>
    <x:row r="162" ht="65" customHeight="1">
      <x:c r="A162" s="7" t="str">
        <x:v>シンクビジョン株式会社</x:v>
      </x:c>
      <x:c r="B162" s="7" t="str">
        <x:v>S3022</x:v>
      </x:c>
      <x:c r="C162" s="7" t="str">
        <x:v>カテゴリー付与（一次整理）</x:v>
      </x:c>
      <x:c r="D162" s="7" t="str">
        <x:v>原典の該当記述に基づく一次分類。個別製品の方式・年度差分の精査とは区別。</x:v>
      </x:c>
      <x:c r="E162" s="7" t="str">
        <x:v>AC109</x:v>
      </x:c>
      <x:c r="F162" s="7" t="str">
        <x:v>https://www.jimtof.org/search/jp/ESdetails?e=WPabQbHCkho</x:v>
      </x:c>
      <x:c r="G162" s="7" t="str">
        <x:v>EXH-2026-618e70ffccfa3638</x:v>
      </x:c>
      <x:c r="H162" s="7" t="str">
        <x:v>シンクビジョン株式会社</x:v>
      </x:c>
    </x:row>
    <x:row r="163" ht="65" customHeight="1">
      <x:c r="A163" s="7" t="str">
        <x:v>新日本工機株式会社</x:v>
      </x:c>
      <x:c r="B163" s="7" t="str">
        <x:v>E3001</x:v>
      </x:c>
      <x:c r="C163" s="7" t="str">
        <x:v>カテゴリー付与（一次整理）</x:v>
      </x:c>
      <x:c r="D163" s="7" t="str">
        <x:v>原典の該当記述に基づく一次分類。個別製品の方式・年度差分の精査とは区別。</x:v>
      </x:c>
      <x:c r="E163" s="7" t="str">
        <x:v>AC110</x:v>
      </x:c>
      <x:c r="F163" s="7" t="str">
        <x:v>https://www.jimtof.org/search/jp/ESdetails?e=RD73EqDannI</x:v>
      </x:c>
      <x:c r="G163" s="7" t="str">
        <x:v>EXH-2026-f1ea599a0042bc55</x:v>
      </x:c>
      <x:c r="H163" s="7" t="str">
        <x:v>新日本工機株式会社</x:v>
      </x:c>
    </x:row>
    <x:row r="164" ht="65" customHeight="1">
      <x:c r="A164" s="7" t="str">
        <x:v>シンプルテック株式会社</x:v>
      </x:c>
      <x:c r="B164" s="7" t="str">
        <x:v>E2022</x:v>
      </x:c>
      <x:c r="C164" s="7" t="str">
        <x:v>カテゴリー付与（一次整理）</x:v>
      </x:c>
      <x:c r="D164" s="7" t="str">
        <x:v>原典の該当記述に基づく一次分類。個別製品の方式・年度差分の精査とは区別。</x:v>
      </x:c>
      <x:c r="E164" s="7" t="str">
        <x:v>AC111</x:v>
      </x:c>
      <x:c r="F164" s="7" t="str">
        <x:v>https://www.jimtof.org/search/jp/ESdetails?e=ERhED8Spe2Q</x:v>
      </x:c>
      <x:c r="G164" s="7" t="str">
        <x:v>EXH-2026-7bf0d464b165a8be</x:v>
      </x:c>
      <x:c r="H164" s="7" t="str">
        <x:v>シンプルテック株式会社</x:v>
      </x:c>
    </x:row>
    <x:row r="165" ht="65" customHeight="1">
      <x:c r="A165" s="7" t="str">
        <x:v>スター精密株式会社</x:v>
      </x:c>
      <x:c r="B165" s="7" t="str">
        <x:v>S1003</x:v>
      </x:c>
      <x:c r="C165" s="7" t="str">
        <x:v>カテゴリー付与（一次整理）</x:v>
      </x:c>
      <x:c r="D165" s="7" t="str">
        <x:v>原典の該当記述に基づく一次分類。個別製品の方式・年度差分の精査とは区別。</x:v>
      </x:c>
      <x:c r="E165" s="7" t="str">
        <x:v>AC112</x:v>
      </x:c>
      <x:c r="F165" s="7" t="str">
        <x:v>https://www.jimtof.org/search/jp/ESdetails?e=uGFHKigy2ag</x:v>
      </x:c>
      <x:c r="G165" s="7" t="str">
        <x:v>EXH-2026-0a5e5a2628606f5f</x:v>
      </x:c>
      <x:c r="H165" s="7" t="str">
        <x:v>スター精密株式会社</x:v>
      </x:c>
    </x:row>
    <x:row r="166" ht="65" customHeight="1">
      <x:c r="A166" s="7" t="str">
        <x:v>住友精密工業株式会社</x:v>
      </x:c>
      <x:c r="B166" s="7" t="str">
        <x:v>E2021</x:v>
      </x:c>
      <x:c r="C166" s="7" t="str">
        <x:v>カテゴリー付与（周辺要素）</x:v>
      </x:c>
      <x:c r="D166" s="7" t="str">
        <x:v>原典の該当記述に基づく一次分類。個別製品の方式・年度差分の精査とは区別。</x:v>
      </x:c>
      <x:c r="E166" s="7" t="str">
        <x:v>AC113</x:v>
      </x:c>
      <x:c r="F166" s="7" t="str">
        <x:v>https://www.jimtof.org/search/jp/ESdetails?e=RUfUkmbjQf0</x:v>
      </x:c>
      <x:c r="G166" s="7" t="str">
        <x:v>EXH-2026-a155e7aeaf9b66f3</x:v>
      </x:c>
      <x:c r="H166" s="7" t="str">
        <x:v>住友精密工業株式会社</x:v>
      </x:c>
    </x:row>
    <x:row r="167" ht="65" customHeight="1">
      <x:c r="A167" s="7" t="str">
        <x:v>セイコーインスツル株式会社</x:v>
      </x:c>
      <x:c r="B167" s="7" t="str">
        <x:v>E7078</x:v>
      </x:c>
      <x:c r="C167" s="7" t="str">
        <x:v>カテゴリー付与（一次整理）</x:v>
      </x:c>
      <x:c r="D167" s="7" t="str">
        <x:v>原典の該当記述に基づく一次分類。個別製品の方式・年度差分の精査とは区別。</x:v>
      </x:c>
      <x:c r="E167" s="7" t="str">
        <x:v>AC114</x:v>
      </x:c>
      <x:c r="F167" s="7" t="str">
        <x:v>https://www.jimtof.org/search/jp/ESdetails?e=rlHRPwmg5sk</x:v>
      </x:c>
      <x:c r="G167" s="7" t="str">
        <x:v>EXH-2026-a0fa658c78f270cd</x:v>
      </x:c>
      <x:c r="H167" s="7" t="str">
        <x:v>セイコーインスツル株式会社</x:v>
      </x:c>
    </x:row>
    <x:row r="168" ht="65" customHeight="1">
      <x:c r="A168" s="7" t="str">
        <x:v>西部商工株式会社</x:v>
      </x:c>
      <x:c r="B168" s="7" t="str">
        <x:v>S3020</x:v>
      </x:c>
      <x:c r="C168" s="7" t="str">
        <x:v>カテゴリー付与（一次整理）</x:v>
      </x:c>
      <x:c r="D168" s="7" t="str">
        <x:v>原典の該当記述に基づく一次分類。個別製品の方式・年度差分の精査とは区別。</x:v>
      </x:c>
      <x:c r="E168" s="7" t="str">
        <x:v>AC115</x:v>
      </x:c>
      <x:c r="F168" s="7" t="str">
        <x:v>https://www.jimtof.org/search/jp/ESdetails?e=OC6R-wdDduM</x:v>
      </x:c>
      <x:c r="G168" s="7" t="str">
        <x:v>EXH-2026-107042c6cf64ba96</x:v>
      </x:c>
      <x:c r="H168" s="7" t="str">
        <x:v>西部商工株式会社</x:v>
      </x:c>
    </x:row>
    <x:row r="169" ht="65" customHeight="1">
      <x:c r="A169" s="7" t="str">
        <x:v>西部電機株式会社</x:v>
      </x:c>
      <x:c r="B169" s="7" t="str">
        <x:v>E2015</x:v>
      </x:c>
      <x:c r="C169" s="7" t="str">
        <x:v>カテゴリー付与（一次整理）</x:v>
      </x:c>
      <x:c r="D169" s="7" t="str">
        <x:v>原典の該当記述に基づく一次分類。個別製品の方式・年度差分の精査とは区別。</x:v>
      </x:c>
      <x:c r="E169" s="7" t="str">
        <x:v>AC116</x:v>
      </x:c>
      <x:c r="F169" s="7" t="str">
        <x:v>https://www.jimtof.org/search/jp/ESdetails?e=LqNWsydMu7s</x:v>
      </x:c>
      <x:c r="G169" s="7" t="str">
        <x:v>EXH-2026-80abc40ff2c32d3f</x:v>
      </x:c>
      <x:c r="H169" s="7" t="str">
        <x:v>西部電機株式会社</x:v>
      </x:c>
    </x:row>
    <x:row r="170" ht="65" customHeight="1">
      <x:c r="A170" s="7" t="str">
        <x:v>株式会社セイロジャパン</x:v>
      </x:c>
      <x:c r="B170" s="7" t="str">
        <x:v>S3010</x:v>
      </x:c>
      <x:c r="C170" s="7" t="str">
        <x:v>カテゴリー付与（一次整理）</x:v>
      </x:c>
      <x:c r="D170" s="7" t="str">
        <x:v>原典の該当記述に基づく一次分類。個別製品の方式・年度差分の精査とは区別。</x:v>
      </x:c>
      <x:c r="E170" s="7" t="str">
        <x:v>AC117</x:v>
      </x:c>
      <x:c r="F170" s="7" t="str">
        <x:v>https://www.jimtof.org/search/jp/ESdetails?e=nz0oSJ7WlKg</x:v>
      </x:c>
      <x:c r="G170" s="7" t="str">
        <x:v>EXH-2026-7c65eb7290ab9d16</x:v>
      </x:c>
      <x:c r="H170" s="7" t="str">
        <x:v>株式会社セイロジャパン</x:v>
      </x:c>
    </x:row>
    <x:row r="171" ht="65" customHeight="1">
      <x:c r="A171" s="7" t="str">
        <x:v>清和ジーテック株式会社</x:v>
      </x:c>
      <x:c r="B171" s="7" t="str">
        <x:v>E3007</x:v>
      </x:c>
      <x:c r="C171" s="7" t="str">
        <x:v>カテゴリー付与（一次整理）</x:v>
      </x:c>
      <x:c r="D171" s="7" t="str">
        <x:v>原典の該当記述に基づく一次分類。個別製品の方式・年度差分の精査とは区別。</x:v>
      </x:c>
      <x:c r="E171" s="7" t="str">
        <x:v>AC118</x:v>
      </x:c>
      <x:c r="F171" s="7" t="str">
        <x:v>https://www.jimtof.org/search/jp/ESdetails?e=UZiobfgROkY</x:v>
      </x:c>
      <x:c r="G171" s="7" t="str">
        <x:v>EXH-2026-1046494d602d0d79</x:v>
      </x:c>
      <x:c r="H171" s="7" t="str">
        <x:v>清和ジーテック株式会社</x:v>
      </x:c>
    </x:row>
    <x:row r="172" ht="65" customHeight="1">
      <x:c r="A172" s="7" t="str">
        <x:v>株式会社ゼネテック</x:v>
      </x:c>
      <x:c r="B172" s="7" t="str">
        <x:v>E2022</x:v>
      </x:c>
      <x:c r="C172" s="7" t="str">
        <x:v>カテゴリー付与（一次整理）</x:v>
      </x:c>
      <x:c r="D172" s="7" t="str">
        <x:v>原典の該当記述に基づく一次分類。個別製品の方式・年度差分の精査とは区別。</x:v>
      </x:c>
      <x:c r="E172" s="7" t="str">
        <x:v>AC119</x:v>
      </x:c>
      <x:c r="F172" s="7" t="str">
        <x:v>https://www.jimtof.org/search/jp/ESdetails?e=BLWqVcnax5s</x:v>
      </x:c>
      <x:c r="G172" s="7" t="str">
        <x:v>EXH-2026-3578da576a0d1e12</x:v>
      </x:c>
      <x:c r="H172" s="7" t="str">
        <x:v>株式会社ゼネテック</x:v>
      </x:c>
    </x:row>
    <x:row r="173" ht="65" customHeight="1">
      <x:c r="A173" s="7" t="str">
        <x:v>先生精機株式会社</x:v>
      </x:c>
      <x:c r="B173" s="7" t="str">
        <x:v>S1033</x:v>
      </x:c>
      <x:c r="C173" s="7" t="str">
        <x:v>カテゴリー付与（一次整理）</x:v>
      </x:c>
      <x:c r="D173" s="7" t="str">
        <x:v>原典の該当記述に基づく一次分類。個別製品の方式・年度差分の精査とは区別。</x:v>
      </x:c>
      <x:c r="E173" s="7" t="str">
        <x:v>AC120</x:v>
      </x:c>
      <x:c r="F173" s="7" t="str">
        <x:v>https://www.jimtof.org/search/jp/ESdetails?e=LbuFdZUa35w</x:v>
      </x:c>
      <x:c r="G173" s="7" t="str">
        <x:v>EXH-2026-c5ea9a742076c7a1</x:v>
      </x:c>
      <x:c r="H173" s="7" t="str">
        <x:v>先生精機株式会社</x:v>
      </x:c>
    </x:row>
    <x:row r="174" ht="65" customHeight="1">
      <x:c r="A174" s="7" t="str">
        <x:v>双日株式会社</x:v>
      </x:c>
      <x:c r="B174" s="7" t="str">
        <x:v>S4027</x:v>
      </x:c>
      <x:c r="C174" s="7" t="str">
        <x:v>カテゴリー付与（一次整理）</x:v>
      </x:c>
      <x:c r="D174" s="7" t="str">
        <x:v>原典の該当記述に基づく一次分類。個別製品の方式・年度差分の精査とは区別。</x:v>
      </x:c>
      <x:c r="E174" s="7" t="str">
        <x:v>AC121</x:v>
      </x:c>
      <x:c r="F174" s="7" t="str">
        <x:v>https://www.jimtof.org/search/jp/ESdetails?e=yEoPl5sH6Sg</x:v>
      </x:c>
      <x:c r="G174" s="7" t="str">
        <x:v>EXH-2026-94536b46ad30e81c</x:v>
      </x:c>
      <x:c r="H174" s="7" t="str">
        <x:v>双日株式会社</x:v>
      </x:c>
    </x:row>
    <x:row r="175" ht="65" customHeight="1">
      <x:c r="A175" s="7" t="str">
        <x:v>双和化成株式会社</x:v>
      </x:c>
      <x:c r="B175" s="7" t="str">
        <x:v>W4050</x:v>
      </x:c>
      <x:c r="C175" s="7" t="str">
        <x:v>カテゴリー付与（周辺要素）</x:v>
      </x:c>
      <x:c r="D175" s="7" t="str">
        <x:v>原典の該当記述に基づく一次分類。個別製品の方式・年度差分の精査とは区別。</x:v>
      </x:c>
      <x:c r="E175" s="7" t="str">
        <x:v>AC122</x:v>
      </x:c>
      <x:c r="F175" s="7" t="str">
        <x:v>https://www.jimtof.org/search/jp/ESdetails?e=aJBm2hnGsqY</x:v>
      </x:c>
      <x:c r="G175" s="7" t="str">
        <x:v>EXH-2026-f4c953df9f4aea17</x:v>
      </x:c>
      <x:c r="H175" s="7" t="str">
        <x:v>双和化成株式会社</x:v>
      </x:c>
    </x:row>
    <x:row r="176" ht="65" customHeight="1">
      <x:c r="A176" s="7" t="str">
        <x:v>株式会社ソディック</x:v>
      </x:c>
      <x:c r="B176" s="7" t="str">
        <x:v>E2017</x:v>
      </x:c>
      <x:c r="C176" s="7" t="str">
        <x:v>カテゴリー付与（一次整理）</x:v>
      </x:c>
      <x:c r="D176" s="7" t="str">
        <x:v>原典の該当記述に基づく一次分類。個別製品の方式・年度差分の精査とは区別。</x:v>
      </x:c>
      <x:c r="E176" s="7" t="str">
        <x:v>AC123</x:v>
      </x:c>
      <x:c r="F176" s="7" t="str">
        <x:v>https://www.jimtof.org/search/jp/ESdetails?e=k6keXdSLQmQ</x:v>
      </x:c>
      <x:c r="G176" s="7" t="str">
        <x:v>EXH-2026-f434da28b26d8f26</x:v>
      </x:c>
      <x:c r="H176" s="7" t="str">
        <x:v>株式会社ソディック</x:v>
      </x:c>
    </x:row>
    <x:row r="177" ht="65" customHeight="1">
      <x:c r="A177" s="7" t="str">
        <x:v>有限会社曽根田工業</x:v>
      </x:c>
      <x:c r="B177" s="7" t="str">
        <x:v>W1050</x:v>
      </x:c>
      <x:c r="C177" s="7" t="str">
        <x:v>カテゴリー付与（一次整理）</x:v>
      </x:c>
      <x:c r="D177" s="7" t="str">
        <x:v>原典の該当記述に基づく一次分類。個別製品の方式・年度差分の精査とは区別。</x:v>
      </x:c>
      <x:c r="E177" s="7" t="str">
        <x:v>AC124</x:v>
      </x:c>
      <x:c r="F177" s="7" t="str">
        <x:v>https://www.jimtof.org/search/jp/ESdetails?e=GmcV3KL5k6M</x:v>
      </x:c>
      <x:c r="G177" s="7" t="str">
        <x:v>EXH-2026-6c09024686b35965</x:v>
      </x:c>
      <x:c r="H177" s="7" t="str">
        <x:v>有限会社曽根田工業</x:v>
      </x:c>
    </x:row>
    <x:row r="178" ht="65" customHeight="1">
      <x:c r="A178" s="7" t="str">
        <x:v>株式会社第一測範製作所</x:v>
      </x:c>
      <x:c r="B178" s="7" t="str">
        <x:v>E7004</x:v>
      </x:c>
      <x:c r="C178" s="7" t="str">
        <x:v>カテゴリー付与（一次整理）</x:v>
      </x:c>
      <x:c r="D178" s="7" t="str">
        <x:v>原典の該当記述に基づく一次分類。個別製品の方式・年度差分の精査とは区別。</x:v>
      </x:c>
      <x:c r="E178" s="7" t="str">
        <x:v>AC125</x:v>
      </x:c>
      <x:c r="F178" s="7" t="str">
        <x:v>https://www.jimtof.org/search/jp/ESdetails?e=RFZbEhJ7OQ4</x:v>
      </x:c>
      <x:c r="G178" s="7" t="str">
        <x:v>EXH-2026-6a2286521c8a84e7</x:v>
      </x:c>
      <x:c r="H178" s="7" t="str">
        <x:v>株式会社第一測範製作所</x:v>
      </x:c>
    </x:row>
    <x:row r="179" ht="65" customHeight="1">
      <x:c r="A179" s="7" t="str">
        <x:v>大同興業株式会社</x:v>
      </x:c>
      <x:c r="B179" s="7" t="str">
        <x:v>S1007</x:v>
      </x:c>
      <x:c r="C179" s="7" t="str">
        <x:v>カテゴリー付与（一次整理）</x:v>
      </x:c>
      <x:c r="D179" s="7" t="str">
        <x:v>原典の該当記述に基づく一次分類。個別製品の方式・年度差分の精査とは区別。</x:v>
      </x:c>
      <x:c r="E179" s="7" t="str">
        <x:v>AC126</x:v>
      </x:c>
      <x:c r="F179" s="7" t="str">
        <x:v>https://www.jimtof.org/search/jp/ESdetails?e=t55m-mwo_zM</x:v>
      </x:c>
      <x:c r="G179" s="7" t="str">
        <x:v>EXH-2026-6ffc5e37fa7b33e5</x:v>
      </x:c>
      <x:c r="H179" s="7" t="str">
        <x:v>大同興業株式会社</x:v>
      </x:c>
    </x:row>
    <x:row r="180" ht="65" customHeight="1">
      <x:c r="A180" s="7" t="str">
        <x:v>ダイナミックツール株式会社</x:v>
      </x:c>
      <x:c r="B180" s="7" t="str">
        <x:v>S2009</x:v>
      </x:c>
      <x:c r="C180" s="7" t="str">
        <x:v>カテゴリー付与（一次整理）</x:v>
      </x:c>
      <x:c r="D180" s="7" t="str">
        <x:v>原典の該当記述に基づく一次分類。個別製品の方式・年度差分の精査とは区別。</x:v>
      </x:c>
      <x:c r="E180" s="7" t="str">
        <x:v>AC127</x:v>
      </x:c>
      <x:c r="F180" s="7" t="str">
        <x:v>https://www.jimtof.org/search/jp/ESdetails?e=wAurYrCTgOs</x:v>
      </x:c>
      <x:c r="G180" s="7" t="str">
        <x:v>EXH-2026-d32daa7543b852bd</x:v>
      </x:c>
      <x:c r="H180" s="7" t="str">
        <x:v>ダイナミックツール株式会社</x:v>
      </x:c>
    </x:row>
    <x:row r="181" ht="65" customHeight="1">
      <x:c r="A181" s="7" t="str">
        <x:v>タイユ株式会社</x:v>
      </x:c>
      <x:c r="B181" s="7" t="str">
        <x:v>S4019</x:v>
      </x:c>
      <x:c r="C181" s="7" t="str">
        <x:v>対象外（語の一致・用途等）</x:v>
      </x:c>
      <x:c r="D181" s="7" t="str">
        <x:v>省人化は切削油剤の訴求。自動化システム・データ機能の説明なし。</x:v>
      </x:c>
      <x:c r="E181" s="7" t="str"/>
      <x:c r="F181" s="7" t="str">
        <x:v>https://www.jimtof.org/search/jp/ESdetails?e=2b4Sfu3P7xA</x:v>
      </x:c>
      <x:c r="G181" s="7" t="str">
        <x:v>EXH-2026-36d601376e0e1b48</x:v>
      </x:c>
      <x:c r="H181" s="7" t="str">
        <x:v>タイユ株式会社</x:v>
      </x:c>
    </x:row>
    <x:row r="182" ht="65" customHeight="1">
      <x:c r="A182" s="7" t="str">
        <x:v>株式会社太陽工機</x:v>
      </x:c>
      <x:c r="B182" s="7" t="str">
        <x:v>E8007</x:v>
      </x:c>
      <x:c r="C182" s="7" t="str">
        <x:v>カテゴリー付与（一次整理）</x:v>
      </x:c>
      <x:c r="D182" s="7" t="str">
        <x:v>原典の該当記述に基づく一次分類。個別製品の方式・年度差分の精査とは区別。</x:v>
      </x:c>
      <x:c r="E182" s="7" t="str">
        <x:v>AC129</x:v>
      </x:c>
      <x:c r="F182" s="7" t="str">
        <x:v>https://www.jimtof.org/search/jp/ESdetails?e=p0lGaSOw5EY</x:v>
      </x:c>
      <x:c r="G182" s="7" t="str">
        <x:v>EXH-2026-68590f09050a3b5c</x:v>
      </x:c>
      <x:c r="H182" s="7" t="str">
        <x:v>株式会社太陽工機</x:v>
      </x:c>
    </x:row>
    <x:row r="183" ht="65" customHeight="1">
      <x:c r="A183" s="7" t="str">
        <x:v>高島産業株式会社</x:v>
      </x:c>
      <x:c r="B183" s="7" t="str">
        <x:v>S1010</x:v>
      </x:c>
      <x:c r="C183" s="7" t="str">
        <x:v>カテゴリー付与（一次整理）</x:v>
      </x:c>
      <x:c r="D183" s="7" t="str">
        <x:v>原典の該当記述に基づく一次分類。個別製品の方式・年度差分の精査とは区別。</x:v>
      </x:c>
      <x:c r="E183" s="7" t="str">
        <x:v>AC130</x:v>
      </x:c>
      <x:c r="F183" s="7" t="str">
        <x:v>https://www.jimtof.org/search/jp/ESdetails?e=CkrmvOrMu0I</x:v>
      </x:c>
      <x:c r="G183" s="7" t="str">
        <x:v>EXH-2026-51b26370956d2831</x:v>
      </x:c>
      <x:c r="H183" s="7" t="str">
        <x:v>高島産業株式会社</x:v>
      </x:c>
    </x:row>
    <x:row r="184" ht="65" customHeight="1">
      <x:c r="A184" s="7" t="str">
        <x:v>タクテックス株式会社</x:v>
      </x:c>
      <x:c r="B184" s="7" t="str">
        <x:v>S1016</x:v>
      </x:c>
      <x:c r="C184" s="7" t="str">
        <x:v>カテゴリー付与（一次整理）</x:v>
      </x:c>
      <x:c r="D184" s="7" t="str">
        <x:v>原典の該当記述に基づく一次分類。個別製品の方式・年度差分の精査とは区別。</x:v>
      </x:c>
      <x:c r="E184" s="7" t="str">
        <x:v>AC131</x:v>
      </x:c>
      <x:c r="F184" s="7" t="str">
        <x:v>https://www.jimtof.org/search/jp/ESdetails?e=2TVzwvOqLxI</x:v>
      </x:c>
      <x:c r="G184" s="7" t="str">
        <x:v>EXH-2026-0436fc7b61f51a8e</x:v>
      </x:c>
      <x:c r="H184" s="7" t="str">
        <x:v>タクテックス株式会社</x:v>
      </x:c>
    </x:row>
    <x:row r="185" ht="65" customHeight="1">
      <x:c r="A185" s="7" t="str">
        <x:v>株式会社タンガロイ</x:v>
      </x:c>
      <x:c r="B185" s="7" t="str">
        <x:v>W1090</x:v>
      </x:c>
      <x:c r="C185" s="7" t="str">
        <x:v>カテゴリー付与（周辺要素）</x:v>
      </x:c>
      <x:c r="D185" s="7" t="str">
        <x:v>原典の該当記述に基づく一次分類。個別製品の方式・年度差分の精査とは区別。</x:v>
      </x:c>
      <x:c r="E185" s="7" t="str">
        <x:v>AC132</x:v>
      </x:c>
      <x:c r="F185" s="7" t="str">
        <x:v>https://www.jimtof.org/search/jp/ESdetails?e=VUyVyFPIn2Q</x:v>
      </x:c>
      <x:c r="G185" s="7" t="str">
        <x:v>EXH-2026-b1217429663a31e7</x:v>
      </x:c>
      <x:c r="H185" s="7" t="str">
        <x:v>株式会社タンガロイ</x:v>
      </x:c>
    </x:row>
    <x:row r="186" ht="65" customHeight="1">
      <x:c r="A186" s="7" t="str">
        <x:v>株式会社チップトン</x:v>
      </x:c>
      <x:c r="B186" s="7" t="str">
        <x:v>W4040</x:v>
      </x:c>
      <x:c r="C186" s="7" t="str">
        <x:v>カテゴリー付与（一次整理）</x:v>
      </x:c>
      <x:c r="D186" s="7" t="str">
        <x:v>原典の該当記述に基づく一次分類。個別製品の方式・年度差分の精査とは区別。</x:v>
      </x:c>
      <x:c r="E186" s="7" t="str">
        <x:v>AC133</x:v>
      </x:c>
      <x:c r="F186" s="7" t="str">
        <x:v>https://www.jimtof.org/search/jp/ESdetails?e=nBcJqlTC_OU</x:v>
      </x:c>
      <x:c r="G186" s="7" t="str">
        <x:v>EXH-2026-c187ee9769dcb716</x:v>
      </x:c>
      <x:c r="H186" s="7" t="str">
        <x:v>株式会社チップトン</x:v>
      </x:c>
    </x:row>
    <x:row r="187" ht="65" customHeight="1">
      <x:c r="A187" s="7" t="str">
        <x:v>中部クリーン株式会社</x:v>
      </x:c>
      <x:c r="B187" s="7" t="str">
        <x:v>S4041</x:v>
      </x:c>
      <x:c r="C187" s="7" t="str">
        <x:v>カテゴリー付与（一次整理）</x:v>
      </x:c>
      <x:c r="D187" s="7" t="str">
        <x:v>原典の該当記述に基づく一次分類。個別製品の方式・年度差分の精査とは区別。</x:v>
      </x:c>
      <x:c r="E187" s="7" t="str">
        <x:v>AC134</x:v>
      </x:c>
      <x:c r="F187" s="7" t="str">
        <x:v>https://www.jimtof.org/search/jp/ESdetails?e=R-pw3NRfUvI</x:v>
      </x:c>
      <x:c r="G187" s="7" t="str">
        <x:v>EXH-2026-7b9e75a5fbf145a4</x:v>
      </x:c>
      <x:c r="H187" s="7" t="str">
        <x:v>中部クリーン株式会社</x:v>
      </x:c>
    </x:row>
    <x:row r="188" ht="65" customHeight="1">
      <x:c r="A188" s="7" t="str">
        <x:v>一般社団法人中部部品加工協会</x:v>
      </x:c>
      <x:c r="B188" s="7" t="str">
        <x:v>W3042</x:v>
      </x:c>
      <x:c r="C188" s="7" t="str">
        <x:v>対象外（語の一致・用途等）</x:v>
      </x:c>
      <x:c r="D188" s="7" t="str">
        <x:v>加工会社の検索・連携サービス。AI・DX・自動化の具体展示は記述不足。</x:v>
      </x:c>
      <x:c r="E188" s="7" t="str"/>
      <x:c r="F188" s="7" t="str">
        <x:v>https://www.jimtof.org/search/jp/ESdetails?e=aebevwGKTyE</x:v>
      </x:c>
      <x:c r="G188" s="7" t="str">
        <x:v>EXH-2026-0442bd78067d8759</x:v>
      </x:c>
      <x:c r="H188" s="7" t="str">
        <x:v>一般社団法人中部部品加工協会</x:v>
      </x:c>
    </x:row>
    <x:row r="189" ht="65" customHeight="1">
      <x:c r="A189" s="7" t="str">
        <x:v>有限会社ツールディスカバリー</x:v>
      </x:c>
      <x:c r="B189" s="7" t="str">
        <x:v>W1069</x:v>
      </x:c>
      <x:c r="C189" s="7" t="str">
        <x:v>カテゴリー付与（一次整理）</x:v>
      </x:c>
      <x:c r="D189" s="7" t="str">
        <x:v>原典の該当記述に基づく一次分類。個別製品の方式・年度差分の精査とは区別。</x:v>
      </x:c>
      <x:c r="E189" s="7" t="str">
        <x:v>AC136</x:v>
      </x:c>
      <x:c r="F189" s="7" t="str">
        <x:v>https://www.jimtof.org/search/jp/ESdetails?e=2N7pXq5Aehs</x:v>
      </x:c>
      <x:c r="G189" s="7" t="str">
        <x:v>EXH-2026-d383a51fea03ae6e</x:v>
      </x:c>
      <x:c r="H189" s="7" t="str">
        <x:v>有限会社ツールディスカバリー</x:v>
      </x:c>
    </x:row>
    <x:row r="190" ht="65" customHeight="1">
      <x:c r="A190" s="7" t="str">
        <x:v>ツールドインターナショナル株式会社</x:v>
      </x:c>
      <x:c r="B190" s="7" t="str">
        <x:v>W1101</x:v>
      </x:c>
      <x:c r="C190" s="7" t="str">
        <x:v>カテゴリー付与（周辺要素）</x:v>
      </x:c>
      <x:c r="D190" s="7" t="str">
        <x:v>原典の該当記述に基づく一次分類。個別製品の方式・年度差分の精査とは区別。</x:v>
      </x:c>
      <x:c r="E190" s="7" t="str">
        <x:v>AC137</x:v>
      </x:c>
      <x:c r="F190" s="7" t="str">
        <x:v>https://www.jimtof.org/search/jp/ESdetails?e=UcTucUP9Fb4</x:v>
      </x:c>
      <x:c r="G190" s="7" t="str">
        <x:v>EXH-2026-fa987a1ed1bcec86</x:v>
      </x:c>
      <x:c r="H190" s="7" t="str">
        <x:v>ツールドインターナショナル株式会社</x:v>
      </x:c>
    </x:row>
    <x:row r="191" ht="65" customHeight="1">
      <x:c r="A191" s="7" t="str">
        <x:v>ZOLLER Japan株式会社</x:v>
      </x:c>
      <x:c r="B191" s="7" t="str">
        <x:v>S1002</x:v>
      </x:c>
      <x:c r="C191" s="7" t="str">
        <x:v>カテゴリー付与（一次整理）</x:v>
      </x:c>
      <x:c r="D191" s="7" t="str">
        <x:v>原典の該当記述に基づく一次分類。個別製品の方式・年度差分の精査とは区別。</x:v>
      </x:c>
      <x:c r="E191" s="7" t="str">
        <x:v>AC138</x:v>
      </x:c>
      <x:c r="F191" s="7" t="str">
        <x:v>https://www.jimtof.org/search/jp/ESdetails?e=jOy4EwAr6xI</x:v>
      </x:c>
      <x:c r="G191" s="7" t="str">
        <x:v>EXH-2026-3828f130cd66f8e7</x:v>
      </x:c>
      <x:c r="H191" s="7" t="str">
        <x:v>zollerjapan株式会社</x:v>
      </x:c>
    </x:row>
    <x:row r="192" ht="65" customHeight="1">
      <x:c r="A192" s="7" t="str">
        <x:v>株式会社ツガミ</x:v>
      </x:c>
      <x:c r="B192" s="7" t="str">
        <x:v>S1004</x:v>
      </x:c>
      <x:c r="C192" s="7" t="str">
        <x:v>カテゴリー付与（一次整理）</x:v>
      </x:c>
      <x:c r="D192" s="7" t="str">
        <x:v>原典の該当記述に基づく一次分類。個別製品の方式・年度差分の精査とは区別。</x:v>
      </x:c>
      <x:c r="E192" s="7" t="str">
        <x:v>AC139</x:v>
      </x:c>
      <x:c r="F192" s="7" t="str">
        <x:v>https://www.jimtof.org/search/jp/ESdetails?e=fKOIqkxqaBI</x:v>
      </x:c>
      <x:c r="G192" s="7" t="str">
        <x:v>EXH-2026-32c10384bbcaec00</x:v>
      </x:c>
      <x:c r="H192" s="7" t="str">
        <x:v>株式会社ツガミ</x:v>
      </x:c>
    </x:row>
    <x:row r="193" ht="65" customHeight="1">
      <x:c r="A193" s="7" t="str">
        <x:v>筑波エンジニアリング株式会社</x:v>
      </x:c>
      <x:c r="B193" s="7" t="str">
        <x:v>S3098</x:v>
      </x:c>
      <x:c r="C193" s="7" t="str">
        <x:v>カテゴリー付与（一次整理）</x:v>
      </x:c>
      <x:c r="D193" s="7" t="str">
        <x:v>原典の該当記述に基づく一次分類。個別製品の方式・年度差分の精査とは区別。</x:v>
      </x:c>
      <x:c r="E193" s="7" t="str">
        <x:v>AC140</x:v>
      </x:c>
      <x:c r="F193" s="7" t="str">
        <x:v>https://www.jimtof.org/search/jp/ESdetails?e=2n2W_oYqO3w</x:v>
      </x:c>
      <x:c r="G193" s="7" t="str">
        <x:v>EXH-2026-d2a941b3c53a5d69</x:v>
      </x:c>
      <x:c r="H193" s="7" t="str">
        <x:v>筑波エンジニアリング株式会社</x:v>
      </x:c>
    </x:row>
    <x:row r="194" ht="65" customHeight="1">
      <x:c r="A194" s="7" t="str">
        <x:v>津田駒工業株式会社</x:v>
      </x:c>
      <x:c r="B194" s="7" t="str">
        <x:v>W2035</x:v>
      </x:c>
      <x:c r="C194" s="7" t="str">
        <x:v>カテゴリー付与（周辺要素）</x:v>
      </x:c>
      <x:c r="D194" s="7" t="str">
        <x:v>原典の該当記述に基づく一次分類。個別製品の方式・年度差分の精査とは区別。</x:v>
      </x:c>
      <x:c r="E194" s="7" t="str">
        <x:v>AC141</x:v>
      </x:c>
      <x:c r="F194" s="7" t="str">
        <x:v>https://www.jimtof.org/search/jp/ESdetails?e=U6GMfQNeW4w</x:v>
      </x:c>
      <x:c r="G194" s="7" t="str">
        <x:v>EXH-2026-a5adb522f7d7861d</x:v>
      </x:c>
      <x:c r="H194" s="7" t="str">
        <x:v>津田駒工業株式会社</x:v>
      </x:c>
    </x:row>
    <x:row r="195" ht="65" customHeight="1">
      <x:c r="A195" s="7" t="str">
        <x:v>TPR大阪精密機械株式会社</x:v>
      </x:c>
      <x:c r="B195" s="7" t="str">
        <x:v>E7033</x:v>
      </x:c>
      <x:c r="C195" s="7" t="str">
        <x:v>カテゴリー付与（一次整理）</x:v>
      </x:c>
      <x:c r="D195" s="7" t="str">
        <x:v>原典の該当記述に基づく一次分類。個別製品の方式・年度差分の精査とは区別。</x:v>
      </x:c>
      <x:c r="E195" s="7" t="str">
        <x:v>AC142</x:v>
      </x:c>
      <x:c r="F195" s="7" t="str">
        <x:v>https://www.jimtof.org/search/jp/ESdetails?e=IUcHIycMLaI</x:v>
      </x:c>
      <x:c r="G195" s="7" t="str">
        <x:v>EXH-2026-8baabeaaaa69de49</x:v>
      </x:c>
      <x:c r="H195" s="7" t="str">
        <x:v>tpr大阪精密機械株式会社</x:v>
      </x:c>
    </x:row>
    <x:row r="196" ht="65" customHeight="1">
      <x:c r="A196" s="7" t="str">
        <x:v>THK株式会社</x:v>
      </x:c>
      <x:c r="B196" s="7" t="str">
        <x:v>W2018</x:v>
      </x:c>
      <x:c r="C196" s="7" t="str">
        <x:v>カテゴリー付与（一次整理）</x:v>
      </x:c>
      <x:c r="D196" s="7" t="str">
        <x:v>原典の該当記述に基づく一次分類。個別製品の方式・年度差分の精査とは区別。</x:v>
      </x:c>
      <x:c r="E196" s="7" t="str">
        <x:v>AC143</x:v>
      </x:c>
      <x:c r="F196" s="7" t="str">
        <x:v>https://www.jimtof.org/search/jp/ESdetails?e=z-lVfqtvgVM</x:v>
      </x:c>
      <x:c r="G196" s="7" t="str">
        <x:v>EXH-2026-45c22ca4a91150f4</x:v>
      </x:c>
      <x:c r="H196" s="7" t="str">
        <x:v>thk株式会社</x:v>
      </x:c>
    </x:row>
    <x:row r="197" ht="65" customHeight="1">
      <x:c r="A197" s="7" t="str">
        <x:v>株式会社テイケン</x:v>
      </x:c>
      <x:c r="B197" s="7" t="str">
        <x:v>W4048</x:v>
      </x:c>
      <x:c r="C197" s="7" t="str">
        <x:v>対象外（語の一致・用途等）</x:v>
      </x:c>
      <x:c r="D197" s="7" t="str">
        <x:v>砥石と研削相談の説明。自動化相談の語だけで自動システムと扱わない。</x:v>
      </x:c>
      <x:c r="E197" s="7" t="str"/>
      <x:c r="F197" s="7" t="str">
        <x:v>https://www.jimtof.org/search/jp/ESdetails?e=2TAtYiabJ40</x:v>
      </x:c>
      <x:c r="G197" s="7" t="str">
        <x:v>EXH-2026-187bf826142104fb</x:v>
      </x:c>
      <x:c r="H197" s="7" t="str">
        <x:v>株式会社テイケン</x:v>
      </x:c>
    </x:row>
    <x:row r="198" ht="65" customHeight="1">
      <x:c r="A198" s="7" t="str">
        <x:v>有限会社デュブリン・ジャパン・リミテッド</x:v>
      </x:c>
      <x:c r="B198" s="7" t="str">
        <x:v>WA024</x:v>
      </x:c>
      <x:c r="C198" s="7" t="str">
        <x:v>カテゴリー付与（周辺要素）</x:v>
      </x:c>
      <x:c r="D198" s="7" t="str">
        <x:v>原典の該当記述に基づく一次分類。個別製品の方式・年度差分の精査とは区別。</x:v>
      </x:c>
      <x:c r="E198" s="7" t="str">
        <x:v>AC145</x:v>
      </x:c>
      <x:c r="F198" s="7" t="str">
        <x:v>https://www.jimtof.org/search/jp/ESdetails?e=PjO1_W-zmqI</x:v>
      </x:c>
      <x:c r="G198" s="7" t="str">
        <x:v>EXH-2026-c9f3df91b8488aae</x:v>
      </x:c>
      <x:c r="H198" s="7" t="str">
        <x:v>有限会社デュブリン・ジャパン・リミテッド</x:v>
      </x:c>
    </x:row>
    <x:row r="199" ht="65" customHeight="1">
      <x:c r="A199" s="7" t="str">
        <x:v>東京エレクトロンデバイス株式会社</x:v>
      </x:c>
      <x:c r="B199" s="7" t="str">
        <x:v>E7073</x:v>
      </x:c>
      <x:c r="C199" s="7" t="str">
        <x:v>カテゴリー付与（一次整理）</x:v>
      </x:c>
      <x:c r="D199" s="7" t="str">
        <x:v>原典の該当記述に基づく一次分類。個別製品の方式・年度差分の精査とは区別。</x:v>
      </x:c>
      <x:c r="E199" s="7" t="str">
        <x:v>AC146</x:v>
      </x:c>
      <x:c r="F199" s="7" t="str">
        <x:v>https://www.jimtof.org/search/jp/ESdetails?e=c4cChQniAm8</x:v>
      </x:c>
      <x:c r="G199" s="7" t="str">
        <x:v>EXH-2026-8c08de1ffed47316</x:v>
      </x:c>
      <x:c r="H199" s="7" t="str">
        <x:v>東京エレクトロンデバイス株式会社</x:v>
      </x:c>
    </x:row>
    <x:row r="200" ht="65" customHeight="1">
      <x:c r="A200" s="7" t="str">
        <x:v>株式会社東京精機工作所</x:v>
      </x:c>
      <x:c r="B200" s="7" t="str">
        <x:v>E7081</x:v>
      </x:c>
      <x:c r="C200" s="7" t="str">
        <x:v>対象外（語の一致・用途等）</x:v>
      </x:c>
      <x:c r="D200" s="7" t="str">
        <x:v>砥石・チャック寸法の最適化等の機械仕様。AI・DXの最適化ではない。</x:v>
      </x:c>
      <x:c r="E200" s="7" t="str"/>
      <x:c r="F200" s="7" t="str">
        <x:v>https://www.jimtof.org/search/jp/ESdetails?e=3QIyVEg479A</x:v>
      </x:c>
      <x:c r="G200" s="7" t="str">
        <x:v>EXH-2026-c1a305eff74813a5</x:v>
      </x:c>
      <x:c r="H200" s="7" t="str">
        <x:v>株式会社東京精機工作所</x:v>
      </x:c>
    </x:row>
    <x:row r="201" ht="65" customHeight="1">
      <x:c r="A201" s="7" t="str">
        <x:v>東京貿易テクノシステム株式会社</x:v>
      </x:c>
      <x:c r="B201" s="7" t="str">
        <x:v>E7038</x:v>
      </x:c>
      <x:c r="C201" s="7" t="str">
        <x:v>カテゴリー付与（一次整理）</x:v>
      </x:c>
      <x:c r="D201" s="7" t="str">
        <x:v>原典の該当記述に基づく一次分類。個別製品の方式・年度差分の精査とは区別。</x:v>
      </x:c>
      <x:c r="E201" s="7" t="str">
        <x:v>AC148</x:v>
      </x:c>
      <x:c r="F201" s="7" t="str">
        <x:v>https://www.jimtof.org/search/jp/ESdetails?e=q65eJorv2LU</x:v>
      </x:c>
      <x:c r="G201" s="7" t="str">
        <x:v>EXH-2026-d7b599b5d3045611</x:v>
      </x:c>
      <x:c r="H201" s="7" t="str">
        <x:v>東京貿易テクノシステム株式会社</x:v>
      </x:c>
    </x:row>
    <x:row r="202" ht="65" customHeight="1">
      <x:c r="A202" s="7" t="str">
        <x:v>株式会社東振テクニカル</x:v>
      </x:c>
      <x:c r="B202" s="7" t="str">
        <x:v>E7037</x:v>
      </x:c>
      <x:c r="C202" s="7" t="str">
        <x:v>カテゴリー付与（一次整理）</x:v>
      </x:c>
      <x:c r="D202" s="7" t="str">
        <x:v>原典の該当記述に基づく一次分類。個別製品の方式・年度差分の精査とは区別。</x:v>
      </x:c>
      <x:c r="E202" s="7" t="str">
        <x:v>AC149</x:v>
      </x:c>
      <x:c r="F202" s="7" t="str">
        <x:v>https://www.jimtof.org/search/jp/ESdetails?e=GFSwCXSxe9o</x:v>
      </x:c>
      <x:c r="G202" s="7" t="str">
        <x:v>EXH-2026-990d4d4c729ff139</x:v>
      </x:c>
      <x:c r="H202" s="7" t="str">
        <x:v>株式会社東振テクニカル</x:v>
      </x:c>
    </x:row>
    <x:row r="203" ht="65" customHeight="1">
      <x:c r="A203" s="7" t="str">
        <x:v>株式会社東陽</x:v>
      </x:c>
      <x:c r="B203" s="7" t="str">
        <x:v>S2016</x:v>
      </x:c>
      <x:c r="C203" s="7" t="str">
        <x:v>カテゴリー付与（一次整理）</x:v>
      </x:c>
      <x:c r="D203" s="7" t="str">
        <x:v>原典の該当記述に基づく一次分類。個別製品の方式・年度差分の精査とは区別。</x:v>
      </x:c>
      <x:c r="E203" s="7" t="str">
        <x:v>AC150</x:v>
      </x:c>
      <x:c r="F203" s="7" t="str">
        <x:v>https://www.jimtof.org/search/jp/ESdetails?e=E_004g97THo</x:v>
      </x:c>
      <x:c r="G203" s="7" t="str">
        <x:v>EXH-2026-3a8078c51f45a046</x:v>
      </x:c>
      <x:c r="H203" s="7" t="str">
        <x:v>株式会社東陽</x:v>
      </x:c>
    </x:row>
    <x:row r="204" ht="65" customHeight="1">
      <x:c r="A204" s="7" t="str">
        <x:v>東洋精機工業株式会社</x:v>
      </x:c>
      <x:c r="B204" s="7" t="str">
        <x:v>E3019</x:v>
      </x:c>
      <x:c r="C204" s="7" t="str">
        <x:v>カテゴリー付与（一次整理）</x:v>
      </x:c>
      <x:c r="D204" s="7" t="str">
        <x:v>原典の該当記述に基づく一次分類。個別製品の方式・年度差分の精査とは区別。</x:v>
      </x:c>
      <x:c r="E204" s="7" t="str">
        <x:v>AC151</x:v>
      </x:c>
      <x:c r="F204" s="7" t="str">
        <x:v>https://www.jimtof.org/search/jp/ESdetails?e=4IGD6jExai0</x:v>
      </x:c>
      <x:c r="G204" s="7" t="str">
        <x:v>EXH-2026-0edd272934baf18c</x:v>
      </x:c>
      <x:c r="H204" s="7" t="str">
        <x:v>東洋精機工業株式会社</x:v>
      </x:c>
    </x:row>
    <x:row r="205" ht="65" customHeight="1">
      <x:c r="A205" s="7" t="str">
        <x:v>トーチョーマーキングシステムズ株式会社</x:v>
      </x:c>
      <x:c r="B205" s="7" t="str">
        <x:v>W1036</x:v>
      </x:c>
      <x:c r="C205" s="7" t="str">
        <x:v>カテゴリー付与（一次整理）</x:v>
      </x:c>
      <x:c r="D205" s="7" t="str">
        <x:v>原典の該当記述に基づく一次分類。個別製品の方式・年度差分の精査とは区別。</x:v>
      </x:c>
      <x:c r="E205" s="7" t="str">
        <x:v>AC152</x:v>
      </x:c>
      <x:c r="F205" s="7" t="str">
        <x:v>https://www.jimtof.org/search/jp/ESdetails?e=QF9JlOzN9Gk</x:v>
      </x:c>
      <x:c r="G205" s="7" t="str">
        <x:v>EXH-2026-f38414a11a6afb7b</x:v>
      </x:c>
      <x:c r="H205" s="7" t="str">
        <x:v>トーチョーマーキングシステムズ株式会社</x:v>
      </x:c>
    </x:row>
    <x:row r="206" ht="65" customHeight="1">
      <x:c r="A206" s="7" t="str">
        <x:v>トーヨーエイテック株式会社</x:v>
      </x:c>
      <x:c r="B206" s="7" t="str">
        <x:v>E7045</x:v>
      </x:c>
      <x:c r="C206" s="7" t="str">
        <x:v>カテゴリー付与（一次整理）</x:v>
      </x:c>
      <x:c r="D206" s="7" t="str">
        <x:v>原典の該当記述に基づく一次分類。個別製品の方式・年度差分の精査とは区別。</x:v>
      </x:c>
      <x:c r="E206" s="7" t="str">
        <x:v>AC153</x:v>
      </x:c>
      <x:c r="F206" s="7" t="str">
        <x:v>https://www.jimtof.org/search/jp/ESdetails?e=Rs5bSq_a5Nk</x:v>
      </x:c>
      <x:c r="G206" s="7" t="str">
        <x:v>EXH-2026-bcc9173d97e5998d</x:v>
      </x:c>
      <x:c r="H206" s="7" t="str">
        <x:v>トーヨーエイテック株式会社</x:v>
      </x:c>
    </x:row>
    <x:row r="207" ht="65" customHeight="1">
      <x:c r="A207" s="7" t="str">
        <x:v>株式会社トミタ</x:v>
      </x:c>
      <x:c r="B207" s="7" t="str">
        <x:v>W2060</x:v>
      </x:c>
      <x:c r="C207" s="7" t="str">
        <x:v>カテゴリー付与（一次整理）</x:v>
      </x:c>
      <x:c r="D207" s="7" t="str">
        <x:v>原典の該当記述に基づく一次分類。個別製品の方式・年度差分の精査とは区別。</x:v>
      </x:c>
      <x:c r="E207" s="7" t="str">
        <x:v>AC154</x:v>
      </x:c>
      <x:c r="F207" s="7" t="str">
        <x:v>https://www.jimtof.org/search/jp/ESdetails?e=C6Hx1wzP4fA</x:v>
      </x:c>
      <x:c r="G207" s="7" t="str">
        <x:v>EXH-2026-20a8d3222020ce04</x:v>
      </x:c>
      <x:c r="H207" s="7" t="str">
        <x:v>株式会社トミタ</x:v>
      </x:c>
    </x:row>
    <x:row r="208" ht="65" customHeight="1">
      <x:c r="A208" s="7" t="str">
        <x:v>トライオプティクス・ジャパン株式会社</x:v>
      </x:c>
      <x:c r="B208" s="7" t="str">
        <x:v>S3080</x:v>
      </x:c>
      <x:c r="C208" s="7" t="str">
        <x:v>カテゴリー付与（一次整理）</x:v>
      </x:c>
      <x:c r="D208" s="7" t="str">
        <x:v>原典の該当記述に基づく一次分類。個別製品の方式・年度差分の精査とは区別。</x:v>
      </x:c>
      <x:c r="E208" s="7" t="str">
        <x:v>AC155</x:v>
      </x:c>
      <x:c r="F208" s="7" t="str">
        <x:v>https://www.jimtof.org/search/jp/ESdetails?e=lV077Duzq6g</x:v>
      </x:c>
      <x:c r="G208" s="7" t="str">
        <x:v>EXH-2026-7d4cf088451b04c9</x:v>
      </x:c>
      <x:c r="H208" s="7" t="str">
        <x:v>トライオプティクス・ジャパン株式会社</x:v>
      </x:c>
    </x:row>
    <x:row r="209" ht="65" customHeight="1">
      <x:c r="A209" s="7" t="str">
        <x:v>トルンプ株式会社</x:v>
      </x:c>
      <x:c r="B209" s="7" t="str">
        <x:v>E1044</x:v>
      </x:c>
      <x:c r="C209" s="7" t="str">
        <x:v>カテゴリー付与（一次整理）</x:v>
      </x:c>
      <x:c r="D209" s="7" t="str">
        <x:v>原典の該当記述に基づく一次分類。個別製品の方式・年度差分の精査とは区別。</x:v>
      </x:c>
      <x:c r="E209" s="7" t="str">
        <x:v>AC156</x:v>
      </x:c>
      <x:c r="F209" s="7" t="str">
        <x:v>https://www.jimtof.org/search/jp/ESdetails?e=P89ltew0qg0</x:v>
      </x:c>
      <x:c r="G209" s="7" t="str">
        <x:v>EXH-2026-e520f1cac56a6424</x:v>
      </x:c>
      <x:c r="H209" s="7" t="str">
        <x:v>トルンプ株式会社</x:v>
      </x:c>
    </x:row>
    <x:row r="210" ht="65" customHeight="1">
      <x:c r="A210" s="7" t="str">
        <x:v>株式会社ナベヤ</x:v>
      </x:c>
      <x:c r="B210" s="7" t="str">
        <x:v>W2053</x:v>
      </x:c>
      <x:c r="C210" s="7" t="str">
        <x:v>カテゴリー付与（周辺要素）</x:v>
      </x:c>
      <x:c r="D210" s="7" t="str">
        <x:v>原典の該当記述に基づく一次分類。個別製品の方式・年度差分の精査とは区別。</x:v>
      </x:c>
      <x:c r="E210" s="7" t="str">
        <x:v>AC157</x:v>
      </x:c>
      <x:c r="F210" s="7" t="str">
        <x:v>https://www.jimtof.org/search/jp/ESdetails?e=MNGSajJO4pQ</x:v>
      </x:c>
      <x:c r="G210" s="7" t="str">
        <x:v>EXH-2026-5c2eb38f86114993</x:v>
      </x:c>
      <x:c r="H210" s="7" t="str">
        <x:v>株式会社ナベヤ</x:v>
      </x:c>
    </x:row>
    <x:row r="211" ht="65" customHeight="1">
      <x:c r="A211" s="7" t="str">
        <x:v>鍋屋バイテック会社</x:v>
      </x:c>
      <x:c r="B211" s="7" t="str">
        <x:v>W2068</x:v>
      </x:c>
      <x:c r="C211" s="7" t="str">
        <x:v>カテゴリー付与（周辺要素）</x:v>
      </x:c>
      <x:c r="D211" s="7" t="str">
        <x:v>原典の該当記述に基づく一次分類。個別製品の方式・年度差分の精査とは区別。</x:v>
      </x:c>
      <x:c r="E211" s="7" t="str">
        <x:v>AC158</x:v>
      </x:c>
      <x:c r="F211" s="7" t="str">
        <x:v>https://www.jimtof.org/search/jp/ESdetails?e=oAJf-RFYInA</x:v>
      </x:c>
      <x:c r="G211" s="7" t="str">
        <x:v>EXH-2026-18f3d6af15ce3d5c</x:v>
      </x:c>
      <x:c r="H211" s="7" t="str">
        <x:v>鍋屋バイテック会社</x:v>
      </x:c>
    </x:row>
    <x:row r="212" ht="65" customHeight="1">
      <x:c r="A212" s="7" t="str">
        <x:v>株式会社ナベル</x:v>
      </x:c>
      <x:c r="B212" s="7" t="str">
        <x:v>W2041</x:v>
      </x:c>
      <x:c r="C212" s="7" t="str">
        <x:v>カテゴリー付与（一次整理）</x:v>
      </x:c>
      <x:c r="D212" s="7" t="str">
        <x:v>原典の該当記述に基づく一次分類。個別製品の方式・年度差分の精査とは区別。</x:v>
      </x:c>
      <x:c r="E212" s="7" t="str">
        <x:v>AC159</x:v>
      </x:c>
      <x:c r="F212" s="7" t="str">
        <x:v>https://www.jimtof.org/search/jp/ESdetails?e=6wciaKIuYB8</x:v>
      </x:c>
      <x:c r="G212" s="7" t="str">
        <x:v>EXH-2026-87b7a21b4cef9d01</x:v>
      </x:c>
      <x:c r="H212" s="7" t="str">
        <x:v>株式会社ナベル</x:v>
      </x:c>
    </x:row>
    <x:row r="213" ht="65" customHeight="1">
      <x:c r="A213" s="7" t="str">
        <x:v>南海モルディ株式会社</x:v>
      </x:c>
      <x:c r="B213" s="7" t="str">
        <x:v>S3005</x:v>
      </x:c>
      <x:c r="C213" s="7" t="str">
        <x:v>カテゴリー付与（一次整理）</x:v>
      </x:c>
      <x:c r="D213" s="7" t="str">
        <x:v>原典の該当記述に基づく一次分類。個別製品の方式・年度差分の精査とは区別。</x:v>
      </x:c>
      <x:c r="E213" s="7" t="str">
        <x:v>AC160</x:v>
      </x:c>
      <x:c r="F213" s="7" t="str">
        <x:v>https://www.jimtof.org/search/jp/ESdetails?e=DzEQo0I9qrQ</x:v>
      </x:c>
      <x:c r="G213" s="7" t="str">
        <x:v>EXH-2026-87d81bbdb5e75826</x:v>
      </x:c>
      <x:c r="H213" s="7" t="str">
        <x:v>南海モルディ株式会社</x:v>
      </x:c>
    </x:row>
    <x:row r="214" ht="65" customHeight="1">
      <x:c r="A214" s="7" t="str">
        <x:v>株式会社ナンゴー</x:v>
      </x:c>
      <x:c r="B214" s="7" t="str">
        <x:v>S3091</x:v>
      </x:c>
      <x:c r="C214" s="7" t="str">
        <x:v>対象外（語の一致・用途等）</x:v>
      </x:c>
      <x:c r="D214" s="7" t="str">
        <x:v>見積は加工受託の受付窓口。AI見積システムではない。</x:v>
      </x:c>
      <x:c r="E214" s="7" t="str"/>
      <x:c r="F214" s="7" t="str">
        <x:v>https://www.jimtof.org/search/jp/ESdetails?e=IGGIrUV0lYU</x:v>
      </x:c>
      <x:c r="G214" s="7" t="str">
        <x:v>EXH-2026-2b75e9d2eed6633f</x:v>
      </x:c>
      <x:c r="H214" s="7" t="str">
        <x:v>株式会社ナンゴー</x:v>
      </x:c>
    </x:row>
    <x:row r="215" ht="65" customHeight="1">
      <x:c r="A215" s="7" t="str">
        <x:v>新潟精機株式会社</x:v>
      </x:c>
      <x:c r="B215" s="7" t="str">
        <x:v>E7039</x:v>
      </x:c>
      <x:c r="C215" s="7" t="str">
        <x:v>カテゴリー付与（一次整理）</x:v>
      </x:c>
      <x:c r="D215" s="7" t="str">
        <x:v>原典の該当記述に基づく一次分類。個別製品の方式・年度差分の精査とは区別。</x:v>
      </x:c>
      <x:c r="E215" s="7" t="str">
        <x:v>AC162</x:v>
      </x:c>
      <x:c r="F215" s="7" t="str">
        <x:v>https://www.jimtof.org/search/jp/ESdetails?e=cCEJdVT7Sxk</x:v>
      </x:c>
      <x:c r="G215" s="7" t="str">
        <x:v>EXH-2026-d0e930b11ed6e2f2</x:v>
      </x:c>
      <x:c r="H215" s="7" t="str">
        <x:v>新潟精機株式会社</x:v>
      </x:c>
    </x:row>
    <x:row r="216" ht="65" customHeight="1">
      <x:c r="A216" s="7" t="str">
        <x:v>株式会社ニイガタマシンテクノ</x:v>
      </x:c>
      <x:c r="B216" s="7" t="str">
        <x:v>E3026</x:v>
      </x:c>
      <x:c r="C216" s="7" t="str">
        <x:v>カテゴリー付与（一次整理）</x:v>
      </x:c>
      <x:c r="D216" s="7" t="str">
        <x:v>原典の該当記述に基づく一次分類。個別製品の方式・年度差分の精査とは区別。</x:v>
      </x:c>
      <x:c r="E216" s="7" t="str">
        <x:v>AC163</x:v>
      </x:c>
      <x:c r="F216" s="7" t="str">
        <x:v>https://www.jimtof.org/search/jp/ESdetails?e=JgNgvfg06ag</x:v>
      </x:c>
      <x:c r="G216" s="7" t="str">
        <x:v>EXH-2026-b669e6d6d1dc5657</x:v>
      </x:c>
      <x:c r="H216" s="7" t="str">
        <x:v>株式会社ニイガタマシンテクノ</x:v>
      </x:c>
    </x:row>
    <x:row r="217" ht="65" customHeight="1">
      <x:c r="A217" s="7" t="str">
        <x:v>西島株式会社</x:v>
      </x:c>
      <x:c r="B217" s="7" t="str">
        <x:v>S1055</x:v>
      </x:c>
      <x:c r="C217" s="7" t="str">
        <x:v>カテゴリー付与（一次整理）</x:v>
      </x:c>
      <x:c r="D217" s="7" t="str">
        <x:v>原典の該当記述に基づく一次分類。個別製品の方式・年度差分の精査とは区別。</x:v>
      </x:c>
      <x:c r="E217" s="7" t="str">
        <x:v>AC164</x:v>
      </x:c>
      <x:c r="F217" s="7" t="str">
        <x:v>https://www.jimtof.org/search/jp/ESdetails?e=Al_kYRBXQb0</x:v>
      </x:c>
      <x:c r="G217" s="7" t="str">
        <x:v>EXH-2026-3f157feb25f0c4df</x:v>
      </x:c>
      <x:c r="H217" s="7" t="str">
        <x:v>西島株式会社</x:v>
      </x:c>
    </x:row>
    <x:row r="218" ht="65" customHeight="1">
      <x:c r="A218" s="7" t="str">
        <x:v>株式会社日研工作所</x:v>
      </x:c>
      <x:c r="B218" s="7" t="str">
        <x:v>W2039</x:v>
      </x:c>
      <x:c r="C218" s="7" t="str">
        <x:v>カテゴリー付与（周辺要素）</x:v>
      </x:c>
      <x:c r="D218" s="7" t="str">
        <x:v>原典の該当記述に基づく一次分類。個別製品の方式・年度差分の精査とは区別。</x:v>
      </x:c>
      <x:c r="E218" s="7" t="str">
        <x:v>AC165</x:v>
      </x:c>
      <x:c r="F218" s="7" t="str">
        <x:v>https://www.jimtof.org/search/jp/ESdetails?e=efMi0oAzay8</x:v>
      </x:c>
      <x:c r="G218" s="7" t="str">
        <x:v>EXH-2026-1afd1df5c219afb2</x:v>
      </x:c>
      <x:c r="H218" s="7" t="str">
        <x:v>株式会社日研工作所</x:v>
      </x:c>
    </x:row>
    <x:row r="219" ht="65" customHeight="1">
      <x:c r="A219" s="7" t="str">
        <x:v>日工機材株式会社</x:v>
      </x:c>
      <x:c r="B219" s="7" t="str">
        <x:v>S4036</x:v>
      </x:c>
      <x:c r="C219" s="7" t="str">
        <x:v>カテゴリー付与（一次整理）</x:v>
      </x:c>
      <x:c r="D219" s="7" t="str">
        <x:v>原典の該当記述に基づく一次分類。個別製品の方式・年度差分の精査とは区別。</x:v>
      </x:c>
      <x:c r="E219" s="7" t="str">
        <x:v>AC166</x:v>
      </x:c>
      <x:c r="F219" s="7" t="str">
        <x:v>https://www.jimtof.org/search/jp/ESdetails?e=JaGZphpJixc</x:v>
      </x:c>
      <x:c r="G219" s="7" t="str">
        <x:v>EXH-2026-168a87e45c0ac34c</x:v>
      </x:c>
      <x:c r="H219" s="7" t="str">
        <x:v>日工機材株式会社</x:v>
      </x:c>
    </x:row>
    <x:row r="220" ht="65" customHeight="1">
      <x:c r="A220" s="7" t="str">
        <x:v>株式会社日進ProSOL</x:v>
      </x:c>
      <x:c r="B220" s="7" t="str">
        <x:v>E7070</x:v>
      </x:c>
      <x:c r="C220" s="7" t="str">
        <x:v>カテゴリー付与（一次整理）</x:v>
      </x:c>
      <x:c r="D220" s="7" t="str">
        <x:v>原典の該当記述に基づく一次分類。個別製品の方式・年度差分の精査とは区別。</x:v>
      </x:c>
      <x:c r="E220" s="7" t="str">
        <x:v>AC167</x:v>
      </x:c>
      <x:c r="F220" s="7" t="str">
        <x:v>https://www.jimtof.org/search/jp/ESdetails?e=Odvw9koeMx8</x:v>
      </x:c>
      <x:c r="G220" s="7" t="str">
        <x:v>EXH-2026-434b1ee92cad6bf5</x:v>
      </x:c>
      <x:c r="H220" s="7" t="str">
        <x:v>株式会社日進prosol</x:v>
      </x:c>
    </x:row>
    <x:row r="221" ht="65" customHeight="1">
      <x:c r="A221" s="7" t="str">
        <x:v>株式会社ニッセイ</x:v>
      </x:c>
      <x:c r="B221" s="7" t="str">
        <x:v>W3031</x:v>
      </x:c>
      <x:c r="C221" s="7" t="str">
        <x:v>カテゴリー付与（周辺要素）</x:v>
      </x:c>
      <x:c r="D221" s="7" t="str">
        <x:v>原典の該当記述に基づく一次分類。個別製品の方式・年度差分の精査とは区別。</x:v>
      </x:c>
      <x:c r="E221" s="7" t="str">
        <x:v>AC168</x:v>
      </x:c>
      <x:c r="F221" s="7" t="str">
        <x:v>https://www.jimtof.org/search/jp/ESdetails?e=E6552CzYMDI</x:v>
      </x:c>
      <x:c r="G221" s="7" t="str">
        <x:v>EXH-2026-c3ddb256e8eb1f0b</x:v>
      </x:c>
      <x:c r="H221" s="7" t="str">
        <x:v>株式会社ニッセイ</x:v>
      </x:c>
    </x:row>
    <x:row r="222" ht="65" customHeight="1">
      <x:c r="A222" s="7" t="str">
        <x:v>日東工器株式会社</x:v>
      </x:c>
      <x:c r="B222" s="7" t="str">
        <x:v>W4049</x:v>
      </x:c>
      <x:c r="C222" s="7" t="str">
        <x:v>カテゴリー付与（周辺要素）</x:v>
      </x:c>
      <x:c r="D222" s="7" t="str">
        <x:v>原典の該当記述に基づく一次分類。個別製品の方式・年度差分の精査とは区別。</x:v>
      </x:c>
      <x:c r="E222" s="7" t="str">
        <x:v>AC169</x:v>
      </x:c>
      <x:c r="F222" s="7" t="str">
        <x:v>https://www.jimtof.org/search/jp/ESdetails?e=q1qxgLFfjjo</x:v>
      </x:c>
      <x:c r="G222" s="7" t="str">
        <x:v>EXH-2026-21553e90028cfc5e</x:v>
      </x:c>
      <x:c r="H222" s="7" t="str">
        <x:v>日東工器株式会社</x:v>
      </x:c>
    </x:row>
    <x:row r="223" ht="65" customHeight="1">
      <x:c r="A223" s="7" t="str">
        <x:v>日藤ポリゴン株式会社</x:v>
      </x:c>
      <x:c r="B223" s="7" t="str">
        <x:v>S2006</x:v>
      </x:c>
      <x:c r="C223" s="7" t="str">
        <x:v>カテゴリー付与（一次整理）</x:v>
      </x:c>
      <x:c r="D223" s="7" t="str">
        <x:v>原典の該当記述に基づく一次分類。個別製品の方式・年度差分の精査とは区別。</x:v>
      </x:c>
      <x:c r="E223" s="7" t="str">
        <x:v>AC170</x:v>
      </x:c>
      <x:c r="F223" s="7" t="str">
        <x:v>https://www.jimtof.org/search/jp/ESdetails?e=CnCZJeqDIuw</x:v>
      </x:c>
      <x:c r="G223" s="7" t="str">
        <x:v>EXH-2026-c1d919f8942e67c7</x:v>
      </x:c>
      <x:c r="H223" s="7" t="str">
        <x:v>日藤ポリゴン株式会社</x:v>
      </x:c>
    </x:row>
    <x:row r="224" ht="65" customHeight="1">
      <x:c r="A224" s="7" t="str">
        <x:v>ニデックオーケーケー株式会社</x:v>
      </x:c>
      <x:c r="B224" s="7" t="str">
        <x:v>E3012</x:v>
      </x:c>
      <x:c r="C224" s="7" t="str">
        <x:v>カテゴリー付与（一次整理）</x:v>
      </x:c>
      <x:c r="D224" s="7" t="str">
        <x:v>原典の該当記述に基づく一次分類。個別製品の方式・年度差分の精査とは区別。</x:v>
      </x:c>
      <x:c r="E224" s="7" t="str">
        <x:v>AC171</x:v>
      </x:c>
      <x:c r="F224" s="7" t="str">
        <x:v>https://www.jimtof.org/search/jp/ESdetails?e=cIGcLA71ub0</x:v>
      </x:c>
      <x:c r="G224" s="7" t="str">
        <x:v>EXH-2026-3211cafa924b2f84</x:v>
      </x:c>
      <x:c r="H224" s="7" t="str">
        <x:v>ニデックオーケーケー株式会社</x:v>
      </x:c>
    </x:row>
    <x:row r="225" ht="65" customHeight="1">
      <x:c r="A225" s="7" t="str">
        <x:v>ニデックマシンツール株式会社</x:v>
      </x:c>
      <x:c r="B225" s="7" t="str">
        <x:v>E3011</x:v>
      </x:c>
      <x:c r="C225" s="7" t="str">
        <x:v>カテゴリー付与（一次整理）</x:v>
      </x:c>
      <x:c r="D225" s="7" t="str">
        <x:v>原典の該当記述に基づく一次分類。個別製品の方式・年度差分の精査とは区別。</x:v>
      </x:c>
      <x:c r="E225" s="7" t="str">
        <x:v>AC172</x:v>
      </x:c>
      <x:c r="F225" s="7" t="str">
        <x:v>https://www.jimtof.org/search/jp/ESdetails?e=oS1WYTzqdvg</x:v>
      </x:c>
      <x:c r="G225" s="7" t="str">
        <x:v>EXH-2026-d31a435d31c2b6eb</x:v>
      </x:c>
      <x:c r="H225" s="7" t="str">
        <x:v>ニデックマシンツール株式会社</x:v>
      </x:c>
    </x:row>
    <x:row r="226" ht="65" customHeight="1">
      <x:c r="A226" s="7" t="str">
        <x:v>日本オイルポンプ株式会社</x:v>
      </x:c>
      <x:c r="B226" s="7" t="str">
        <x:v>W2046</x:v>
      </x:c>
      <x:c r="C226" s="7" t="str">
        <x:v>カテゴリー付与（周辺要素）</x:v>
      </x:c>
      <x:c r="D226" s="7" t="str">
        <x:v>原典の該当記述に基づく一次分類。個別製品の方式・年度差分の精査とは区別。</x:v>
      </x:c>
      <x:c r="E226" s="7" t="str">
        <x:v>AC173</x:v>
      </x:c>
      <x:c r="F226" s="7" t="str">
        <x:v>https://www.jimtof.org/search/jp/ESdetails?e=fHAxXsO-42I</x:v>
      </x:c>
      <x:c r="G226" s="7" t="str">
        <x:v>EXH-2026-6e7223502c4d3ca8</x:v>
      </x:c>
      <x:c r="H226" s="7" t="str">
        <x:v>日本オイルポンプ株式会社</x:v>
      </x:c>
    </x:row>
    <x:row r="227" ht="65" customHeight="1">
      <x:c r="A227" s="7" t="str">
        <x:v>日本オートマチックマシン株式会社</x:v>
      </x:c>
      <x:c r="B227" s="7" t="str">
        <x:v>W2009</x:v>
      </x:c>
      <x:c r="C227" s="7" t="str">
        <x:v>カテゴリー付与（一次整理）</x:v>
      </x:c>
      <x:c r="D227" s="7" t="str">
        <x:v>原典の該当記述に基づく一次分類。個別製品の方式・年度差分の精査とは区別。</x:v>
      </x:c>
      <x:c r="E227" s="7" t="str">
        <x:v>AC174</x:v>
      </x:c>
      <x:c r="F227" s="7" t="str">
        <x:v>https://www.jimtof.org/search/jp/ESdetails?e=sGohRmZeceo</x:v>
      </x:c>
      <x:c r="G227" s="7" t="str">
        <x:v>EXH-2026-720ee83a35850033</x:v>
      </x:c>
      <x:c r="H227" s="7" t="str">
        <x:v>日本オートマチックマシン株式会社</x:v>
      </x:c>
    </x:row>
    <x:row r="228" ht="65" customHeight="1">
      <x:c r="A228" s="7" t="str">
        <x:v>日本キスラー合同会社</x:v>
      </x:c>
      <x:c r="B228" s="7" t="str">
        <x:v>S4031</x:v>
      </x:c>
      <x:c r="C228" s="7" t="str">
        <x:v>カテゴリー付与（一次整理）</x:v>
      </x:c>
      <x:c r="D228" s="7" t="str">
        <x:v>原典の該当記述に基づく一次分類。個別製品の方式・年度差分の精査とは区別。</x:v>
      </x:c>
      <x:c r="E228" s="7" t="str">
        <x:v>AC175</x:v>
      </x:c>
      <x:c r="F228" s="7" t="str">
        <x:v>https://www.jimtof.org/search/jp/ESdetails?e=7Gt1ylw_a8s</x:v>
      </x:c>
      <x:c r="G228" s="7" t="str">
        <x:v>EXH-2026-e0340858cb52d52f</x:v>
      </x:c>
      <x:c r="H228" s="7" t="str">
        <x:v>日本キスラー合同会社</x:v>
      </x:c>
    </x:row>
    <x:row r="229" ht="65" customHeight="1">
      <x:c r="A229" s="7" t="str">
        <x:v>日本クリンゲルンベルグ株式会社</x:v>
      </x:c>
      <x:c r="B229" s="7" t="str">
        <x:v>E1006</x:v>
      </x:c>
      <x:c r="C229" s="7" t="str">
        <x:v>カテゴリー付与（一次整理）</x:v>
      </x:c>
      <x:c r="D229" s="7" t="str">
        <x:v>原典の該当記述に基づく一次分類。個別製品の方式・年度差分の精査とは区別。</x:v>
      </x:c>
      <x:c r="E229" s="7" t="str">
        <x:v>AC176</x:v>
      </x:c>
      <x:c r="F229" s="7" t="str">
        <x:v>https://www.jimtof.org/search/jp/ESdetails?e=K8FKaawJkn0</x:v>
      </x:c>
      <x:c r="G229" s="7" t="str">
        <x:v>EXH-2026-fcc72e415a9d406e</x:v>
      </x:c>
      <x:c r="H229" s="7" t="str">
        <x:v>日本クリンゲルンベルグ株式会社</x:v>
      </x:c>
    </x:row>
    <x:row r="230" ht="65" customHeight="1">
      <x:c r="A230" s="7" t="str">
        <x:v>日本スピードショア株式会社</x:v>
      </x:c>
      <x:c r="B230" s="7" t="str">
        <x:v>E1065</x:v>
      </x:c>
      <x:c r="C230" s="7" t="str">
        <x:v>カテゴリー付与（一次整理）</x:v>
      </x:c>
      <x:c r="D230" s="7" t="str">
        <x:v>原典の該当記述に基づく一次分類。個別製品の方式・年度差分の精査とは区別。</x:v>
      </x:c>
      <x:c r="E230" s="7" t="str">
        <x:v>AC177</x:v>
      </x:c>
      <x:c r="F230" s="7" t="str">
        <x:v>https://www.jimtof.org/search/jp/ESdetails?e=MoNymoTMXc4</x:v>
      </x:c>
      <x:c r="G230" s="7" t="str">
        <x:v>EXH-2026-89d5c82f4efcbe2c</x:v>
      </x:c>
      <x:c r="H230" s="7" t="str">
        <x:v>日本スピードショア株式会社</x:v>
      </x:c>
    </x:row>
    <x:row r="231" ht="65" customHeight="1">
      <x:c r="A231" s="7" t="str">
        <x:v>日本3Dプリンター株式会社</x:v>
      </x:c>
      <x:c r="B231" s="7" t="str">
        <x:v>S2014</x:v>
      </x:c>
      <x:c r="C231" s="7" t="str">
        <x:v>カテゴリー付与（一次整理）</x:v>
      </x:c>
      <x:c r="D231" s="7" t="str">
        <x:v>原典の該当記述に基づく一次分類。個別製品の方式・年度差分の精査とは区別。</x:v>
      </x:c>
      <x:c r="E231" s="7" t="str">
        <x:v>AC178</x:v>
      </x:c>
      <x:c r="F231" s="7" t="str">
        <x:v>https://www.jimtof.org/search/jp/ESdetails?e=ohBDcqo2rI8</x:v>
      </x:c>
      <x:c r="G231" s="7" t="str">
        <x:v>EXH-2026-3e32007d339c5ff7</x:v>
      </x:c>
      <x:c r="H231" s="7" t="str">
        <x:v>日本3dプリンター株式会社</x:v>
      </x:c>
    </x:row>
    <x:row r="232" ht="65" customHeight="1">
      <x:c r="A232" s="7" t="str">
        <x:v>日本精機株式会社</x:v>
      </x:c>
      <x:c r="B232" s="7" t="str">
        <x:v>E7092</x:v>
      </x:c>
      <x:c r="C232" s="7" t="str">
        <x:v>カテゴリー付与（一次整理）</x:v>
      </x:c>
      <x:c r="D232" s="7" t="str">
        <x:v>原典の該当記述に基づく一次分類。個別製品の方式・年度差分の精査とは区別。</x:v>
      </x:c>
      <x:c r="E232" s="7" t="str">
        <x:v>AC179</x:v>
      </x:c>
      <x:c r="F232" s="7" t="str">
        <x:v>https://www.jimtof.org/search/jp/ESdetails?e=Qva663phrKY</x:v>
      </x:c>
      <x:c r="G232" s="7" t="str">
        <x:v>EXH-2026-e68d8c12e3395528</x:v>
      </x:c>
      <x:c r="H232" s="7" t="str">
        <x:v>日本精機株式会社</x:v>
      </x:c>
    </x:row>
    <x:row r="233" ht="65" customHeight="1">
      <x:c r="A233" s="7" t="str">
        <x:v>日本ツクリダス株式会社</x:v>
      </x:c>
      <x:c r="B233" s="7" t="str">
        <x:v>S4012</x:v>
      </x:c>
      <x:c r="C233" s="7" t="str">
        <x:v>カテゴリー付与（一次整理）</x:v>
      </x:c>
      <x:c r="D233" s="7" t="str">
        <x:v>原典の該当記述に基づく一次分類。個別製品の方式・年度差分の精査とは区別。</x:v>
      </x:c>
      <x:c r="E233" s="7" t="str">
        <x:v>AC180</x:v>
      </x:c>
      <x:c r="F233" s="7" t="str">
        <x:v>https://www.jimtof.org/search/jp/ESdetails?e=_nI6m1Y6VMA</x:v>
      </x:c>
      <x:c r="G233" s="7" t="str">
        <x:v>EXH-2026-0c92a1e1f2d8fda4</x:v>
      </x:c>
      <x:c r="H233" s="7" t="str">
        <x:v>日本ツクリダス株式会社</x:v>
      </x:c>
    </x:row>
    <x:row r="234" ht="65" customHeight="1">
      <x:c r="A234" s="7" t="str">
        <x:v>ニューレジストン株式会社</x:v>
      </x:c>
      <x:c r="B234" s="7" t="str">
        <x:v>W4039</x:v>
      </x:c>
      <x:c r="C234" s="7" t="str">
        <x:v>カテゴリー付与（一次整理）</x:v>
      </x:c>
      <x:c r="D234" s="7" t="str">
        <x:v>原典の該当記述に基づく一次分類。個別製品の方式・年度差分の精査とは区別。</x:v>
      </x:c>
      <x:c r="E234" s="7" t="str">
        <x:v>AC181</x:v>
      </x:c>
      <x:c r="F234" s="7" t="str">
        <x:v>https://www.jimtof.org/search/jp/ESdetails?e=IUHezG5Z4xQ</x:v>
      </x:c>
      <x:c r="G234" s="7" t="str">
        <x:v>EXH-2026-66d65480e2017d11</x:v>
      </x:c>
      <x:c r="H234" s="7" t="str">
        <x:v>ニューレジストン株式会社</x:v>
      </x:c>
    </x:row>
    <x:row r="235" ht="65" customHeight="1">
      <x:c r="A235" s="7" t="str">
        <x:v>株式会社ネオフレックス</x:v>
      </x:c>
      <x:c r="B235" s="7" t="str">
        <x:v>S3039</x:v>
      </x:c>
      <x:c r="C235" s="7" t="str">
        <x:v>カテゴリー付与（周辺要素）</x:v>
      </x:c>
      <x:c r="D235" s="7" t="str">
        <x:v>原典の該当記述に基づく一次分類。個別製品の方式・年度差分の精査とは区別。</x:v>
      </x:c>
      <x:c r="E235" s="7" t="str">
        <x:v>AC182</x:v>
      </x:c>
      <x:c r="F235" s="7" t="str">
        <x:v>https://www.jimtof.org/search/jp/ESdetails?e=CQ20cW795qg</x:v>
      </x:c>
      <x:c r="G235" s="7" t="str">
        <x:v>EXH-2026-7e162011f9184cc6</x:v>
      </x:c>
      <x:c r="H235" s="7" t="str">
        <x:v>株式会社ネオフレックス</x:v>
      </x:c>
    </x:row>
    <x:row r="236" ht="65" customHeight="1">
      <x:c r="A236" s="7" t="str">
        <x:v>ハイウィン株式会社</x:v>
      </x:c>
      <x:c r="B236" s="7" t="str">
        <x:v>W2072</x:v>
      </x:c>
      <x:c r="C236" s="7" t="str">
        <x:v>カテゴリー付与（一次整理）</x:v>
      </x:c>
      <x:c r="D236" s="7" t="str">
        <x:v>原典の該当記述に基づく一次分類。個別製品の方式・年度差分の精査とは区別。</x:v>
      </x:c>
      <x:c r="E236" s="7" t="str">
        <x:v>AC183</x:v>
      </x:c>
      <x:c r="F236" s="7" t="str">
        <x:v>https://www.jimtof.org/search/jp/ESdetails?e=t1osgdfU2Dk</x:v>
      </x:c>
      <x:c r="G236" s="7" t="str">
        <x:v>EXH-2026-af31f3db6da43220</x:v>
      </x:c>
      <x:c r="H236" s="7" t="str">
        <x:v>ハイウィン株式会社</x:v>
      </x:c>
    </x:row>
    <x:row r="237" ht="65" customHeight="1">
      <x:c r="A237" s="7" t="str">
        <x:v>ハインブッフ・ジャパン株式会社</x:v>
      </x:c>
      <x:c r="B237" s="7" t="str">
        <x:v>S2018</x:v>
      </x:c>
      <x:c r="C237" s="7" t="str">
        <x:v>カテゴリー付与（一次整理）</x:v>
      </x:c>
      <x:c r="D237" s="7" t="str">
        <x:v>原典の該当記述に基づく一次分類。個別製品の方式・年度差分の精査とは区別。</x:v>
      </x:c>
      <x:c r="E237" s="7" t="str">
        <x:v>AC184</x:v>
      </x:c>
      <x:c r="F237" s="7" t="str">
        <x:v>https://www.jimtof.org/search/jp/ESdetails?e=zOoraplih0o</x:v>
      </x:c>
      <x:c r="G237" s="7" t="str">
        <x:v>EXH-2026-4d2afbc1f254e0f7</x:v>
      </x:c>
      <x:c r="H237" s="7" t="str">
        <x:v>ハインブッフ・ジャパン株式会社</x:v>
      </x:c>
    </x:row>
    <x:row r="238" ht="65" customHeight="1">
      <x:c r="A238" s="7" t="str">
        <x:v>HAWEジャパン株式会社</x:v>
      </x:c>
      <x:c r="B238" s="7" t="str">
        <x:v>E3005</x:v>
      </x:c>
      <x:c r="C238" s="7" t="str">
        <x:v>カテゴリー付与（周辺要素）</x:v>
      </x:c>
      <x:c r="D238" s="7" t="str">
        <x:v>原典の該当記述に基づく一次分類。個別製品の方式・年度差分の精査とは区別。</x:v>
      </x:c>
      <x:c r="E238" s="7" t="str">
        <x:v>AC185</x:v>
      </x:c>
      <x:c r="F238" s="7" t="str">
        <x:v>https://www.jimtof.org/search/jp/ESdetails?e=uvRSrTznX5g</x:v>
      </x:c>
      <x:c r="G238" s="7" t="str">
        <x:v>EXH-2026-9f03016f633961ce</x:v>
      </x:c>
      <x:c r="H238" s="7" t="str">
        <x:v>haweジャパン株式会社</x:v>
      </x:c>
    </x:row>
    <x:row r="239" ht="65" customHeight="1">
      <x:c r="A239" s="7" t="str">
        <x:v>株式会社白山機工</x:v>
      </x:c>
      <x:c r="B239" s="7" t="str">
        <x:v>E2007</x:v>
      </x:c>
      <x:c r="C239" s="7" t="str">
        <x:v>カテゴリー付与（一次整理）</x:v>
      </x:c>
      <x:c r="D239" s="7" t="str">
        <x:v>原典の該当記述に基づく一次分類。個別製品の方式・年度差分の精査とは区別。</x:v>
      </x:c>
      <x:c r="E239" s="7" t="str">
        <x:v>AC186</x:v>
      </x:c>
      <x:c r="F239" s="7" t="str">
        <x:v>https://www.jimtof.org/search/jp/ESdetails?e=FNFR7REQOl4</x:v>
      </x:c>
      <x:c r="G239" s="7" t="str">
        <x:v>EXH-2026-d8a50e23a9101b11</x:v>
      </x:c>
      <x:c r="H239" s="7" t="str">
        <x:v>株式会社白山機工</x:v>
      </x:c>
    </x:row>
    <x:row r="240" ht="65" customHeight="1">
      <x:c r="A240" s="7" t="str">
        <x:v>パスカル株式会社</x:v>
      </x:c>
      <x:c r="B240" s="7" t="str">
        <x:v>W2047</x:v>
      </x:c>
      <x:c r="C240" s="7" t="str">
        <x:v>カテゴリー付与（周辺要素）</x:v>
      </x:c>
      <x:c r="D240" s="7" t="str">
        <x:v>原典の該当記述に基づく一次分類。個別製品の方式・年度差分の精査とは区別。</x:v>
      </x:c>
      <x:c r="E240" s="7" t="str">
        <x:v>AC187</x:v>
      </x:c>
      <x:c r="F240" s="7" t="str">
        <x:v>https://www.jimtof.org/search/jp/ESdetails?e=e-bUm2EYnJU</x:v>
      </x:c>
      <x:c r="G240" s="7" t="str">
        <x:v>EXH-2026-56d3111fc27b5344</x:v>
      </x:c>
      <x:c r="H240" s="7" t="str">
        <x:v>パスカル株式会社</x:v>
      </x:c>
    </x:row>
    <x:row r="241" ht="65" customHeight="1">
      <x:c r="A241" s="7" t="str">
        <x:v>株式会社長谷川機械製作所</x:v>
      </x:c>
      <x:c r="B241" s="7" t="str">
        <x:v>E7051</x:v>
      </x:c>
      <x:c r="C241" s="7" t="str">
        <x:v>カテゴリー付与（一次整理）</x:v>
      </x:c>
      <x:c r="D241" s="7" t="str">
        <x:v>原典の該当記述に基づく一次分類。個別製品の方式・年度差分の精査とは区別。</x:v>
      </x:c>
      <x:c r="E241" s="7" t="str">
        <x:v>AC188</x:v>
      </x:c>
      <x:c r="F241" s="7" t="str">
        <x:v>https://www.jimtof.org/search/jp/ESdetails?e=gRk0brhHn-M</x:v>
      </x:c>
      <x:c r="G241" s="7" t="str">
        <x:v>EXH-2026-e84a14f7dc6094b9</x:v>
      </x:c>
      <x:c r="H241" s="7" t="str">
        <x:v>株式会社長谷川機械製作所</x:v>
      </x:c>
    </x:row>
    <x:row r="242" ht="65" customHeight="1">
      <x:c r="A242" s="7" t="str">
        <x:v>株式会社初田製作所</x:v>
      </x:c>
      <x:c r="B242" s="7" t="str">
        <x:v>S3083</x:v>
      </x:c>
      <x:c r="C242" s="7" t="str">
        <x:v>カテゴリー付与（一次整理）</x:v>
      </x:c>
      <x:c r="D242" s="7" t="str">
        <x:v>原典の該当記述に基づく一次分類。個別製品の方式・年度差分の精査とは区別。</x:v>
      </x:c>
      <x:c r="E242" s="7" t="str">
        <x:v>AC189</x:v>
      </x:c>
      <x:c r="F242" s="7" t="str">
        <x:v>https://www.jimtof.org/search/jp/ESdetails?e=Y8Hglfxxl6U</x:v>
      </x:c>
      <x:c r="G242" s="7" t="str">
        <x:v>EXH-2026-e73069bc80a68783</x:v>
      </x:c>
      <x:c r="H242" s="7" t="str">
        <x:v>株式会社初田製作所</x:v>
      </x:c>
    </x:row>
    <x:row r="243" ht="65" customHeight="1">
      <x:c r="A243" s="7" t="str">
        <x:v>株式会社原製作所</x:v>
      </x:c>
      <x:c r="B243" s="7" t="str">
        <x:v>S4037</x:v>
      </x:c>
      <x:c r="C243" s="7" t="str">
        <x:v>カテゴリー付与（一次整理）</x:v>
      </x:c>
      <x:c r="D243" s="7" t="str">
        <x:v>原典の該当記述に基づく一次分類。個別製品の方式・年度差分の精査とは区別。</x:v>
      </x:c>
      <x:c r="E243" s="7" t="str">
        <x:v>AC190</x:v>
      </x:c>
      <x:c r="F243" s="7" t="str">
        <x:v>https://www.jimtof.org/search/jp/ESdetails?e=LRuS5p7XpwI</x:v>
      </x:c>
      <x:c r="G243" s="7" t="str">
        <x:v>EXH-2026-8550e99361de2f5b</x:v>
      </x:c>
      <x:c r="H243" s="7" t="str">
        <x:v>株式会社原製作所</x:v>
      </x:c>
    </x:row>
    <x:row r="244" ht="65" customHeight="1">
      <x:c r="A244" s="7" t="str">
        <x:v>株式会社広築</x:v>
      </x:c>
      <x:c r="B244" s="7" t="str">
        <x:v>E1016</x:v>
      </x:c>
      <x:c r="C244" s="7" t="str">
        <x:v>カテゴリー付与（一次整理）</x:v>
      </x:c>
      <x:c r="D244" s="7" t="str">
        <x:v>原典の該当記述に基づく一次分類。個別製品の方式・年度差分の精査とは区別。</x:v>
      </x:c>
      <x:c r="E244" s="7" t="str">
        <x:v>AC191</x:v>
      </x:c>
      <x:c r="F244" s="7" t="str">
        <x:v>https://www.jimtof.org/search/jp/ESdetails?e=tTqTOqglEMs</x:v>
      </x:c>
      <x:c r="G244" s="7" t="str">
        <x:v>EXH-2026-85b5faf8f6b2498f</x:v>
      </x:c>
      <x:c r="H244" s="7" t="str">
        <x:v>株式会社広築</x:v>
      </x:c>
    </x:row>
    <x:row r="245" ht="65" customHeight="1">
      <x:c r="A245" s="7" t="str">
        <x:v>株式会社ファーステック</x:v>
      </x:c>
      <x:c r="B245" s="7" t="str">
        <x:v>W2073</x:v>
      </x:c>
      <x:c r="C245" s="7" t="str">
        <x:v>カテゴリー付与（周辺要素）</x:v>
      </x:c>
      <x:c r="D245" s="7" t="str">
        <x:v>原典の該当記述に基づく一次分類。個別製品の方式・年度差分の精査とは区別。</x:v>
      </x:c>
      <x:c r="E245" s="7" t="str">
        <x:v>AC192</x:v>
      </x:c>
      <x:c r="F245" s="7" t="str">
        <x:v>https://www.jimtof.org/search/jp/ESdetails?e=IkO-nLPn17Y</x:v>
      </x:c>
      <x:c r="G245" s="7" t="str">
        <x:v>EXH-2026-e4150112aeeac886</x:v>
      </x:c>
      <x:c r="H245" s="7" t="str">
        <x:v>株式会社ファーステック</x:v>
      </x:c>
    </x:row>
    <x:row r="246" ht="65" customHeight="1">
      <x:c r="A246" s="7" t="str">
        <x:v>株式会社ファースト技研</x:v>
      </x:c>
      <x:c r="B246" s="7" t="str">
        <x:v>S1006</x:v>
      </x:c>
      <x:c r="C246" s="7" t="str">
        <x:v>カテゴリー付与（一次整理）</x:v>
      </x:c>
      <x:c r="D246" s="7" t="str">
        <x:v>原典の該当記述に基づく一次分類。個別製品の方式・年度差分の精査とは区別。</x:v>
      </x:c>
      <x:c r="E246" s="7" t="str">
        <x:v>AC193</x:v>
      </x:c>
      <x:c r="F246" s="7" t="str">
        <x:v>https://www.jimtof.org/search/jp/ESdetails?e=EE3GcaODxGA</x:v>
      </x:c>
      <x:c r="G246" s="7" t="str">
        <x:v>EXH-2026-c6b62421f514a00b</x:v>
      </x:c>
      <x:c r="H246" s="7" t="str">
        <x:v>株式会社ファースト技研</x:v>
      </x:c>
    </x:row>
    <x:row r="247" ht="65" customHeight="1">
      <x:c r="A247" s="7" t="str">
        <x:v>株式会社フアクト</x:v>
      </x:c>
      <x:c r="B247" s="7" t="str">
        <x:v>S3013</x:v>
      </x:c>
      <x:c r="C247" s="7" t="str">
        <x:v>カテゴリー付与（一次整理）</x:v>
      </x:c>
      <x:c r="D247" s="7" t="str">
        <x:v>原典の該当記述に基づく一次分類。個別製品の方式・年度差分の精査とは区別。</x:v>
      </x:c>
      <x:c r="E247" s="7" t="str">
        <x:v>AC194</x:v>
      </x:c>
      <x:c r="F247" s="7" t="str">
        <x:v>https://www.jimtof.org/search/jp/ESdetails?e=taaGM0brdn8</x:v>
      </x:c>
      <x:c r="G247" s="7" t="str">
        <x:v>EXH-2026-ae1a6fcc911ca14b</x:v>
      </x:c>
      <x:c r="H247" s="7" t="str">
        <x:v>株式会社フアクト</x:v>
      </x:c>
    </x:row>
    <x:row r="248" ht="65" customHeight="1">
      <x:c r="A248" s="7" t="str">
        <x:v>株式会社Fact Base</x:v>
      </x:c>
      <x:c r="B248" s="7" t="str">
        <x:v>S3017</x:v>
      </x:c>
      <x:c r="C248" s="7" t="str">
        <x:v>カテゴリー付与（一次整理）</x:v>
      </x:c>
      <x:c r="D248" s="7" t="str">
        <x:v>原典の該当記述に基づく一次分類。個別製品の方式・年度差分の精査とは区別。</x:v>
      </x:c>
      <x:c r="E248" s="7" t="str">
        <x:v>AC195</x:v>
      </x:c>
      <x:c r="F248" s="7" t="str">
        <x:v>https://www.jimtof.org/search/jp/ESdetails?e=hZaNogHdQM4</x:v>
      </x:c>
      <x:c r="G248" s="7" t="str">
        <x:v>EXH-2026-3b6a1de81c17dfee</x:v>
      </x:c>
      <x:c r="H248" s="7" t="str">
        <x:v>株式会社factbase</x:v>
      </x:c>
    </x:row>
    <x:row r="249" ht="65" customHeight="1">
      <x:c r="A249" s="7" t="str">
        <x:v>ファゴール・オートメーション・ジャパン株式会社</x:v>
      </x:c>
      <x:c r="B249" s="7" t="str">
        <x:v>S3078</x:v>
      </x:c>
      <x:c r="C249" s="7" t="str">
        <x:v>対象外（語の一致・用途等）</x:v>
      </x:c>
      <x:c r="D249" s="7" t="str">
        <x:v>エンコーダの光学測定技術改良。最適化の語だけでAI・DXに分類しない。</x:v>
      </x:c>
      <x:c r="E249" s="7" t="str"/>
      <x:c r="F249" s="7" t="str">
        <x:v>https://www.jimtof.org/search/jp/ESdetails?e=iFfGVH0vPS8</x:v>
      </x:c>
      <x:c r="G249" s="7" t="str">
        <x:v>EXH-2026-29a5d6085a560230</x:v>
      </x:c>
      <x:c r="H249" s="7" t="str">
        <x:v>ファゴール・オートメーション・ジャパン株式会社</x:v>
      </x:c>
    </x:row>
    <x:row r="250" ht="65" customHeight="1">
      <x:c r="A250" s="7" t="str">
        <x:v>フォルマー・ジャパン株式会社</x:v>
      </x:c>
      <x:c r="B250" s="7" t="str">
        <x:v>E2010</x:v>
      </x:c>
      <x:c r="C250" s="7" t="str">
        <x:v>カテゴリー付与（一次整理）</x:v>
      </x:c>
      <x:c r="D250" s="7" t="str">
        <x:v>原典の該当記述に基づく一次分類。個別製品の方式・年度差分の精査とは区別。</x:v>
      </x:c>
      <x:c r="E250" s="7" t="str">
        <x:v>AC197</x:v>
      </x:c>
      <x:c r="F250" s="7" t="str">
        <x:v>https://www.jimtof.org/search/jp/ESdetails?e=WUN4zdX-bpQ</x:v>
      </x:c>
      <x:c r="G250" s="7" t="str">
        <x:v>EXH-2026-7f8b2de5917f117e</x:v>
      </x:c>
      <x:c r="H250" s="7" t="str">
        <x:v>フォルマー・ジャパン株式会社</x:v>
      </x:c>
    </x:row>
    <x:row r="251" ht="65" customHeight="1">
      <x:c r="A251" s="7" t="str">
        <x:v>株式会社FUJI</x:v>
      </x:c>
      <x:c r="B251" s="7" t="str">
        <x:v>E3021</x:v>
      </x:c>
      <x:c r="C251" s="7" t="str">
        <x:v>カテゴリー付与（一次整理）</x:v>
      </x:c>
      <x:c r="D251" s="7" t="str">
        <x:v>原典の該当記述に基づく一次分類。個別製品の方式・年度差分の精査とは区別。</x:v>
      </x:c>
      <x:c r="E251" s="7" t="str">
        <x:v>AC198</x:v>
      </x:c>
      <x:c r="F251" s="7" t="str">
        <x:v>https://www.jimtof.org/search/jp/ESdetails?e=xJlXi-VNzio</x:v>
      </x:c>
      <x:c r="G251" s="7" t="str">
        <x:v>EXH-2026-c0de70c161714618</x:v>
      </x:c>
      <x:c r="H251" s="7" t="str">
        <x:v>株式会社fuji</x:v>
      </x:c>
    </x:row>
    <x:row r="252" ht="65" customHeight="1">
      <x:c r="A252" s="7" t="str">
        <x:v>株式会社富士機工</x:v>
      </x:c>
      <x:c r="B252" s="7" t="str">
        <x:v>E1043</x:v>
      </x:c>
      <x:c r="C252" s="7" t="str">
        <x:v>カテゴリー付与（一次整理）</x:v>
      </x:c>
      <x:c r="D252" s="7" t="str">
        <x:v>原典の該当記述に基づく一次分類。個別製品の方式・年度差分の精査とは区別。</x:v>
      </x:c>
      <x:c r="E252" s="7" t="str">
        <x:v>AC199</x:v>
      </x:c>
      <x:c r="F252" s="7" t="str">
        <x:v>https://www.jimtof.org/search/jp/ESdetails?e=krDglZoYKFc</x:v>
      </x:c>
      <x:c r="G252" s="7" t="str">
        <x:v>EXH-2026-dfd6e029520a8dd8</x:v>
      </x:c>
      <x:c r="H252" s="7" t="str">
        <x:v>株式会社富士機工</x:v>
      </x:c>
    </x:row>
    <x:row r="253" ht="65" customHeight="1">
      <x:c r="A253" s="7" t="str">
        <x:v>株式会社不二越</x:v>
      </x:c>
      <x:c r="B253" s="7" t="str">
        <x:v>W1092</x:v>
      </x:c>
      <x:c r="C253" s="7" t="str">
        <x:v>対象外（語の一致・用途等）</x:v>
      </x:c>
      <x:c r="D253" s="7" t="str">
        <x:v>切削工具・加工法の最適化提案。個別のAI・DX・自動化装置は未特定。</x:v>
      </x:c>
      <x:c r="E253" s="7" t="str"/>
      <x:c r="F253" s="7" t="str">
        <x:v>https://www.jimtof.org/search/jp/ESdetails?e=JeNYZRnaefg</x:v>
      </x:c>
      <x:c r="G253" s="7" t="str">
        <x:v>EXH-2026-8fa6c961b1759518</x:v>
      </x:c>
      <x:c r="H253" s="7" t="str">
        <x:v>株式会社不二越</x:v>
      </x:c>
    </x:row>
    <x:row r="254" ht="65" customHeight="1">
      <x:c r="A254" s="7" t="str">
        <x:v>富士精工株式会社</x:v>
      </x:c>
      <x:c r="B254" s="7" t="str">
        <x:v>W1062</x:v>
      </x:c>
      <x:c r="C254" s="7" t="str">
        <x:v>カテゴリー付与（周辺要素）</x:v>
      </x:c>
      <x:c r="D254" s="7" t="str">
        <x:v>原典の該当記述に基づく一次分類。個別製品の方式・年度差分の精査とは区別。</x:v>
      </x:c>
      <x:c r="E254" s="7" t="str">
        <x:v>AC201</x:v>
      </x:c>
      <x:c r="F254" s="7" t="str">
        <x:v>https://www.jimtof.org/search/jp/ESdetails?e=4V4-l4rKNxY</x:v>
      </x:c>
      <x:c r="G254" s="7" t="str">
        <x:v>EXH-2026-60ce989c04f949c1</x:v>
      </x:c>
      <x:c r="H254" s="7" t="str">
        <x:v>富士精工株式会社</x:v>
      </x:c>
    </x:row>
    <x:row r="255" ht="65" customHeight="1">
      <x:c r="A255" s="7" t="str">
        <x:v>フジBC技研株式会社</x:v>
      </x:c>
      <x:c r="B255" s="7" t="str">
        <x:v>W1067</x:v>
      </x:c>
      <x:c r="C255" s="7" t="str">
        <x:v>対象外（語の一致・用途等）</x:v>
      </x:c>
      <x:c r="D255" s="7" t="str">
        <x:v>ロボットマシニングは切削油剤の採用用途。ロボットシステム展示ではない。</x:v>
      </x:c>
      <x:c r="E255" s="7" t="str"/>
      <x:c r="F255" s="7" t="str">
        <x:v>https://www.jimtof.org/search/jp/ESdetails?e=35tDpmqLSDQ</x:v>
      </x:c>
      <x:c r="G255" s="7" t="str">
        <x:v>EXH-2026-0bf4adf59b20b1d7</x:v>
      </x:c>
      <x:c r="H255" s="7" t="str">
        <x:v>フジbc技研株式会社</x:v>
      </x:c>
    </x:row>
    <x:row r="256" ht="65" customHeight="1">
      <x:c r="A256" s="7" t="str">
        <x:v>ブリンクマン・ポンプ・ジャパン株式会社</x:v>
      </x:c>
      <x:c r="B256" s="7" t="str">
        <x:v>W4091</x:v>
      </x:c>
      <x:c r="C256" s="7" t="str">
        <x:v>カテゴリー付与（周辺要素）</x:v>
      </x:c>
      <x:c r="D256" s="7" t="str">
        <x:v>原典の該当記述に基づく一次分類。個別製品の方式・年度差分の精査とは区別。</x:v>
      </x:c>
      <x:c r="E256" s="7" t="str">
        <x:v>AC203</x:v>
      </x:c>
      <x:c r="F256" s="7" t="str">
        <x:v>https://www.jimtof.org/search/jp/ESdetails?e=DtPO9o9IY_4</x:v>
      </x:c>
      <x:c r="G256" s="7" t="str">
        <x:v>EXH-2026-69c2d824f043f816</x:v>
      </x:c>
      <x:c r="H256" s="7" t="str">
        <x:v>ブリンクマン・ポンプ・ジャパン株式会社</x:v>
      </x:c>
    </x:row>
    <x:row r="257" ht="65" customHeight="1">
      <x:c r="A257" s="7" t="str">
        <x:v>株式会社ブロードリーフ</x:v>
      </x:c>
      <x:c r="B257" s="7" t="str">
        <x:v>S3068</x:v>
      </x:c>
      <x:c r="C257" s="7" t="str">
        <x:v>カテゴリー付与（一次整理）</x:v>
      </x:c>
      <x:c r="D257" s="7" t="str">
        <x:v>原典の該当記述に基づく一次分類。個別製品の方式・年度差分の精査とは区別。</x:v>
      </x:c>
      <x:c r="E257" s="7" t="str">
        <x:v>AC204</x:v>
      </x:c>
      <x:c r="F257" s="7" t="str">
        <x:v>https://www.jimtof.org/search/jp/ESdetails?e=Dt_yEexTCZo</x:v>
      </x:c>
      <x:c r="G257" s="7" t="str">
        <x:v>EXH-2026-8014e235f82da6ea</x:v>
      </x:c>
      <x:c r="H257" s="7" t="str">
        <x:v>株式会社ブロードリーフ</x:v>
      </x:c>
    </x:row>
    <x:row r="258" ht="65" customHeight="1">
      <x:c r="A258" s="7" t="str">
        <x:v>株式会社ブンリ</x:v>
      </x:c>
      <x:c r="B258" s="7" t="str">
        <x:v>W4086</x:v>
      </x:c>
      <x:c r="C258" s="7" t="str">
        <x:v>カテゴリー付与（周辺要素）</x:v>
      </x:c>
      <x:c r="D258" s="7" t="str">
        <x:v>原典の該当記述に基づく一次分類。個別製品の方式・年度差分の精査とは区別。</x:v>
      </x:c>
      <x:c r="E258" s="7" t="str">
        <x:v>AC205</x:v>
      </x:c>
      <x:c r="F258" s="7" t="str">
        <x:v>https://www.jimtof.org/search/jp/ESdetails?e=r-Kxnh9Ctzg</x:v>
      </x:c>
      <x:c r="G258" s="7" t="str">
        <x:v>EXH-2026-5453132e0eec20bd</x:v>
      </x:c>
      <x:c r="H258" s="7" t="str">
        <x:v>株式会社ブンリ</x:v>
      </x:c>
    </x:row>
    <x:row r="259" ht="65" customHeight="1">
      <x:c r="A259" s="7" t="str">
        <x:v>ベクトリックス株式会社</x:v>
      </x:c>
      <x:c r="B259" s="7" t="str">
        <x:v>E7029</x:v>
      </x:c>
      <x:c r="C259" s="7" t="str">
        <x:v>カテゴリー付与（一次整理）</x:v>
      </x:c>
      <x:c r="D259" s="7" t="str">
        <x:v>原典の該当記述に基づく一次分類。個別製品の方式・年度差分の精査とは区別。</x:v>
      </x:c>
      <x:c r="E259" s="7" t="str">
        <x:v>AC206</x:v>
      </x:c>
      <x:c r="F259" s="7" t="str">
        <x:v>https://www.jimtof.org/search/jp/ESdetails?e=P5HLZf3n2dk</x:v>
      </x:c>
      <x:c r="G259" s="7" t="str">
        <x:v>EXH-2026-051461fc275e164d</x:v>
      </x:c>
      <x:c r="H259" s="7" t="str">
        <x:v>ベクトリックス株式会社</x:v>
      </x:c>
    </x:row>
    <x:row r="260" ht="65" customHeight="1">
      <x:c r="A260" s="7" t="str">
        <x:v>ベクトル株式会社</x:v>
      </x:c>
      <x:c r="B260" s="7" t="str">
        <x:v>W3116</x:v>
      </x:c>
      <x:c r="C260" s="7" t="str">
        <x:v>カテゴリー付与（一次整理）</x:v>
      </x:c>
      <x:c r="D260" s="7" t="str">
        <x:v>原典の該当記述に基づく一次分類。個別製品の方式・年度差分の精査とは区別。</x:v>
      </x:c>
      <x:c r="E260" s="7" t="str">
        <x:v>AC207</x:v>
      </x:c>
      <x:c r="F260" s="7" t="str">
        <x:v>https://www.jimtof.org/search/jp/ESdetails?e=IPepQI4Pn3c</x:v>
      </x:c>
      <x:c r="G260" s="7" t="str">
        <x:v>EXH-2026-674c605ed0bd261d</x:v>
      </x:c>
      <x:c r="H260" s="7" t="str">
        <x:v>ベクトル株式会社</x:v>
      </x:c>
    </x:row>
    <x:row r="261" ht="65" customHeight="1">
      <x:c r="A261" s="7" t="str">
        <x:v>ヘラマンタイトン株式会社</x:v>
      </x:c>
      <x:c r="B261" s="7" t="str">
        <x:v>S3063</x:v>
      </x:c>
      <x:c r="C261" s="7" t="str">
        <x:v>カテゴリー付与（周辺要素）</x:v>
      </x:c>
      <x:c r="D261" s="7" t="str">
        <x:v>原典の該当記述に基づく一次分類。個別製品の方式・年度差分の精査とは区別。</x:v>
      </x:c>
      <x:c r="E261" s="7" t="str">
        <x:v>AC208</x:v>
      </x:c>
      <x:c r="F261" s="7" t="str">
        <x:v>https://www.jimtof.org/search/jp/ESdetails?e=xEXdOEK7Vpc</x:v>
      </x:c>
      <x:c r="G261" s="7" t="str">
        <x:v>EXH-2026-61c5e32e01981e4b</x:v>
      </x:c>
      <x:c r="H261" s="7" t="str">
        <x:v>ヘラマンタイトン株式会社</x:v>
      </x:c>
    </x:row>
    <x:row r="262" ht="65" customHeight="1">
      <x:c r="A262" s="7" t="str">
        <x:v>牧野フライス精機株式会社</x:v>
      </x:c>
      <x:c r="B262" s="7" t="str">
        <x:v>E7090</x:v>
      </x:c>
      <x:c r="C262" s="7" t="str">
        <x:v>カテゴリー付与（一次整理）</x:v>
      </x:c>
      <x:c r="D262" s="7" t="str">
        <x:v>原典の該当記述に基づく一次分類。個別製品の方式・年度差分の精査とは区別。</x:v>
      </x:c>
      <x:c r="E262" s="7" t="str">
        <x:v>AC209</x:v>
      </x:c>
      <x:c r="F262" s="7" t="str">
        <x:v>https://www.jimtof.org/search/jp/ESdetails?e=jlC7OSSk2O4</x:v>
      </x:c>
      <x:c r="G262" s="7" t="str">
        <x:v>EXH-2026-41a8f9ad241e4c0e</x:v>
      </x:c>
      <x:c r="H262" s="7" t="str">
        <x:v>牧野フライス精機株式会社</x:v>
      </x:c>
    </x:row>
    <x:row r="263" ht="65" customHeight="1">
      <x:c r="A263" s="7" t="str">
        <x:v>株式会社マザーツール</x:v>
      </x:c>
      <x:c r="B263" s="7" t="str">
        <x:v>S4038</x:v>
      </x:c>
      <x:c r="C263" s="7" t="str">
        <x:v>カテゴリー付与（一次整理）</x:v>
      </x:c>
      <x:c r="D263" s="7" t="str">
        <x:v>原典の該当記述に基づく一次分類。個別製品の方式・年度差分の精査とは区別。</x:v>
      </x:c>
      <x:c r="E263" s="7" t="str">
        <x:v>AC210</x:v>
      </x:c>
      <x:c r="F263" s="7" t="str">
        <x:v>https://www.jimtof.org/search/jp/ESdetails?e=BoITLU2Wxfk</x:v>
      </x:c>
      <x:c r="G263" s="7" t="str">
        <x:v>EXH-2026-57f4a98dc1098522</x:v>
      </x:c>
      <x:c r="H263" s="7" t="str">
        <x:v>株式会社マザーツール</x:v>
      </x:c>
    </x:row>
    <x:row r="264" ht="65" customHeight="1">
      <x:c r="A264" s="7" t="str">
        <x:v>株式会社マシンソル</x:v>
      </x:c>
      <x:c r="B264" s="7" t="str">
        <x:v>S4006</x:v>
      </x:c>
      <x:c r="C264" s="7" t="str">
        <x:v>カテゴリー付与（一次整理）</x:v>
      </x:c>
      <x:c r="D264" s="7" t="str">
        <x:v>原典の該当記述に基づく一次分類。個別製品の方式・年度差分の精査とは区別。</x:v>
      </x:c>
      <x:c r="E264" s="7" t="str">
        <x:v>AC211</x:v>
      </x:c>
      <x:c r="F264" s="7" t="str">
        <x:v>https://www.jimtof.org/search/jp/ESdetails?e=5mtGGNcGld4</x:v>
      </x:c>
      <x:c r="G264" s="7" t="str">
        <x:v>EXH-2026-c8322aa501c4ccac</x:v>
      </x:c>
      <x:c r="H264" s="7" t="str">
        <x:v>株式会社マシンソル</x:v>
      </x:c>
    </x:row>
    <x:row r="265" ht="65" customHeight="1">
      <x:c r="A265" s="7" t="str">
        <x:v>マツザワマシナリー株式会社</x:v>
      </x:c>
      <x:c r="B265" s="7" t="str">
        <x:v>S1065</x:v>
      </x:c>
      <x:c r="C265" s="7" t="str">
        <x:v>カテゴリー付与（一次整理）</x:v>
      </x:c>
      <x:c r="D265" s="7" t="str">
        <x:v>原典の該当記述に基づく一次分類。個別製品の方式・年度差分の精査とは区別。</x:v>
      </x:c>
      <x:c r="E265" s="7" t="str">
        <x:v>AC212</x:v>
      </x:c>
      <x:c r="F265" s="7" t="str">
        <x:v>https://www.jimtof.org/search/jp/ESdetails?e=z-dR3pMeEyA</x:v>
      </x:c>
      <x:c r="G265" s="7" t="str">
        <x:v>EXH-2026-5b194844c6be3f53</x:v>
      </x:c>
      <x:c r="H265" s="7" t="str">
        <x:v>マツザワマシナリー株式会社</x:v>
      </x:c>
    </x:row>
    <x:row r="266" ht="65" customHeight="1">
      <x:c r="A266" s="7" t="str">
        <x:v>マツモト機械株式会社</x:v>
      </x:c>
      <x:c r="B266" s="7" t="str">
        <x:v>S1064</x:v>
      </x:c>
      <x:c r="C266" s="7" t="str">
        <x:v>カテゴリー付与（一次整理）</x:v>
      </x:c>
      <x:c r="D266" s="7" t="str">
        <x:v>原典の該当記述に基づく一次分類。個別製品の方式・年度差分の精査とは区別。</x:v>
      </x:c>
      <x:c r="E266" s="7" t="str">
        <x:v>AC213</x:v>
      </x:c>
      <x:c r="F266" s="7" t="str">
        <x:v>https://www.jimtof.org/search/jp/ESdetails?e=yVcAwif6HR0</x:v>
      </x:c>
      <x:c r="G266" s="7" t="str">
        <x:v>EXH-2026-bacd8437326ccedb</x:v>
      </x:c>
      <x:c r="H266" s="7" t="str">
        <x:v>マツモト機械株式会社</x:v>
      </x:c>
    </x:row>
    <x:row r="267" ht="65" customHeight="1">
      <x:c r="A267" s="7" t="str">
        <x:v>松本機械工業株式会社</x:v>
      </x:c>
      <x:c r="B267" s="7" t="str">
        <x:v>W2070</x:v>
      </x:c>
      <x:c r="C267" s="7" t="str">
        <x:v>カテゴリー付与（一次整理）</x:v>
      </x:c>
      <x:c r="D267" s="7" t="str">
        <x:v>原典の該当記述に基づく一次分類。個別製品の方式・年度差分の精査とは区別。</x:v>
      </x:c>
      <x:c r="E267" s="7" t="str">
        <x:v>AC214</x:v>
      </x:c>
      <x:c r="F267" s="7" t="str">
        <x:v>https://www.jimtof.org/search/jp/ESdetails?e=bhpEIIjKNb4</x:v>
      </x:c>
      <x:c r="G267" s="7" t="str">
        <x:v>EXH-2026-0daa587f8abf6076</x:v>
      </x:c>
      <x:c r="H267" s="7" t="str">
        <x:v>松本機械工業株式会社</x:v>
      </x:c>
    </x:row>
    <x:row r="268" ht="65" customHeight="1">
      <x:c r="A268" s="7" t="str">
        <x:v>丸紅情報システムズ株式会社</x:v>
      </x:c>
      <x:c r="B268" s="7" t="str">
        <x:v>S3081</x:v>
      </x:c>
      <x:c r="C268" s="7" t="str">
        <x:v>カテゴリー付与（一次整理）</x:v>
      </x:c>
      <x:c r="D268" s="7" t="str">
        <x:v>原典の該当記述に基づく一次分類。個別製品の方式・年度差分の精査とは区別。</x:v>
      </x:c>
      <x:c r="E268" s="7" t="str">
        <x:v>AC215</x:v>
      </x:c>
      <x:c r="F268" s="7" t="str">
        <x:v>https://www.jimtof.org/search/jp/ESdetails?e=CYlrKSmBqPU</x:v>
      </x:c>
      <x:c r="G268" s="7" t="str">
        <x:v>EXH-2026-724ec4dafc442c95</x:v>
      </x:c>
      <x:c r="H268" s="7" t="str">
        <x:v>丸紅情報システムズ株式会社</x:v>
      </x:c>
    </x:row>
    <x:row r="269" ht="65" customHeight="1">
      <x:c r="A269" s="7" t="str">
        <x:v>株式会社ミスミ</x:v>
      </x:c>
      <x:c r="B269" s="7" t="str">
        <x:v>W3099</x:v>
      </x:c>
      <x:c r="C269" s="7" t="str">
        <x:v>カテゴリー付与（一次整理）</x:v>
      </x:c>
      <x:c r="D269" s="7" t="str">
        <x:v>原典の該当記述に基づく一次分類。個別製品の方式・年度差分の精査とは区別。</x:v>
      </x:c>
      <x:c r="E269" s="7" t="str">
        <x:v>AC216</x:v>
      </x:c>
      <x:c r="F269" s="7" t="str">
        <x:v>https://www.jimtof.org/search/jp/ESdetails?e=h6ienur8wVM</x:v>
      </x:c>
      <x:c r="G269" s="7" t="str">
        <x:v>EXH-2026-df2de585aa6fd08a</x:v>
      </x:c>
      <x:c r="H269" s="7" t="str">
        <x:v>株式会社ミスミ</x:v>
      </x:c>
    </x:row>
    <x:row r="270" ht="65" customHeight="1">
      <x:c r="A270" s="7" t="str">
        <x:v>株式会社ミスミ</x:v>
      </x:c>
      <x:c r="B270" s="7" t="str">
        <x:v>W1085</x:v>
      </x:c>
      <x:c r="C270" s="7" t="str">
        <x:v>カテゴリー付与（一次整理）</x:v>
      </x:c>
      <x:c r="D270" s="7" t="str">
        <x:v>原典の該当記述に基づく一次分類。個別製品の方式・年度差分の精査とは区別。</x:v>
      </x:c>
      <x:c r="E270" s="7" t="str">
        <x:v>AC217</x:v>
      </x:c>
      <x:c r="F270" s="7" t="str">
        <x:v>https://www.jimtof.org/search/jp/ESdetails?e=LcjgLguZjr4</x:v>
      </x:c>
      <x:c r="G270" s="7" t="str">
        <x:v>EXH-2026-e80bcf8092a2c421</x:v>
      </x:c>
      <x:c r="H270" s="7" t="str">
        <x:v>株式会社ミスミ</x:v>
      </x:c>
    </x:row>
    <x:row r="271" ht="65" customHeight="1">
      <x:c r="A271" s="7" t="str">
        <x:v>三鷹光器株式会社</x:v>
      </x:c>
      <x:c r="B271" s="7" t="str">
        <x:v>E7019</x:v>
      </x:c>
      <x:c r="C271" s="7" t="str">
        <x:v>カテゴリー付与（一次整理）</x:v>
      </x:c>
      <x:c r="D271" s="7" t="str">
        <x:v>原典の該当記述に基づく一次分類。個別製品の方式・年度差分の精査とは区別。</x:v>
      </x:c>
      <x:c r="E271" s="7" t="str">
        <x:v>AC218</x:v>
      </x:c>
      <x:c r="F271" s="7" t="str">
        <x:v>https://www.jimtof.org/search/jp/ESdetails?e=5ypc5wYKnUk</x:v>
      </x:c>
      <x:c r="G271" s="7" t="str">
        <x:v>EXH-2026-076c9523ffcd57c6</x:v>
      </x:c>
      <x:c r="H271" s="7" t="str">
        <x:v>三鷹光器株式会社</x:v>
      </x:c>
    </x:row>
    <x:row r="272" ht="65" customHeight="1">
      <x:c r="A272" s="7" t="str">
        <x:v>三井精機工業株式会社</x:v>
      </x:c>
      <x:c r="B272" s="7" t="str">
        <x:v>E3029</x:v>
      </x:c>
      <x:c r="C272" s="7" t="str">
        <x:v>カテゴリー付与（一次整理）</x:v>
      </x:c>
      <x:c r="D272" s="7" t="str">
        <x:v>原典の該当記述に基づく一次分類。個別製品の方式・年度差分の精査とは区別。</x:v>
      </x:c>
      <x:c r="E272" s="7" t="str">
        <x:v>AC219</x:v>
      </x:c>
      <x:c r="F272" s="7" t="str">
        <x:v>https://www.jimtof.org/search/jp/ESdetails?e=Nzaw4M44lcw</x:v>
      </x:c>
      <x:c r="G272" s="7" t="str">
        <x:v>EXH-2026-7fc72cdc86a3c989</x:v>
      </x:c>
      <x:c r="H272" s="7" t="str">
        <x:v>三井精機工業株式会社</x:v>
      </x:c>
    </x:row>
    <x:row r="273" ht="65" customHeight="1">
      <x:c r="A273" s="7" t="str">
        <x:v>株式会社三井ハイテック</x:v>
      </x:c>
      <x:c r="B273" s="7" t="str">
        <x:v>E7071</x:v>
      </x:c>
      <x:c r="C273" s="7" t="str">
        <x:v>カテゴリー付与（一次整理）</x:v>
      </x:c>
      <x:c r="D273" s="7" t="str">
        <x:v>原典の該当記述に基づく一次分類。個別製品の方式・年度差分の精査とは区別。</x:v>
      </x:c>
      <x:c r="E273" s="7" t="str">
        <x:v>AC220</x:v>
      </x:c>
      <x:c r="F273" s="7" t="str">
        <x:v>https://www.jimtof.org/search/jp/ESdetails?e=qoCbIK0OzT4</x:v>
      </x:c>
      <x:c r="G273" s="7" t="str">
        <x:v>EXH-2026-8278ec058d2d2947</x:v>
      </x:c>
      <x:c r="H273" s="7" t="str">
        <x:v>株式会社三井ハイテック</x:v>
      </x:c>
    </x:row>
    <x:row r="274" ht="65" customHeight="1">
      <x:c r="A274" s="7" t="str">
        <x:v>ミツテック株式会社</x:v>
      </x:c>
      <x:c r="B274" s="7" t="str">
        <x:v>W2060</x:v>
      </x:c>
      <x:c r="C274" s="7" t="str">
        <x:v>カテゴリー付与（一次整理）</x:v>
      </x:c>
      <x:c r="D274" s="7" t="str">
        <x:v>原典の該当記述に基づく一次分類。個別製品の方式・年度差分の精査とは区別。</x:v>
      </x:c>
      <x:c r="E274" s="7" t="str">
        <x:v>AC221</x:v>
      </x:c>
      <x:c r="F274" s="7" t="str">
        <x:v>https://www.jimtof.org/search/jp/ESdetails?e=kOA339rt0Co</x:v>
      </x:c>
      <x:c r="G274" s="7" t="str">
        <x:v>EXH-2026-1232fea08643b011</x:v>
      </x:c>
      <x:c r="H274" s="7" t="str">
        <x:v>ミツテック株式会社</x:v>
      </x:c>
    </x:row>
    <x:row r="275" ht="65" customHeight="1">
      <x:c r="A275" s="7" t="str">
        <x:v>ミネベアミツミ株式会社</x:v>
      </x:c>
      <x:c r="B275" s="7" t="str">
        <x:v>W2029</x:v>
      </x:c>
      <x:c r="C275" s="7" t="str">
        <x:v>カテゴリー付与（周辺要素）</x:v>
      </x:c>
      <x:c r="D275" s="7" t="str">
        <x:v>原典の該当記述に基づく一次分類。個別製品の方式・年度差分の精査とは区別。</x:v>
      </x:c>
      <x:c r="E275" s="7" t="str">
        <x:v>AC222</x:v>
      </x:c>
      <x:c r="F275" s="7" t="str">
        <x:v>https://www.jimtof.org/search/jp/ESdetails?e=-h838KuejOA</x:v>
      </x:c>
      <x:c r="G275" s="7" t="str">
        <x:v>EXH-2026-fb52066b04681c9c</x:v>
      </x:c>
      <x:c r="H275" s="7" t="str">
        <x:v>ミネベアミツミ株式会社</x:v>
      </x:c>
    </x:row>
    <x:row r="276" ht="65" customHeight="1">
      <x:c r="A276" s="7" t="str">
        <x:v>株式会社ムラキ</x:v>
      </x:c>
      <x:c r="B276" s="7" t="str">
        <x:v>W1061</x:v>
      </x:c>
      <x:c r="C276" s="7" t="str">
        <x:v>カテゴリー付与（一次整理）</x:v>
      </x:c>
      <x:c r="D276" s="7" t="str">
        <x:v>原典の該当記述に基づく一次分類。個別製品の方式・年度差分の精査とは区別。</x:v>
      </x:c>
      <x:c r="E276" s="7" t="str">
        <x:v>AC223</x:v>
      </x:c>
      <x:c r="F276" s="7" t="str">
        <x:v>https://www.jimtof.org/search/jp/ESdetails?e=qIDqZhLSNgg</x:v>
      </x:c>
      <x:c r="G276" s="7" t="str">
        <x:v>EXH-2026-2f9afa9947d91429</x:v>
      </x:c>
      <x:c r="H276" s="7" t="str">
        <x:v>株式会社ムラキ</x:v>
      </x:c>
    </x:row>
    <x:row r="277" ht="65" customHeight="1">
      <x:c r="A277" s="7" t="str">
        <x:v>村田機械株式会社</x:v>
      </x:c>
      <x:c r="B277" s="7" t="str">
        <x:v>E3031</x:v>
      </x:c>
      <x:c r="C277" s="7" t="str">
        <x:v>カテゴリー付与（一次整理）</x:v>
      </x:c>
      <x:c r="D277" s="7" t="str">
        <x:v>原典の該当記述に基づく一次分類。個別製品の方式・年度差分の精査とは区別。</x:v>
      </x:c>
      <x:c r="E277" s="7" t="str">
        <x:v>AC224</x:v>
      </x:c>
      <x:c r="F277" s="7" t="str">
        <x:v>https://www.jimtof.org/search/jp/ESdetails?e=Jc5GYaUqS1I</x:v>
      </x:c>
      <x:c r="G277" s="7" t="str">
        <x:v>EXH-2026-8add052d1108d4ea</x:v>
      </x:c>
      <x:c r="H277" s="7" t="str">
        <x:v>村田機械株式会社</x:v>
      </x:c>
    </x:row>
    <x:row r="278" ht="65" customHeight="1">
      <x:c r="A278" s="7" t="str">
        <x:v>ムラテックＣＣＳ株式会社</x:v>
      </x:c>
      <x:c r="B278" s="7" t="str">
        <x:v>E3031</x:v>
      </x:c>
      <x:c r="C278" s="7" t="str">
        <x:v>カテゴリー付与（一次整理）</x:v>
      </x:c>
      <x:c r="D278" s="7" t="str">
        <x:v>原典の該当記述に基づく一次分類。個別製品の方式・年度差分の精査とは区別。</x:v>
      </x:c>
      <x:c r="E278" s="7" t="str">
        <x:v>AC225</x:v>
      </x:c>
      <x:c r="F278" s="7" t="str">
        <x:v>https://www.jimtof.org/search/jp/ESdetails?e=Z_SbvK_hxBY</x:v>
      </x:c>
      <x:c r="G278" s="7" t="str">
        <x:v>EXH-2026-308c5194f12fe009</x:v>
      </x:c>
      <x:c r="H278" s="7" t="str">
        <x:v>ムラテックccs株式会社</x:v>
      </x:c>
    </x:row>
    <x:row r="279" ht="65" customHeight="1">
      <x:c r="A279" s="7" t="str">
        <x:v>ムラテックフロンティア株式会社</x:v>
      </x:c>
      <x:c r="B279" s="7" t="str">
        <x:v>S3012</x:v>
      </x:c>
      <x:c r="C279" s="7" t="str">
        <x:v>カテゴリー付与（一次整理）</x:v>
      </x:c>
      <x:c r="D279" s="7" t="str">
        <x:v>原典の該当記述に基づく一次分類。個別製品の方式・年度差分の精査とは区別。</x:v>
      </x:c>
      <x:c r="E279" s="7" t="str">
        <x:v>AC226</x:v>
      </x:c>
      <x:c r="F279" s="7" t="str">
        <x:v>https://www.jimtof.org/search/jp/ESdetails?e=YWmIOEUq2KQ</x:v>
      </x:c>
      <x:c r="G279" s="7" t="str">
        <x:v>EXH-2026-859260bbab50e467</x:v>
      </x:c>
      <x:c r="H279" s="7" t="str">
        <x:v>ムラテックフロンティア株式会社</x:v>
      </x:c>
    </x:row>
    <x:row r="280" ht="65" customHeight="1">
      <x:c r="A280" s="7" t="str">
        <x:v>株式会社メトロール</x:v>
      </x:c>
      <x:c r="B280" s="7" t="str">
        <x:v>S4022</x:v>
      </x:c>
      <x:c r="C280" s="7" t="str">
        <x:v>カテゴリー付与（周辺要素）</x:v>
      </x:c>
      <x:c r="D280" s="7" t="str">
        <x:v>原典の該当記述に基づく一次分類。個別製品の方式・年度差分の精査とは区別。</x:v>
      </x:c>
      <x:c r="E280" s="7" t="str">
        <x:v>AC227</x:v>
      </x:c>
      <x:c r="F280" s="7" t="str">
        <x:v>https://www.jimtof.org/search/jp/ESdetails?e=wCfQP1f4Amo</x:v>
      </x:c>
      <x:c r="G280" s="7" t="str">
        <x:v>EXH-2026-d1b2346e07cb38c8</x:v>
      </x:c>
      <x:c r="H280" s="7" t="str">
        <x:v>株式会社メトロール</x:v>
      </x:c>
    </x:row>
    <x:row r="281" ht="65" customHeight="1">
      <x:c r="A281" s="7" t="str">
        <x:v>株式会社モアソンジャパン</x:v>
      </x:c>
      <x:c r="B281" s="7" t="str">
        <x:v>E2022</x:v>
      </x:c>
      <x:c r="C281" s="7" t="str">
        <x:v>カテゴリー付与（一次整理）</x:v>
      </x:c>
      <x:c r="D281" s="7" t="str">
        <x:v>原典の該当記述に基づく一次分類。個別製品の方式・年度差分の精査とは区別。</x:v>
      </x:c>
      <x:c r="E281" s="7" t="str">
        <x:v>AC228</x:v>
      </x:c>
      <x:c r="F281" s="7" t="str">
        <x:v>https://www.jimtof.org/search/jp/ESdetails?e=BA-QSlPL32I</x:v>
      </x:c>
      <x:c r="G281" s="7" t="str">
        <x:v>EXH-2026-d241e6d6ecb5d3ae</x:v>
      </x:c>
      <x:c r="H281" s="7" t="str">
        <x:v>株式会社モアソンジャパン</x:v>
      </x:c>
    </x:row>
    <x:row r="282" ht="65" customHeight="1">
      <x:c r="A282" s="7" t="str">
        <x:v>モバック株式会社</x:v>
      </x:c>
      <x:c r="B282" s="7" t="str">
        <x:v>S2004</x:v>
      </x:c>
      <x:c r="C282" s="7" t="str">
        <x:v>カテゴリー付与（一次整理）</x:v>
      </x:c>
      <x:c r="D282" s="7" t="str">
        <x:v>原典の該当記述に基づく一次分類。個別製品の方式・年度差分の精査とは区別。</x:v>
      </x:c>
      <x:c r="E282" s="7" t="str">
        <x:v>AC229</x:v>
      </x:c>
      <x:c r="F282" s="7" t="str">
        <x:v>https://www.jimtof.org/search/jp/ESdetails?e=o9Igifyx28Y</x:v>
      </x:c>
      <x:c r="G282" s="7" t="str">
        <x:v>EXH-2026-fa86a6a592392b7e</x:v>
      </x:c>
      <x:c r="H282" s="7" t="str">
        <x:v>モバック株式会社</x:v>
      </x:c>
    </x:row>
    <x:row r="283" ht="65" customHeight="1">
      <x:c r="A283" s="7" t="str">
        <x:v>柳瀬株式会社</x:v>
      </x:c>
      <x:c r="B283" s="7" t="str">
        <x:v>W4041</x:v>
      </x:c>
      <x:c r="C283" s="7" t="str">
        <x:v>カテゴリー付与（一次整理）</x:v>
      </x:c>
      <x:c r="D283" s="7" t="str">
        <x:v>原典の該当記述に基づく一次分類。個別製品の方式・年度差分の精査とは区別。</x:v>
      </x:c>
      <x:c r="E283" s="7" t="str">
        <x:v>AC230</x:v>
      </x:c>
      <x:c r="F283" s="7" t="str">
        <x:v>https://www.jimtof.org/search/jp/ESdetails?e=VB1iAf4ngXo</x:v>
      </x:c>
      <x:c r="G283" s="7" t="str">
        <x:v>EXH-2026-2c9090a62c406e00</x:v>
      </x:c>
      <x:c r="H283" s="7" t="str">
        <x:v>柳瀬株式会社</x:v>
      </x:c>
    </x:row>
    <x:row r="284" ht="65" customHeight="1">
      <x:c r="A284" s="7" t="str">
        <x:v>山口産業株式会社</x:v>
      </x:c>
      <x:c r="B284" s="7" t="str">
        <x:v>E7032</x:v>
      </x:c>
      <x:c r="C284" s="7" t="str">
        <x:v>カテゴリー付与（一次整理）</x:v>
      </x:c>
      <x:c r="D284" s="7" t="str">
        <x:v>原典の該当記述に基づく一次分類。個別製品の方式・年度差分の精査とは区別。</x:v>
      </x:c>
      <x:c r="E284" s="7" t="str">
        <x:v>AC231</x:v>
      </x:c>
      <x:c r="F284" s="7" t="str">
        <x:v>https://www.jimtof.org/search/jp/ESdetails?e=swNETGQjKXM</x:v>
      </x:c>
      <x:c r="G284" s="7" t="str">
        <x:v>EXH-2026-b6977c805d302165</x:v>
      </x:c>
      <x:c r="H284" s="7" t="str">
        <x:v>山口産業株式会社</x:v>
      </x:c>
    </x:row>
    <x:row r="285" ht="65" customHeight="1">
      <x:c r="A285" s="7" t="str">
        <x:v>株式会社山善</x:v>
      </x:c>
      <x:c r="B285" s="7" t="str">
        <x:v>S1056</x:v>
      </x:c>
      <x:c r="C285" s="7" t="str">
        <x:v>カテゴリー付与（一次整理）</x:v>
      </x:c>
      <x:c r="D285" s="7" t="str">
        <x:v>原典の該当記述に基づく一次分類。個別製品の方式・年度差分の精査とは区別。</x:v>
      </x:c>
      <x:c r="E285" s="7" t="str">
        <x:v>AC232</x:v>
      </x:c>
      <x:c r="F285" s="7" t="str">
        <x:v>https://www.jimtof.org/search/jp/ESdetails?e=KSoLpsGPfRQ</x:v>
      </x:c>
      <x:c r="G285" s="7" t="str">
        <x:v>EXH-2026-4be1498c7e4dd9c4</x:v>
      </x:c>
      <x:c r="H285" s="7" t="str">
        <x:v>株式会社山善</x:v>
      </x:c>
    </x:row>
    <x:row r="286" ht="65" customHeight="1">
      <x:c r="A286" s="7" t="str">
        <x:v>ユキワ精工株式会社</x:v>
      </x:c>
      <x:c r="B286" s="7" t="str">
        <x:v>W2015</x:v>
      </x:c>
      <x:c r="C286" s="7" t="str">
        <x:v>カテゴリー付与（周辺要素）</x:v>
      </x:c>
      <x:c r="D286" s="7" t="str">
        <x:v>原典の該当記述に基づく一次分類。個別製品の方式・年度差分の精査とは区別。</x:v>
      </x:c>
      <x:c r="E286" s="7" t="str">
        <x:v>AC233</x:v>
      </x:c>
      <x:c r="F286" s="7" t="str">
        <x:v>https://www.jimtof.org/search/jp/ESdetails?e=KfyA76OQ4CE</x:v>
      </x:c>
      <x:c r="G286" s="7" t="str">
        <x:v>EXH-2026-4a8402a527c17b99</x:v>
      </x:c>
      <x:c r="H286" s="7" t="str">
        <x:v>ユキワ精工株式会社</x:v>
      </x:c>
    </x:row>
    <x:row r="287" ht="65" customHeight="1">
      <x:c r="A287" s="7" t="str">
        <x:v>株式会社ユシロ</x:v>
      </x:c>
      <x:c r="B287" s="7" t="str">
        <x:v>S3093</x:v>
      </x:c>
      <x:c r="C287" s="7" t="str">
        <x:v>カテゴリー付与（一次整理）</x:v>
      </x:c>
      <x:c r="D287" s="7" t="str">
        <x:v>原典の該当記述に基づく一次分類。個別製品の方式・年度差分の精査とは区別。 10/18追補：公式社名変更で旧社名の2024原典を照合。監視・補給の継続とALFRED固有差を分離。</x:v>
      </x:c>
      <x:c r="E287" s="7" t="str">
        <x:v>AC234</x:v>
      </x:c>
      <x:c r="F287" s="7" t="str">
        <x:v>https://www.jimtof.org/search/jp/ESdetails?e=-U1GqEJcgSM</x:v>
      </x:c>
      <x:c r="G287" s="7" t="str">
        <x:v>EXH-2026-1fb607fd5307c2fa</x:v>
      </x:c>
      <x:c r="H287" s="7" t="str">
        <x:v>株式会社ユシロ</x:v>
      </x:c>
    </x:row>
    <x:row r="288" ht="65" customHeight="1">
      <x:c r="A288" s="7" t="str">
        <x:v>ユナイテッドグラインディング株式会社</x:v>
      </x:c>
      <x:c r="B288" s="7" t="str">
        <x:v>E8001</x:v>
      </x:c>
      <x:c r="C288" s="7" t="str">
        <x:v>カテゴリー付与（一次整理）</x:v>
      </x:c>
      <x:c r="D288" s="7" t="str">
        <x:v>原典の該当記述に基づく一次分類。個別製品の方式・年度差分の精査とは区別。</x:v>
      </x:c>
      <x:c r="E288" s="7" t="str">
        <x:v>AC235</x:v>
      </x:c>
      <x:c r="F288" s="7" t="str">
        <x:v>https://www.jimtof.org/search/jp/ESdetails?e=21UIMFf4EUI</x:v>
      </x:c>
      <x:c r="G288" s="7" t="str">
        <x:v>EXH-2026-54c4a3eb1080a3bb</x:v>
      </x:c>
      <x:c r="H288" s="7" t="str">
        <x:v>ユナイテッドグラインディング株式会社</x:v>
      </x:c>
    </x:row>
    <x:row r="289" ht="65" customHeight="1">
      <x:c r="A289" s="7" t="str">
        <x:v>ユナイテッドマシニング株式会社</x:v>
      </x:c>
      <x:c r="B289" s="7" t="str">
        <x:v>E8001</x:v>
      </x:c>
      <x:c r="C289" s="7" t="str">
        <x:v>カテゴリー付与（一次整理）</x:v>
      </x:c>
      <x:c r="D289" s="7" t="str">
        <x:v>原典の該当記述に基づく一次分類。個別製品の方式・年度差分の精査とは区別。</x:v>
      </x:c>
      <x:c r="E289" s="7" t="str">
        <x:v>AC236</x:v>
      </x:c>
      <x:c r="F289" s="7" t="str">
        <x:v>https://www.jimtof.org/search/jp/ESdetails?e=C2YWs9rQy3U</x:v>
      </x:c>
      <x:c r="G289" s="7" t="str">
        <x:v>EXH-2026-0c463f125124710f</x:v>
      </x:c>
      <x:c r="H289" s="7" t="str">
        <x:v>ユナイテッドマシニング株式会社</x:v>
      </x:c>
    </x:row>
    <x:row r="290" ht="65" customHeight="1">
      <x:c r="A290" s="7" t="str">
        <x:v>ユニオンツール株式会社</x:v>
      </x:c>
      <x:c r="B290" s="7" t="str">
        <x:v>W1018</x:v>
      </x:c>
      <x:c r="C290" s="7" t="str">
        <x:v>対象外（語の一致・用途等）</x:v>
      </x:c>
      <x:c r="D290" s="7" t="str">
        <x:v>MESは微細工具測定器の製品名。製造実行システムと扱わない。</x:v>
      </x:c>
      <x:c r="E290" s="7" t="str"/>
      <x:c r="F290" s="7" t="str">
        <x:v>https://www.jimtof.org/search/jp/ESdetails?e=K00DRD-BngA</x:v>
      </x:c>
      <x:c r="G290" s="7" t="str">
        <x:v>EXH-2026-2e3a53883a6c36b4</x:v>
      </x:c>
      <x:c r="H290" s="7" t="str">
        <x:v>ユニオンツール株式会社</x:v>
      </x:c>
    </x:row>
    <x:row r="291" ht="65" customHeight="1">
      <x:c r="A291" s="7" t="str">
        <x:v>吉川鐵工株式会社</x:v>
      </x:c>
      <x:c r="B291" s="7" t="str">
        <x:v>E7055</x:v>
      </x:c>
      <x:c r="C291" s="7" t="str">
        <x:v>カテゴリー付与（一次整理）</x:v>
      </x:c>
      <x:c r="D291" s="7" t="str">
        <x:v>原典の該当記述に基づく一次分類。個別製品の方式・年度差分の精査とは区別。</x:v>
      </x:c>
      <x:c r="E291" s="7" t="str">
        <x:v>AC238</x:v>
      </x:c>
      <x:c r="F291" s="7" t="str">
        <x:v>https://www.jimtof.org/search/jp/ESdetails?e=HjByZxxPSok</x:v>
      </x:c>
      <x:c r="G291" s="7" t="str">
        <x:v>EXH-2026-43847f0d8d9f485f</x:v>
      </x:c>
      <x:c r="H291" s="7" t="str">
        <x:v>吉川鐵工株式会社</x:v>
      </x:c>
    </x:row>
    <x:row r="292" ht="65" customHeight="1">
      <x:c r="A292" s="7" t="str">
        <x:v>理研精機株式会社</x:v>
      </x:c>
      <x:c r="B292" s="7" t="str">
        <x:v>W2057</x:v>
      </x:c>
      <x:c r="C292" s="7" t="str">
        <x:v>対象外（語の一致・用途等）</x:v>
      </x:c>
      <x:c r="D292" s="7" t="str">
        <x:v>手動クイックチェンジの省力化。自動爪交換・自律判断の記述なし。</x:v>
      </x:c>
      <x:c r="E292" s="7" t="str"/>
      <x:c r="F292" s="7" t="str">
        <x:v>https://www.jimtof.org/search/jp/ESdetails?e=tKa_1f5evrI</x:v>
      </x:c>
      <x:c r="G292" s="7" t="str">
        <x:v>EXH-2026-e98a5e83a3a526b2</x:v>
      </x:c>
      <x:c r="H292" s="7" t="str">
        <x:v>理研精機株式会社</x:v>
      </x:c>
    </x:row>
    <x:row r="293" ht="65" customHeight="1">
      <x:c r="A293" s="7" t="str">
        <x:v>リタール株式会社</x:v>
      </x:c>
      <x:c r="B293" s="7" t="str">
        <x:v>S1067</x:v>
      </x:c>
      <x:c r="C293" s="7" t="str">
        <x:v>カテゴリー付与（一次整理）</x:v>
      </x:c>
      <x:c r="D293" s="7" t="str">
        <x:v>原典の該当記述に基づく一次分類。個別製品の方式・年度差分の精査とは区別。</x:v>
      </x:c>
      <x:c r="E293" s="7" t="str">
        <x:v>AC240</x:v>
      </x:c>
      <x:c r="F293" s="7" t="str">
        <x:v>https://www.jimtof.org/search/jp/ESdetails?e=20GFOkXi--c</x:v>
      </x:c>
      <x:c r="G293" s="7" t="str">
        <x:v>EXH-2026-ede0d52617ac3762</x:v>
      </x:c>
      <x:c r="H293" s="7" t="str">
        <x:v>リタール株式会社</x:v>
      </x:c>
    </x:row>
    <x:row r="294" ht="65" customHeight="1">
      <x:c r="A294" s="7" t="str">
        <x:v>リックス株式会社</x:v>
      </x:c>
      <x:c r="B294" s="7" t="str">
        <x:v>E3024</x:v>
      </x:c>
      <x:c r="C294" s="7" t="str">
        <x:v>カテゴリー付与（周辺要素）</x:v>
      </x:c>
      <x:c r="D294" s="7" t="str">
        <x:v>原典の該当記述に基づく一次分類。個別製品の方式・年度差分の精査とは区別。</x:v>
      </x:c>
      <x:c r="E294" s="7" t="str">
        <x:v>AC241</x:v>
      </x:c>
      <x:c r="F294" s="7" t="str">
        <x:v>https://www.jimtof.org/search/jp/ESdetails?e=ym7ttKJCHb4</x:v>
      </x:c>
      <x:c r="G294" s="7" t="str">
        <x:v>EXH-2026-fbf9f0b05c61b8ad</x:v>
      </x:c>
      <x:c r="H294" s="7" t="str">
        <x:v>リックス株式会社</x:v>
      </x:c>
    </x:row>
    <x:row r="295" ht="65" customHeight="1">
      <x:c r="A295" s="7" t="str">
        <x:v>菱高精機株式会社</x:v>
      </x:c>
      <x:c r="B295" s="7" t="str">
        <x:v>W1014</x:v>
      </x:c>
      <x:c r="C295" s="7" t="str">
        <x:v>カテゴリー付与（周辺要素）</x:v>
      </x:c>
      <x:c r="D295" s="7" t="str">
        <x:v>原典の該当記述に基づく一次分類。個別製品の方式・年度差分の精査とは区別。</x:v>
      </x:c>
      <x:c r="E295" s="7" t="str">
        <x:v>AC242</x:v>
      </x:c>
      <x:c r="F295" s="7" t="str">
        <x:v>https://www.jimtof.org/search/jp/ESdetails?e=NwMMephg4LA</x:v>
      </x:c>
      <x:c r="G295" s="7" t="str">
        <x:v>EXH-2026-1f5c719008ea72e9</x:v>
      </x:c>
      <x:c r="H295" s="7" t="str">
        <x:v>菱高精機株式会社</x:v>
      </x:c>
    </x:row>
    <x:row r="296" ht="65" customHeight="1">
      <x:c r="A296" s="7" t="str">
        <x:v>ロームヘルド・ハルダー株式会社</x:v>
      </x:c>
      <x:c r="B296" s="7" t="str">
        <x:v>W2003</x:v>
      </x:c>
      <x:c r="C296" s="7" t="str">
        <x:v>カテゴリー付与（周辺要素）</x:v>
      </x:c>
      <x:c r="D296" s="7" t="str">
        <x:v>原典の該当記述に基づく一次分類。個別製品の方式・年度差分の精査とは区別。</x:v>
      </x:c>
      <x:c r="E296" s="7" t="str">
        <x:v>AC243</x:v>
      </x:c>
      <x:c r="F296" s="7" t="str">
        <x:v>https://www.jimtof.org/search/jp/ESdetails?e=ouI_rRePhFc</x:v>
      </x:c>
      <x:c r="G296" s="7" t="str">
        <x:v>EXH-2026-e4d55b299fa70670</x:v>
      </x:c>
      <x:c r="H296" s="7" t="str">
        <x:v>ロームヘルド・ハルダー株式会社</x:v>
      </x:c>
    </x:row>
    <x:row r="297" ht="65" customHeight="1">
      <x:c r="A297" s="7" t="str">
        <x:v>碌々スマートテクノロジー株式会社</x:v>
      </x:c>
      <x:c r="B297" s="7" t="str">
        <x:v>E2025</x:v>
      </x:c>
      <x:c r="C297" s="7" t="str">
        <x:v>カテゴリー付与（一次整理）</x:v>
      </x:c>
      <x:c r="D297" s="7" t="str">
        <x:v>原典の該当記述に基づく一次分類。個別製品の方式・年度差分の精査とは区別。</x:v>
      </x:c>
      <x:c r="E297" s="7" t="str">
        <x:v>AC244</x:v>
      </x:c>
      <x:c r="F297" s="7" t="str">
        <x:v>https://www.jimtof.org/search/jp/ESdetails?e=qZD6fx1n_QM</x:v>
      </x:c>
      <x:c r="G297" s="7" t="str">
        <x:v>EXH-2026-06412089488b96b5</x:v>
      </x:c>
      <x:c r="H297" s="7" t="str">
        <x:v>碌々スマートテクノロジー株式会社</x:v>
      </x:c>
    </x:row>
    <x:row r="298" ht="65" customHeight="1">
      <x:c r="A298" s="7" t="str">
        <x:v>Rollomatic Japan株式会社</x:v>
      </x:c>
      <x:c r="B298" s="7" t="str">
        <x:v>S2005</x:v>
      </x:c>
      <x:c r="C298" s="7" t="str">
        <x:v>カテゴリー付与（一次整理）</x:v>
      </x:c>
      <x:c r="D298" s="7" t="str">
        <x:v>原典の該当記述に基づく一次分類。個別製品の方式・年度差分の精査とは区別。</x:v>
      </x:c>
      <x:c r="E298" s="7" t="str">
        <x:v>AC245</x:v>
      </x:c>
      <x:c r="F298" s="7" t="str">
        <x:v>https://www.jimtof.org/search/jp/ESdetails?e=9af8P2FUMY8</x:v>
      </x:c>
      <x:c r="G298" s="7" t="str">
        <x:v>EXH-2026-d26755a7bc74fe39</x:v>
      </x:c>
      <x:c r="H298" s="7" t="str">
        <x:v>rollomaticjapan株式会社</x:v>
      </x:c>
    </x:row>
    <x:row r="299" ht="65" customHeight="1">
      <x:c r="A299" s="7" t="str">
        <x:v>YKT株式会社</x:v>
      </x:c>
      <x:c r="B299" s="7" t="str">
        <x:v>E2026</x:v>
      </x:c>
      <x:c r="C299" s="7" t="str">
        <x:v>カテゴリー付与（一次整理）</x:v>
      </x:c>
      <x:c r="D299" s="7" t="str">
        <x:v>原典の該当記述に基づく一次分類。個別製品の方式・年度差分の精査とは区別。</x:v>
      </x:c>
      <x:c r="E299" s="7" t="str">
        <x:v>AC246</x:v>
      </x:c>
      <x:c r="F299" s="7" t="str">
        <x:v>https://www.jimtof.org/search/jp/ESdetails?e=nYvFR1vpbuE</x:v>
      </x:c>
      <x:c r="G299" s="7" t="str">
        <x:v>EXH-2026-28ad6ce1ddaebaa7</x:v>
      </x:c>
      <x:c r="H299" s="7" t="str">
        <x:v>ykt株式会社</x:v>
      </x:c>
    </x:row>
    <x:row r="300" ht="65" customHeight="1">
      <x:c r="A300" s="7" t="str">
        <x:v>株式会社和井田製作所</x:v>
      </x:c>
      <x:c r="B300" s="7" t="str">
        <x:v>E7098</x:v>
      </x:c>
      <x:c r="C300" s="7" t="str">
        <x:v>カテゴリー付与（一次整理）</x:v>
      </x:c>
      <x:c r="D300" s="7" t="str">
        <x:v>原典の該当記述に基づく一次分類。個別製品の方式・年度差分の精査とは区別。</x:v>
      </x:c>
      <x:c r="E300" s="7" t="str">
        <x:v>AC247</x:v>
      </x:c>
      <x:c r="F300" s="7" t="str">
        <x:v>https://www.jimtof.org/search/jp/ESdetails?e=TQR71SThQ18</x:v>
      </x:c>
      <x:c r="G300" s="7" t="str">
        <x:v>EXH-2026-891a0e945d6e08f6</x:v>
      </x:c>
      <x:c r="H300" s="7" t="str">
        <x:v>株式会社和井田製作所</x:v>
      </x:c>
    </x:row>
    <x:row r="301" ht="65" customHeight="1">
      <x:c r="A301" s="7" t="str">
        <x:v>Agie Charmilles SA</x:v>
      </x:c>
      <x:c r="B301" s="7" t="str">
        <x:v>E8001</x:v>
      </x:c>
      <x:c r="C301" s="7" t="str">
        <x:v>カテゴリー付与（一次整理）</x:v>
      </x:c>
      <x:c r="D301" s="7" t="str">
        <x:v>原典の該当記述に基づく一次分類。個別製品の方式・年度差分の精査とは区別。</x:v>
      </x:c>
      <x:c r="E301" s="7" t="str">
        <x:v>AC248</x:v>
      </x:c>
      <x:c r="F301" s="7" t="str">
        <x:v>https://www.jimtof.org/search/jp/ESdetails?e=mHTLRA9SdB0</x:v>
      </x:c>
      <x:c r="G301" s="7" t="str">
        <x:v>EXH-2026-3eb1a3e98b1cfaf9</x:v>
      </x:c>
      <x:c r="H301" s="7" t="str">
        <x:v>agiecharmillessa</x:v>
      </x:c>
    </x:row>
    <x:row r="302" ht="65" customHeight="1">
      <x:c r="A302" s="7" t="str">
        <x:v>AUTOGRIP MACHINERY CO., LTD.</x:v>
      </x:c>
      <x:c r="B302" s="7" t="str">
        <x:v>W3001</x:v>
      </x:c>
      <x:c r="C302" s="7" t="str">
        <x:v>カテゴリー付与（周辺要素）</x:v>
      </x:c>
      <x:c r="D302" s="7" t="str">
        <x:v>原典の該当記述に基づく一次分類。個別製品の方式・年度差分の精査とは区別。</x:v>
      </x:c>
      <x:c r="E302" s="7" t="str">
        <x:v>AC249</x:v>
      </x:c>
      <x:c r="F302" s="7" t="str">
        <x:v>https://www.jimtof.org/search/jp/ESdetails?e=EeJK5dyX8Nc</x:v>
      </x:c>
      <x:c r="G302" s="7" t="str">
        <x:v>EXH-2026-b9c308c3f5d83ade</x:v>
      </x:c>
      <x:c r="H302" s="7" t="str">
        <x:v>autogripmachineryco.,ltd.</x:v>
      </x:c>
    </x:row>
    <x:row r="303" ht="65" customHeight="1">
      <x:c r="A303" s="7" t="str">
        <x:v>BizLink Special Cables (Changzhou) Co., Ltd.</x:v>
      </x:c>
      <x:c r="B303" s="7" t="str">
        <x:v>S1052</x:v>
      </x:c>
      <x:c r="C303" s="7" t="str">
        <x:v>カテゴリー付与（周辺要素）</x:v>
      </x:c>
      <x:c r="D303" s="7" t="str">
        <x:v>原典の該当記述に基づく一次分類。個別製品の方式・年度差分の精査とは区別。</x:v>
      </x:c>
      <x:c r="E303" s="7" t="str">
        <x:v>AC250</x:v>
      </x:c>
      <x:c r="F303" s="7" t="str">
        <x:v>https://www.jimtof.org/search/jp/ESdetails?e=mONQNxkEoi8</x:v>
      </x:c>
      <x:c r="G303" s="7" t="str">
        <x:v>EXH-2026-50111527cf450bde</x:v>
      </x:c>
      <x:c r="H303" s="7" t="str">
        <x:v>bizlinkspecialcables(changzhou)co.,ltd.</x:v>
      </x:c>
    </x:row>
    <x:row r="304" ht="65" customHeight="1">
      <x:c r="A304" s="7" t="str">
        <x:v>Blohm Jung GmbH</x:v>
      </x:c>
      <x:c r="B304" s="7" t="str">
        <x:v>E8001</x:v>
      </x:c>
      <x:c r="C304" s="7" t="str">
        <x:v>カテゴリー付与（一次整理）</x:v>
      </x:c>
      <x:c r="D304" s="7" t="str">
        <x:v>原典の該当記述に基づく一次分類。個別製品の方式・年度差分の精査とは区別。</x:v>
      </x:c>
      <x:c r="E304" s="7" t="str">
        <x:v>AC251</x:v>
      </x:c>
      <x:c r="F304" s="7" t="str">
        <x:v>https://www.jimtof.org/search/jp/ESdetails?e=dSHD282NmEc</x:v>
      </x:c>
      <x:c r="G304" s="7" t="str">
        <x:v>EXH-2026-39e340ba804ebaad</x:v>
      </x:c>
      <x:c r="H304" s="7" t="str">
        <x:v>blohmjunggmbh</x:v>
      </x:c>
    </x:row>
    <x:row r="305" ht="65" customHeight="1">
      <x:c r="A305" s="7" t="str">
        <x:v>BUFFOLI TRANSFER S.p.A.</x:v>
      </x:c>
      <x:c r="B305" s="7" t="str">
        <x:v>E1034</x:v>
      </x:c>
      <x:c r="C305" s="7" t="str">
        <x:v>カテゴリー付与（一次整理）</x:v>
      </x:c>
      <x:c r="D305" s="7" t="str">
        <x:v>原典の該当記述に基づく一次分類。個別製品の方式・年度差分の精査とは区別。</x:v>
      </x:c>
      <x:c r="E305" s="7" t="str">
        <x:v>AC252</x:v>
      </x:c>
      <x:c r="F305" s="7" t="str">
        <x:v>https://www.jimtof.org/search/jp/ESdetails?e=XR5ASqmy4zw</x:v>
      </x:c>
      <x:c r="G305" s="7" t="str">
        <x:v>EXH-2026-606bae6e521953bf</x:v>
      </x:c>
      <x:c r="H305" s="7" t="str">
        <x:v>buffolitransfers.p.a.</x:v>
      </x:c>
    </x:row>
    <x:row r="306" ht="65" customHeight="1">
      <x:c r="A306" s="7" t="str">
        <x:v>Changzhou chenlin tools co.,ltd</x:v>
      </x:c>
      <x:c r="B306" s="7" t="str">
        <x:v>W3084</x:v>
      </x:c>
      <x:c r="C306" s="7" t="str">
        <x:v>対象外（語の一致・用途等）</x:v>
      </x:c>
      <x:c r="D306" s="7" t="str">
        <x:v>自社のCAD/CAM利用と工具製造設備を紹介。CAD/CAM製品の展示ではない。</x:v>
      </x:c>
      <x:c r="E306" s="7" t="str"/>
      <x:c r="F306" s="7" t="str">
        <x:v>https://www.jimtof.org/search/jp/ESdetails?e=gjsmTR_o9P8</x:v>
      </x:c>
      <x:c r="G306" s="7" t="str">
        <x:v>EXH-2026-0cd75c8f7eb229e8</x:v>
      </x:c>
      <x:c r="H306" s="7" t="str">
        <x:v>changzhouchenlintoolsco.,ltd</x:v>
      </x:c>
    </x:row>
    <x:row r="307" ht="65" customHeight="1">
      <x:c r="A307" s="7" t="str">
        <x:v>Chen Ying Oil Machine Co., Ltd.</x:v>
      </x:c>
      <x:c r="B307" s="7" t="str">
        <x:v>S1049</x:v>
      </x:c>
      <x:c r="C307" s="7" t="str">
        <x:v>カテゴリー付与（周辺要素）</x:v>
      </x:c>
      <x:c r="D307" s="7" t="str">
        <x:v>原典の該当記述に基づく一次分類。個別製品の方式・年度差分の精査とは区別。</x:v>
      </x:c>
      <x:c r="E307" s="7" t="str">
        <x:v>AC254</x:v>
      </x:c>
      <x:c r="F307" s="7" t="str">
        <x:v>https://www.jimtof.org/search/jp/ESdetails?e=bRKaw8mtvM4</x:v>
      </x:c>
      <x:c r="G307" s="7" t="str">
        <x:v>EXH-2026-a49b154774608339</x:v>
      </x:c>
      <x:c r="H307" s="7" t="str">
        <x:v>chenyingoilmachineco.,ltd.</x:v>
      </x:c>
    </x:row>
    <x:row r="308" ht="65" customHeight="1">
      <x:c r="A308" s="7" t="str">
        <x:v>CSC Bearing Co.,Ltd.</x:v>
      </x:c>
      <x:c r="B308" s="7" t="str">
        <x:v>W3019</x:v>
      </x:c>
      <x:c r="C308" s="7" t="str">
        <x:v>対象外（語の一致・用途等）</x:v>
      </x:c>
      <x:c r="D308" s="7" t="str">
        <x:v>ロボットは軸受の供給先用途。認識・制御・自動化機能の実装説明なし。</x:v>
      </x:c>
      <x:c r="E308" s="7" t="str"/>
      <x:c r="F308" s="7" t="str">
        <x:v>https://www.jimtof.org/search/jp/ESdetails?e=pn_k9PHhDp0</x:v>
      </x:c>
      <x:c r="G308" s="7" t="str">
        <x:v>EXH-2026-64afa59276a3d7cb</x:v>
      </x:c>
      <x:c r="H308" s="7" t="str">
        <x:v>cscbearingco.,ltd.</x:v>
      </x:c>
    </x:row>
    <x:row r="309" ht="65" customHeight="1">
      <x:c r="A309" s="7" t="str">
        <x:v>DGDY SHEET METAL MACHINERY CO.,LTD</x:v>
      </x:c>
      <x:c r="B309" s="7" t="str">
        <x:v>E1019</x:v>
      </x:c>
      <x:c r="C309" s="7" t="str">
        <x:v>カテゴリー付与（一次整理）</x:v>
      </x:c>
      <x:c r="D309" s="7" t="str">
        <x:v>原典の該当記述に基づく一次分類。個別製品の方式・年度差分の精査とは区別。</x:v>
      </x:c>
      <x:c r="E309" s="7" t="str">
        <x:v>AC256</x:v>
      </x:c>
      <x:c r="F309" s="7" t="str">
        <x:v>https://www.jimtof.org/search/jp/ESdetails?e=Rtj9rox8Zj4</x:v>
      </x:c>
      <x:c r="G309" s="7" t="str">
        <x:v>EXH-2026-1dba700d81292c04</x:v>
      </x:c>
      <x:c r="H309" s="7" t="str">
        <x:v>dgdysheetmetalmachineryco.,ltd</x:v>
      </x:c>
    </x:row>
    <x:row r="310" ht="65" customHeight="1">
      <x:c r="A310" s="7" t="str">
        <x:v>Dongguan Dongfangqidu Metrology Co Ltd</x:v>
      </x:c>
      <x:c r="B310" s="7" t="str">
        <x:v>E7006</x:v>
      </x:c>
      <x:c r="C310" s="7" t="str">
        <x:v>カテゴリー付与（一次整理）</x:v>
      </x:c>
      <x:c r="D310" s="7" t="str">
        <x:v>原典の該当記述に基づく一次分類。個別製品の方式・年度差分の精査とは区別。</x:v>
      </x:c>
      <x:c r="E310" s="7" t="str">
        <x:v>AC257</x:v>
      </x:c>
      <x:c r="F310" s="7" t="str">
        <x:v>https://www.jimtof.org/search/jp/ESdetails?e=25HOX5M84N0</x:v>
      </x:c>
      <x:c r="G310" s="7" t="str">
        <x:v>EXH-2026-d39b5dc8b972e1a4</x:v>
      </x:c>
      <x:c r="H310" s="7" t="str">
        <x:v>dongguandongfangqidumetrologycoltd</x:v>
      </x:c>
    </x:row>
    <x:row r="311" ht="65" customHeight="1">
      <x:c r="A311" s="7" t="str">
        <x:v>Dontyne Systems Limited</x:v>
      </x:c>
      <x:c r="B311" s="7" t="str">
        <x:v>E8008</x:v>
      </x:c>
      <x:c r="C311" s="7" t="str">
        <x:v>カテゴリー付与（一次整理）</x:v>
      </x:c>
      <x:c r="D311" s="7" t="str">
        <x:v>原典の該当記述に基づく一次分類。個別製品の方式・年度差分の精査とは区別。</x:v>
      </x:c>
      <x:c r="E311" s="7" t="str">
        <x:v>AC258</x:v>
      </x:c>
      <x:c r="F311" s="7" t="str">
        <x:v>https://www.jimtof.org/search/jp/ESdetails?e=Qdl6sEtQDEY</x:v>
      </x:c>
      <x:c r="G311" s="7" t="str">
        <x:v>EXH-2026-bcc3a29be85a835b</x:v>
      </x:c>
      <x:c r="H311" s="7" t="str">
        <x:v>dontynesystemslimited</x:v>
      </x:c>
    </x:row>
    <x:row r="312" ht="65" customHeight="1">
      <x:c r="A312" s="7" t="str">
        <x:v>EMAG GmbH &amp; Co. KG</x:v>
      </x:c>
      <x:c r="B312" s="7" t="str">
        <x:v>S2025</x:v>
      </x:c>
      <x:c r="C312" s="7" t="str">
        <x:v>対象外（語の一致・用途等）</x:v>
      </x:c>
      <x:c r="D312" s="7" t="str">
        <x:v>ロボット減速機部品の加工用途。ロボットによる作業とは区別。</x:v>
      </x:c>
      <x:c r="E312" s="7" t="str"/>
      <x:c r="F312" s="7" t="str">
        <x:v>https://www.jimtof.org/search/jp/ESdetails?e=GKajHwj3Wyo</x:v>
      </x:c>
      <x:c r="G312" s="7" t="str">
        <x:v>EXH-2026-44cbd70311022802</x:v>
      </x:c>
      <x:c r="H312" s="7" t="str">
        <x:v>emaggmbh&amp;co.kg</x:v>
      </x:c>
    </x:row>
    <x:row r="313" ht="65" customHeight="1">
      <x:c r="A313" s="7" t="str">
        <x:v>FAPTECH (HANGZHOU) CO.,LTD.</x:v>
      </x:c>
      <x:c r="B313" s="7" t="str">
        <x:v>E2026</x:v>
      </x:c>
      <x:c r="C313" s="7" t="str">
        <x:v>カテゴリー付与（一次整理）</x:v>
      </x:c>
      <x:c r="D313" s="7" t="str">
        <x:v>原典の該当記述に基づく一次分類。個別製品の方式・年度差分の精査とは区別。</x:v>
      </x:c>
      <x:c r="E313" s="7" t="str">
        <x:v>AC260</x:v>
      </x:c>
      <x:c r="F313" s="7" t="str">
        <x:v>https://www.jimtof.org/search/jp/ESdetails?e=50efK4rQsHs</x:v>
      </x:c>
      <x:c r="G313" s="7" t="str">
        <x:v>EXH-2026-71042226949434d5</x:v>
      </x:c>
      <x:c r="H313" s="7" t="str">
        <x:v>faptech(hangzhou)co.,ltd.</x:v>
      </x:c>
    </x:row>
    <x:row r="314" ht="65" customHeight="1">
      <x:c r="A314" s="7" t="str">
        <x:v>Formnext</x:v>
      </x:c>
      <x:c r="B314" s="7" t="str">
        <x:v>S4055</x:v>
      </x:c>
      <x:c r="C314" s="7" t="str">
        <x:v>対象外（語の一致・用途等）</x:v>
      </x:c>
      <x:c r="D314" s="7" t="str">
        <x:v>AIはセミナーの翻訳対応。製造のAI展示とは分ける。</x:v>
      </x:c>
      <x:c r="E314" s="7" t="str"/>
      <x:c r="F314" s="7" t="str">
        <x:v>https://www.jimtof.org/search/jp/ESdetails?e=HAA3cTt92lk</x:v>
      </x:c>
      <x:c r="G314" s="7" t="str">
        <x:v>EXH-2026-dfb5e0bd09ffdcf0</x:v>
      </x:c>
      <x:c r="H314" s="7" t="str">
        <x:v>formnext</x:v>
      </x:c>
    </x:row>
    <x:row r="315" ht="65" customHeight="1">
      <x:c r="A315" s="7" t="str">
        <x:v>Gifu Enterprise Co., Ltd</x:v>
      </x:c>
      <x:c r="B315" s="7" t="str">
        <x:v>W3040</x:v>
      </x:c>
      <x:c r="C315" s="7" t="str">
        <x:v>カテゴリー付与（周辺要素）</x:v>
      </x:c>
      <x:c r="D315" s="7" t="str">
        <x:v>原典の該当記述に基づく一次分類。個別製品の方式・年度差分の精査とは区別。</x:v>
      </x:c>
      <x:c r="E315" s="7" t="str">
        <x:v>AC262</x:v>
      </x:c>
      <x:c r="F315" s="7" t="str">
        <x:v>https://www.jimtof.org/search/jp/ESdetails?e=KFThic8eDqA</x:v>
      </x:c>
      <x:c r="G315" s="7" t="str">
        <x:v>EXH-2026-08801fc905a3c0c2</x:v>
      </x:c>
      <x:c r="H315" s="7" t="str">
        <x:v>gifuenterpriseco.,ltd</x:v>
      </x:c>
    </x:row>
    <x:row r="316" ht="65" customHeight="1">
      <x:c r="A316" s="7" t="str">
        <x:v>Guangdong Huasheng Nanotechnology Co., Ltd.</x:v>
      </x:c>
      <x:c r="B316" s="7" t="str">
        <x:v>W3060</x:v>
      </x:c>
      <x:c r="C316" s="7" t="str">
        <x:v>対象外（語の一致・用途等）</x:v>
      </x:c>
      <x:c r="D316" s="7" t="str">
        <x:v>コーティング性能の最適化。データ駆動・AI方式の説明なし。</x:v>
      </x:c>
      <x:c r="E316" s="7" t="str"/>
      <x:c r="F316" s="7" t="str">
        <x:v>https://www.jimtof.org/search/jp/ESdetails?e=N0RgOmmcwZw</x:v>
      </x:c>
      <x:c r="G316" s="7" t="str">
        <x:v>EXH-2026-790c3d4d06ef3690</x:v>
      </x:c>
      <x:c r="H316" s="7" t="str">
        <x:v>guangdonghuashengnanotechnologyco.,ltd.</x:v>
      </x:c>
    </x:row>
    <x:row r="317" ht="65" customHeight="1">
      <x:c r="A317" s="7" t="str">
        <x:v>IMM Maschinenbau GmbH</x:v>
      </x:c>
      <x:c r="B317" s="7" t="str">
        <x:v>E2026</x:v>
      </x:c>
      <x:c r="C317" s="7" t="str">
        <x:v>カテゴリー付与（一次整理）</x:v>
      </x:c>
      <x:c r="D317" s="7" t="str">
        <x:v>原典の該当記述に基づく一次分類。個別製品の方式・年度差分の精査とは区別。</x:v>
      </x:c>
      <x:c r="E317" s="7" t="str">
        <x:v>AC264</x:v>
      </x:c>
      <x:c r="F317" s="7" t="str">
        <x:v>https://www.jimtof.org/search/jp/ESdetails?e=p1moNnspTGg</x:v>
      </x:c>
      <x:c r="G317" s="7" t="str">
        <x:v>EXH-2026-763f74d6ac021fe7</x:v>
      </x:c>
      <x:c r="H317" s="7" t="str">
        <x:v>immmaschinenbaugmbh</x:v>
      </x:c>
    </x:row>
    <x:row r="318" ht="65" customHeight="1">
      <x:c r="A318" s="7" t="str">
        <x:v>INCOS INC</x:v>
      </x:c>
      <x:c r="B318" s="7" t="str">
        <x:v>S3006</x:v>
      </x:c>
      <x:c r="C318" s="7" t="str">
        <x:v>カテゴリー付与（一次整理）</x:v>
      </x:c>
      <x:c r="D318" s="7" t="str">
        <x:v>原典の該当記述に基づく一次分類。個別製品の方式・年度差分の精査とは区別。</x:v>
      </x:c>
      <x:c r="E318" s="7" t="str">
        <x:v>AC265</x:v>
      </x:c>
      <x:c r="F318" s="7" t="str">
        <x:v>https://www.jimtof.org/search/jp/ESdetails?e=fAg9O7WHKh0</x:v>
      </x:c>
      <x:c r="G318" s="7" t="str">
        <x:v>EXH-2026-50a336f6fb27482a</x:v>
      </x:c>
      <x:c r="H318" s="7" t="str">
        <x:v>incosinc</x:v>
      </x:c>
    </x:row>
    <x:row r="319" ht="65" customHeight="1">
      <x:c r="A319" s="7" t="str">
        <x:v>Irpd AG</x:v>
      </x:c>
      <x:c r="B319" s="7" t="str">
        <x:v>E8001</x:v>
      </x:c>
      <x:c r="C319" s="7" t="str">
        <x:v>対象外（語の一致・用途等）</x:v>
      </x:c>
      <x:c r="D319" s="7" t="str">
        <x:v>AM造形・設計支援の総論。自動化やデータ連携の具体機能は未特定。</x:v>
      </x:c>
      <x:c r="E319" s="7" t="str"/>
      <x:c r="F319" s="7" t="str">
        <x:v>https://www.jimtof.org/search/jp/ESdetails?e=s6VwpBq2IFo</x:v>
      </x:c>
      <x:c r="G319" s="7" t="str">
        <x:v>EXH-2026-c45a8fa106ba1376</x:v>
      </x:c>
      <x:c r="H319" s="7" t="str">
        <x:v>irpdag</x:v>
      </x:c>
    </x:row>
    <x:row r="320" ht="65" customHeight="1">
      <x:c r="A320" s="7" t="str">
        <x:v>Jiangsu Swift Machinery Technology Co Ltd</x:v>
      </x:c>
      <x:c r="B320" s="7" t="str">
        <x:v>W3008</x:v>
      </x:c>
      <x:c r="C320" s="7" t="str">
        <x:v>対象外（語の一致・用途等）</x:v>
      </x:c>
      <x:c r="D320" s="7" t="str">
        <x:v>製品最適化と社内設備の紹介。AI・DX応用の具体記述なし。</x:v>
      </x:c>
      <x:c r="E320" s="7" t="str"/>
      <x:c r="F320" s="7" t="str">
        <x:v>https://www.jimtof.org/search/jp/ESdetails?e=xT9vH0CMNl4</x:v>
      </x:c>
      <x:c r="G320" s="7" t="str">
        <x:v>EXH-2026-c070c54c5b76e26e</x:v>
      </x:c>
      <x:c r="H320" s="7" t="str">
        <x:v>jiangsuswiftmachinerytechnologycoltd</x:v>
      </x:c>
    </x:row>
    <x:row r="321" ht="65" customHeight="1">
      <x:c r="A321" s="7" t="str">
        <x:v>KAI HUNG MACHINERY CO., LTD.</x:v>
      </x:c>
      <x:c r="B321" s="7" t="str">
        <x:v>E1009-5</x:v>
      </x:c>
      <x:c r="C321" s="7" t="str">
        <x:v>カテゴリー付与（一次整理）</x:v>
      </x:c>
      <x:c r="D321" s="7" t="str">
        <x:v>原典の該当記述に基づく一次分類。個別製品の方式・年度差分の精査とは区別。</x:v>
      </x:c>
      <x:c r="E321" s="7" t="str">
        <x:v>AC268</x:v>
      </x:c>
      <x:c r="F321" s="7" t="str">
        <x:v>https://www.jimtof.org/search/jp/ESdetails?e=8qrXuJ0N8KM</x:v>
      </x:c>
      <x:c r="G321" s="7" t="str">
        <x:v>EXH-2026-eee5f5bb1b44f5c1</x:v>
      </x:c>
      <x:c r="H321" s="7" t="str">
        <x:v>kaihungmachineryco.,ltd.</x:v>
      </x:c>
    </x:row>
    <x:row r="322" ht="65" customHeight="1">
      <x:c r="A322" s="7" t="str">
        <x:v>LNS Management SA</x:v>
      </x:c>
      <x:c r="B322" s="7" t="str">
        <x:v>S4016</x:v>
      </x:c>
      <x:c r="C322" s="7" t="str">
        <x:v>カテゴリー付与（周辺要素）</x:v>
      </x:c>
      <x:c r="D322" s="7" t="str">
        <x:v>原典の該当記述に基づく一次分類。個別製品の方式・年度差分の精査とは区別。</x:v>
      </x:c>
      <x:c r="E322" s="7" t="str">
        <x:v>AC269</x:v>
      </x:c>
      <x:c r="F322" s="7" t="str">
        <x:v>https://www.jimtof.org/search/jp/ESdetails?e=MWu_r3zjcLw</x:v>
      </x:c>
      <x:c r="G322" s="7" t="str">
        <x:v>EXH-2026-ba7a51db7c150816</x:v>
      </x:c>
      <x:c r="H322" s="7" t="str">
        <x:v>lnsmanagementsa</x:v>
      </x:c>
    </x:row>
    <x:row r="323" ht="65" customHeight="1">
      <x:c r="A323" s="7" t="str">
        <x:v>Mägerle AG Maschinenfabrik</x:v>
      </x:c>
      <x:c r="B323" s="7" t="str">
        <x:v>E2026</x:v>
      </x:c>
      <x:c r="C323" s="7" t="str">
        <x:v>対象外（語の一致・用途等）</x:v>
      </x:c>
      <x:c r="D323" s="7" t="str">
        <x:v>重研削・省力化とサンプル展示。自動システムの具体記述なし。</x:v>
      </x:c>
      <x:c r="E323" s="7" t="str"/>
      <x:c r="F323" s="7" t="str">
        <x:v>https://www.jimtof.org/search/jp/ESdetails?e=d8itxGo2_dc</x:v>
      </x:c>
      <x:c r="G323" s="7" t="str">
        <x:v>EXH-2026-5ad091703cc8ba7c</x:v>
      </x:c>
      <x:c r="H323" s="7" t="str">
        <x:v>mägerleagmaschinenfabrik</x:v>
      </x:c>
    </x:row>
    <x:row r="324" ht="65" customHeight="1">
      <x:c r="A324" s="7" t="str">
        <x:v>Masterlink</x:v>
      </x:c>
      <x:c r="B324" s="7" t="str">
        <x:v>E1050</x:v>
      </x:c>
      <x:c r="C324" s="7" t="str">
        <x:v>カテゴリー付与（一次整理）</x:v>
      </x:c>
      <x:c r="D324" s="7" t="str">
        <x:v>原典の該当記述に基づく一次分類。個別製品の方式・年度差分の精査とは区別。</x:v>
      </x:c>
      <x:c r="E324" s="7" t="str">
        <x:v>AC271</x:v>
      </x:c>
      <x:c r="F324" s="7" t="str">
        <x:v>https://www.jimtof.org/search/jp/ESdetails?e=kygm0UxJL-M</x:v>
      </x:c>
      <x:c r="G324" s="7" t="str">
        <x:v>EXH-2026-19ce238d137fe275</x:v>
      </x:c>
      <x:c r="H324" s="7" t="str">
        <x:v>masterlink</x:v>
      </x:c>
    </x:row>
    <x:row r="325" ht="65" customHeight="1">
      <x:c r="A325" s="7" t="str">
        <x:v>Matrix Precision Co., Ltd</x:v>
      </x:c>
      <x:c r="B325" s="7" t="str">
        <x:v>S2019</x:v>
      </x:c>
      <x:c r="C325" s="7" t="str">
        <x:v>カテゴリー付与（一次整理）</x:v>
      </x:c>
      <x:c r="D325" s="7" t="str">
        <x:v>原典の該当記述に基づく一次分類。個別製品の方式・年度差分の精査とは区別。</x:v>
      </x:c>
      <x:c r="E325" s="7" t="str">
        <x:v>AC272</x:v>
      </x:c>
      <x:c r="F325" s="7" t="str">
        <x:v>https://www.jimtof.org/search/jp/ESdetails?e=vvseLw_Wxp0</x:v>
      </x:c>
      <x:c r="G325" s="7" t="str">
        <x:v>EXH-2026-c4882a21138dab6c</x:v>
      </x:c>
      <x:c r="H325" s="7" t="str">
        <x:v>matrixprecisionco.,ltd</x:v>
      </x:c>
    </x:row>
    <x:row r="326" ht="65" customHeight="1">
      <x:c r="A326" s="7" t="str">
        <x:v>NdotLight Co., Ltd.</x:v>
      </x:c>
      <x:c r="B326" s="7" t="str">
        <x:v>S4004</x:v>
      </x:c>
      <x:c r="C326" s="7" t="str">
        <x:v>カテゴリー付与（一次整理）</x:v>
      </x:c>
      <x:c r="D326" s="7" t="str">
        <x:v>原典の該当記述に基づく一次分類。個別製品の方式・年度差分の精査とは区別。</x:v>
      </x:c>
      <x:c r="E326" s="7" t="str">
        <x:v>AC273</x:v>
      </x:c>
      <x:c r="F326" s="7" t="str">
        <x:v>https://www.jimtof.org/search/jp/ESdetails?e=6Ds1v9hxvrY</x:v>
      </x:c>
      <x:c r="G326" s="7" t="str">
        <x:v>EXH-2026-016097f87d1914b2</x:v>
      </x:c>
      <x:c r="H326" s="7" t="str">
        <x:v>ndotlightco.,ltd.</x:v>
      </x:c>
    </x:row>
    <x:row r="327" ht="65" customHeight="1">
      <x:c r="A327" s="7" t="str">
        <x:v>NEW YU WEI INDUSTRIAL CO., LTD.</x:v>
      </x:c>
      <x:c r="B327" s="7" t="str">
        <x:v>W3022</x:v>
      </x:c>
      <x:c r="C327" s="7" t="str">
        <x:v>対象外（語の一致・用途等）</x:v>
      </x:c>
      <x:c r="D327" s="7" t="str">
        <x:v>ロボット関節はブローチの加工対象。AIロボットの展示ではない。</x:v>
      </x:c>
      <x:c r="E327" s="7" t="str"/>
      <x:c r="F327" s="7" t="str">
        <x:v>https://www.jimtof.org/search/jp/ESdetails?e=RupGxxso9io</x:v>
      </x:c>
      <x:c r="G327" s="7" t="str">
        <x:v>EXH-2026-7768531e585db4c2</x:v>
      </x:c>
      <x:c r="H327" s="7" t="str">
        <x:v>newyuweiindustrialco.,ltd.</x:v>
      </x:c>
    </x:row>
    <x:row r="328" ht="65" customHeight="1">
      <x:c r="A328" s="7" t="str">
        <x:v>NINGBO BLIN MACHINERY CO LTD</x:v>
      </x:c>
      <x:c r="B328" s="7" t="str">
        <x:v>S1073</x:v>
      </x:c>
      <x:c r="C328" s="7" t="str">
        <x:v>カテゴリー付与（周辺要素）</x:v>
      </x:c>
      <x:c r="D328" s="7" t="str">
        <x:v>原典の該当記述に基づく一次分類。個別製品の方式・年度差分の精査とは区別。</x:v>
      </x:c>
      <x:c r="E328" s="7" t="str">
        <x:v>AC275</x:v>
      </x:c>
      <x:c r="F328" s="7" t="str">
        <x:v>https://www.jimtof.org/search/jp/ESdetails?e=-DLoNC4r21w</x:v>
      </x:c>
      <x:c r="G328" s="7" t="str">
        <x:v>EXH-2026-df9fd9e3f835e55a</x:v>
      </x:c>
      <x:c r="H328" s="7" t="str">
        <x:v>ningboblinmachinerycoltd</x:v>
      </x:c>
    </x:row>
    <x:row r="329" ht="65" customHeight="1">
      <x:c r="A329" s="7" t="str">
        <x:v>PERFECT MACHINE CO., LTD.</x:v>
      </x:c>
      <x:c r="B329" s="7" t="str">
        <x:v>S1081</x:v>
      </x:c>
      <x:c r="C329" s="7" t="str">
        <x:v>カテゴリー付与（一次整理）</x:v>
      </x:c>
      <x:c r="D329" s="7" t="str">
        <x:v>原典の該当記述に基づく一次分類。個別製品の方式・年度差分の精査とは区別。</x:v>
      </x:c>
      <x:c r="E329" s="7" t="str">
        <x:v>AC276</x:v>
      </x:c>
      <x:c r="F329" s="7" t="str">
        <x:v>https://www.jimtof.org/search/jp/ESdetails?e=uL4EJoJ_Wco</x:v>
      </x:c>
      <x:c r="G329" s="7" t="str">
        <x:v>EXH-2026-166eb1d478702025</x:v>
      </x:c>
      <x:c r="H329" s="7" t="str">
        <x:v>perfectmachineco.,ltd.</x:v>
      </x:c>
    </x:row>
    <x:row r="330" ht="65" customHeight="1">
      <x:c r="A330" s="7" t="str">
        <x:v>Profiroll Technologies GmbH</x:v>
      </x:c>
      <x:c r="B330" s="7" t="str">
        <x:v>S1055</x:v>
      </x:c>
      <x:c r="C330" s="7" t="str">
        <x:v>カテゴリー付与（一次整理）</x:v>
      </x:c>
      <x:c r="D330" s="7" t="str">
        <x:v>原典の該当記述に基づく一次分類。個別製品の方式・年度差分の精査とは区別。</x:v>
      </x:c>
      <x:c r="E330" s="7" t="str">
        <x:v>AC277</x:v>
      </x:c>
      <x:c r="F330" s="7" t="str">
        <x:v>https://www.jimtof.org/search/jp/ESdetails?e=zGmF-52RIcs</x:v>
      </x:c>
      <x:c r="G330" s="7" t="str">
        <x:v>EXH-2026-b35ce23f501c1830</x:v>
      </x:c>
      <x:c r="H330" s="7" t="str">
        <x:v>profirolltechnologiesgmbh</x:v>
      </x:c>
    </x:row>
    <x:row r="331" ht="65" customHeight="1">
      <x:c r="A331" s="7" t="str">
        <x:v>ProGrit GmbH</x:v>
      </x:c>
      <x:c r="B331" s="7" t="str">
        <x:v>E3014</x:v>
      </x:c>
      <x:c r="C331" s="7" t="str">
        <x:v>カテゴリー付与（周辺要素）</x:v>
      </x:c>
      <x:c r="D331" s="7" t="str">
        <x:v>原典の該当記述に基づく一次分類。個別製品の方式・年度差分の精査とは区別。</x:v>
      </x:c>
      <x:c r="E331" s="7" t="str">
        <x:v>AC278</x:v>
      </x:c>
      <x:c r="F331" s="7" t="str">
        <x:v>https://www.jimtof.org/search/jp/ESdetails?e=zPpO1BUr3Ws</x:v>
      </x:c>
      <x:c r="G331" s="7" t="str">
        <x:v>EXH-2026-072d2f7215d2c5b5</x:v>
      </x:c>
      <x:c r="H331" s="7" t="str">
        <x:v>progritgmbh</x:v>
      </x:c>
    </x:row>
    <x:row r="332" ht="65" customHeight="1">
      <x:c r="A332" s="7" t="str">
        <x:v>Quality Vision International Inc</x:v>
      </x:c>
      <x:c r="B332" s="7" t="str">
        <x:v>E2026</x:v>
      </x:c>
      <x:c r="C332" s="7" t="str">
        <x:v>カテゴリー付与（一次整理）</x:v>
      </x:c>
      <x:c r="D332" s="7" t="str">
        <x:v>原典の該当記述に基づく一次分類。個別製品の方式・年度差分の精査とは区別。</x:v>
      </x:c>
      <x:c r="E332" s="7" t="str">
        <x:v>AC279</x:v>
      </x:c>
      <x:c r="F332" s="7" t="str">
        <x:v>https://www.jimtof.org/search/jp/ESdetails?e=i-C4iNMNRtM</x:v>
      </x:c>
      <x:c r="G332" s="7" t="str">
        <x:v>EXH-2026-ce095464035fb5f1</x:v>
      </x:c>
      <x:c r="H332" s="7" t="str">
        <x:v>qualityvisioninternationalinc</x:v>
      </x:c>
    </x:row>
    <x:row r="333" ht="65" customHeight="1">
      <x:c r="A333" s="7" t="str">
        <x:v>Röders GmbH</x:v>
      </x:c>
      <x:c r="B333" s="7" t="str">
        <x:v>E3014</x:v>
      </x:c>
      <x:c r="C333" s="7" t="str">
        <x:v>カテゴリー付与（一次整理）</x:v>
      </x:c>
      <x:c r="D333" s="7" t="str">
        <x:v>原典の該当記述に基づく一次分類。個別製品の方式・年度差分の精査とは区別。</x:v>
      </x:c>
      <x:c r="E333" s="7" t="str">
        <x:v>AC280</x:v>
      </x:c>
      <x:c r="F333" s="7" t="str">
        <x:v>https://www.jimtof.org/search/jp/ESdetails?e=ZjA8l9ImAE8</x:v>
      </x:c>
      <x:c r="G333" s="7" t="str">
        <x:v>EXH-2026-8dbb00228000aa6c</x:v>
      </x:c>
      <x:c r="H333" s="7" t="str">
        <x:v>rödersgmbh</x:v>
      </x:c>
    </x:row>
    <x:row r="334" ht="65" customHeight="1">
      <x:c r="A334" s="7" t="str">
        <x:v>SAFEWAY MACHINERY INDUSTRY CORPORATION</x:v>
      </x:c>
      <x:c r="B334" s="7" t="str">
        <x:v>W3002</x:v>
      </x:c>
      <x:c r="C334" s="7" t="str">
        <x:v>対象外（語の一致・用途等）</x:v>
      </x:c>
      <x:c r="D334" s="7" t="str">
        <x:v>バイス等の標準・特注製造。候補抽出語から自動機能を確認できない。</x:v>
      </x:c>
      <x:c r="E334" s="7" t="str"/>
      <x:c r="F334" s="7" t="str">
        <x:v>https://www.jimtof.org/search/jp/ESdetails?e=HGyGS3uPPXI</x:v>
      </x:c>
      <x:c r="G334" s="7" t="str">
        <x:v>EXH-2026-b73d07e2d4941757</x:v>
      </x:c>
      <x:c r="H334" s="7" t="str">
        <x:v>safewaymachineryindustrycorporation</x:v>
      </x:c>
    </x:row>
    <x:row r="335" ht="65" customHeight="1">
      <x:c r="A335" s="7" t="str">
        <x:v>Schwäbische Werkzeugmaschinen GmbH</x:v>
      </x:c>
      <x:c r="B335" s="7" t="str">
        <x:v>E3027</x:v>
      </x:c>
      <x:c r="C335" s="7" t="str">
        <x:v>カテゴリー付与（一次整理）</x:v>
      </x:c>
      <x:c r="D335" s="7" t="str">
        <x:v>原典の該当記述に基づく一次分類。個別製品の方式・年度差分の精査とは区別。</x:v>
      </x:c>
      <x:c r="E335" s="7" t="str">
        <x:v>AC282</x:v>
      </x:c>
      <x:c r="F335" s="7" t="str">
        <x:v>https://www.jimtof.org/search/jp/ESdetails?e=kw9LLCnBLZI</x:v>
      </x:c>
      <x:c r="G335" s="7" t="str">
        <x:v>EXH-2026-2ddab123ec038212</x:v>
      </x:c>
      <x:c r="H335" s="7" t="str">
        <x:v>schwäbischewerkzeugmaschinengmbh</x:v>
      </x:c>
    </x:row>
    <x:row r="336" ht="65" customHeight="1">
      <x:c r="A336" s="7" t="str">
        <x:v>SHANGHAI YAMADA PRECISION TOOLS CO.,LTD</x:v>
      </x:c>
      <x:c r="B336" s="7" t="str">
        <x:v>W4030</x:v>
      </x:c>
      <x:c r="C336" s="7" t="str">
        <x:v>対象外（語の一致・用途等）</x:v>
      </x:c>
      <x:c r="D336" s="7" t="str">
        <x:v>工具の寿命・切粉処理の改善。認識・データ連携・自動動作は未特定。</x:v>
      </x:c>
      <x:c r="E336" s="7" t="str"/>
      <x:c r="F336" s="7" t="str">
        <x:v>https://www.jimtof.org/search/jp/ESdetails?e=qHsiX-LYYY4</x:v>
      </x:c>
      <x:c r="G336" s="7" t="str">
        <x:v>EXH-2026-8f1a280d76b630e0</x:v>
      </x:c>
      <x:c r="H336" s="7" t="str">
        <x:v>shanghaiyamadaprecisiontoolsco.,ltd</x:v>
      </x:c>
    </x:row>
    <x:row r="337" ht="65" customHeight="1">
      <x:c r="A337" s="7" t="str">
        <x:v>Shenzhen JPT Opto-Electronics Co Ltd</x:v>
      </x:c>
      <x:c r="B337" s="7" t="str">
        <x:v>S1046</x:v>
      </x:c>
      <x:c r="C337" s="7" t="str">
        <x:v>カテゴリー付与（一次整理）</x:v>
      </x:c>
      <x:c r="D337" s="7" t="str">
        <x:v>原典の該当記述に基づく一次分類。個別製品の方式・年度差分の精査とは区別。</x:v>
      </x:c>
      <x:c r="E337" s="7" t="str">
        <x:v>AC284</x:v>
      </x:c>
      <x:c r="F337" s="7" t="str">
        <x:v>https://www.jimtof.org/search/jp/ESdetails?e=KJTFo439UQQ</x:v>
      </x:c>
      <x:c r="G337" s="7" t="str">
        <x:v>EXH-2026-ef080b66b221230c</x:v>
      </x:c>
      <x:c r="H337" s="7" t="str">
        <x:v>shenzhenjptopto-electronicscoltd</x:v>
      </x:c>
    </x:row>
    <x:row r="338" ht="65" customHeight="1">
      <x:c r="A338" s="7" t="str">
        <x:v>SHENZHEN YUBAO DIAMOND TOOLS CO.,LTD</x:v>
      </x:c>
      <x:c r="B338" s="7" t="str">
        <x:v>W4016</x:v>
      </x:c>
      <x:c r="C338" s="7" t="str">
        <x:v>対象外（語の一致・用途等）</x:v>
      </x:c>
      <x:c r="D338" s="7" t="str">
        <x:v>自動化装置は砥石の加工対象分野。自動化システムの展示ではない。</x:v>
      </x:c>
      <x:c r="E338" s="7" t="str"/>
      <x:c r="F338" s="7" t="str">
        <x:v>https://www.jimtof.org/search/jp/ESdetails?e=6gt3alVsSgs</x:v>
      </x:c>
      <x:c r="G338" s="7" t="str">
        <x:v>EXH-2026-5d66bd57dc7444df</x:v>
      </x:c>
      <x:c r="H338" s="7" t="str">
        <x:v>shenzhenyubaodiamondtoolsco.,ltd</x:v>
      </x:c>
    </x:row>
    <x:row r="339" ht="65" customHeight="1">
      <x:c r="A339" s="7" t="str">
        <x:v>Spatial Corp.</x:v>
      </x:c>
      <x:c r="B339" s="7" t="str">
        <x:v>E1063</x:v>
      </x:c>
      <x:c r="C339" s="7" t="str">
        <x:v>カテゴリー付与（一次整理）</x:v>
      </x:c>
      <x:c r="D339" s="7" t="str">
        <x:v>原典の該当記述に基づく一次分類。個別製品の方式・年度差分の精査とは区別。</x:v>
      </x:c>
      <x:c r="E339" s="7" t="str">
        <x:v>AC286</x:v>
      </x:c>
      <x:c r="F339" s="7" t="str">
        <x:v>https://www.jimtof.org/search/jp/ESdetails?e=bsgsYcvbud4</x:v>
      </x:c>
      <x:c r="G339" s="7" t="str">
        <x:v>EXH-2026-b723f9bd97c08837</x:v>
      </x:c>
      <x:c r="H339" s="7" t="str">
        <x:v>spatialcorp.</x:v>
      </x:c>
    </x:row>
    <x:row r="340" ht="65" customHeight="1">
      <x:c r="A340" s="7" t="str">
        <x:v>System 3R International AB</x:v>
      </x:c>
      <x:c r="B340" s="7" t="str">
        <x:v>W2078</x:v>
      </x:c>
      <x:c r="C340" s="7" t="str">
        <x:v>カテゴリー付与（一次整理）</x:v>
      </x:c>
      <x:c r="D340" s="7" t="str">
        <x:v>原典の該当記述に基づく一次分類。個別製品の方式・年度差分の精査とは区別。</x:v>
      </x:c>
      <x:c r="E340" s="7" t="str">
        <x:v>AC287</x:v>
      </x:c>
      <x:c r="F340" s="7" t="str">
        <x:v>https://www.jimtof.org/search/jp/ESdetails?e=c7Q6gr0wYyY</x:v>
      </x:c>
      <x:c r="G340" s="7" t="str">
        <x:v>EXH-2026-60afae6de145a809</x:v>
      </x:c>
      <x:c r="H340" s="7" t="str">
        <x:v>system3rinternationalab</x:v>
      </x:c>
    </x:row>
    <x:row r="341" ht="65" customHeight="1">
      <x:c r="A341" s="7" t="str">
        <x:v>Theta Precision Co., Ltd.</x:v>
      </x:c>
      <x:c r="B341" s="7" t="str">
        <x:v>W3003</x:v>
      </x:c>
      <x:c r="C341" s="7" t="str">
        <x:v>カテゴリー付与（一次整理）</x:v>
      </x:c>
      <x:c r="D341" s="7" t="str">
        <x:v>原典の該当記述に基づく一次分類。個別製品の方式・年度差分の精査とは区別。</x:v>
      </x:c>
      <x:c r="E341" s="7" t="str">
        <x:v>AC288</x:v>
      </x:c>
      <x:c r="F341" s="7" t="str">
        <x:v>https://www.jimtof.org/search/jp/ESdetails?e=-qpqVRprqhs</x:v>
      </x:c>
      <x:c r="G341" s="7" t="str">
        <x:v>EXH-2026-b8cf89f9a09c5a9c</x:v>
      </x:c>
      <x:c r="H341" s="7" t="str">
        <x:v>thetaprecisionco.,ltd.</x:v>
      </x:c>
    </x:row>
    <x:row r="342" ht="65" customHeight="1">
      <x:c r="A342" s="7" t="str">
        <x:v>Tongtai Machine Tool Co., Ltd.</x:v>
      </x:c>
      <x:c r="B342" s="7" t="str">
        <x:v>E1009-3</x:v>
      </x:c>
      <x:c r="C342" s="7" t="str">
        <x:v>カテゴリー付与（一次整理）</x:v>
      </x:c>
      <x:c r="D342" s="7" t="str">
        <x:v>原典の該当記述に基づく一次分類。個別製品の方式・年度差分の精査とは区別。</x:v>
      </x:c>
      <x:c r="E342" s="7" t="str">
        <x:v>AC289</x:v>
      </x:c>
      <x:c r="F342" s="7" t="str">
        <x:v>https://www.jimtof.org/search/jp/ESdetails?e=DIbCyaCMEL8</x:v>
      </x:c>
      <x:c r="G342" s="7" t="str">
        <x:v>EXH-2026-bf72a60018da6e7c</x:v>
      </x:c>
      <x:c r="H342" s="7" t="str">
        <x:v>tongtaimachinetoolco.,ltd.</x:v>
      </x:c>
    </x:row>
    <x:row r="343" ht="65" customHeight="1">
      <x:c r="A343" s="7" t="str">
        <x:v>TOOL LENSE</x:v>
      </x:c>
      <x:c r="B343" s="7" t="str">
        <x:v>E2026</x:v>
      </x:c>
      <x:c r="C343" s="7" t="str">
        <x:v>対象外（語の一致・用途等）</x:v>
      </x:c>
      <x:c r="D343" s="7" t="str">
        <x:v>測定顕微鏡の校正・補正。自動補正制御やAI工具診断とは別。</x:v>
      </x:c>
      <x:c r="E343" s="7" t="str"/>
      <x:c r="F343" s="7" t="str">
        <x:v>https://www.jimtof.org/search/jp/ESdetails?e=16OCYSZZ1NA</x:v>
      </x:c>
      <x:c r="G343" s="7" t="str">
        <x:v>EXH-2026-ef917d94c87353d8</x:v>
      </x:c>
      <x:c r="H343" s="7" t="str">
        <x:v>toollense</x:v>
      </x:c>
    </x:row>
    <x:row r="344" ht="65" customHeight="1">
      <x:c r="A344" s="7" t="str">
        <x:v>United Machining Mill AG - MIKRON MILL</x:v>
      </x:c>
      <x:c r="B344" s="7" t="str">
        <x:v>E8001</x:v>
      </x:c>
      <x:c r="C344" s="7" t="str">
        <x:v>カテゴリー付与（一次整理）</x:v>
      </x:c>
      <x:c r="D344" s="7" t="str">
        <x:v>原典の該当記述に基づく一次分類。個別製品の方式・年度差分の精査とは区別。</x:v>
      </x:c>
      <x:c r="E344" s="7" t="str">
        <x:v>AC291</x:v>
      </x:c>
      <x:c r="F344" s="7" t="str">
        <x:v>https://www.jimtof.org/search/jp/ESdetails?e=YixMbmW6WD0</x:v>
      </x:c>
      <x:c r="G344" s="7" t="str">
        <x:v>EXH-2026-66bd137625ce375b</x:v>
      </x:c>
      <x:c r="H344" s="7" t="str">
        <x:v>unitedmachiningmillag-mikronmill</x:v>
      </x:c>
    </x:row>
    <x:row r="345" ht="65" customHeight="1">
      <x:c r="A345" s="7" t="str">
        <x:v>United Machining Solutions Management AG</x:v>
      </x:c>
      <x:c r="B345" s="7" t="str">
        <x:v>E8001</x:v>
      </x:c>
      <x:c r="C345" s="7" t="str">
        <x:v>カテゴリー付与（一次整理）</x:v>
      </x:c>
      <x:c r="D345" s="7" t="str">
        <x:v>原典の該当記述に基づく一次分類。個別製品の方式・年度差分の精査とは区別。</x:v>
      </x:c>
      <x:c r="E345" s="7" t="str">
        <x:v>AC292</x:v>
      </x:c>
      <x:c r="F345" s="7" t="str">
        <x:v>https://www.jimtof.org/search/jp/ESdetails?e=_thCHqnMq9s</x:v>
      </x:c>
      <x:c r="G345" s="7" t="str">
        <x:v>EXH-2026-2109c0e318b1202c</x:v>
      </x:c>
      <x:c r="H345" s="7" t="str">
        <x:v>unitedmachiningsolutionsmanagementag</x:v>
      </x:c>
    </x:row>
    <x:row r="346" ht="65" customHeight="1">
      <x:c r="A346" s="7" t="str">
        <x:v>WALRUS PUMP Co., Ltd.</x:v>
      </x:c>
      <x:c r="B346" s="7" t="str">
        <x:v>W4075</x:v>
      </x:c>
      <x:c r="C346" s="7" t="str">
        <x:v>カテゴリー付与（周辺要素）</x:v>
      </x:c>
      <x:c r="D346" s="7" t="str">
        <x:v>原典の該当記述に基づく一次分類。個別製品の方式・年度差分の精査とは区別。</x:v>
      </x:c>
      <x:c r="E346" s="7" t="str">
        <x:v>AC293</x:v>
      </x:c>
      <x:c r="F346" s="7" t="str">
        <x:v>https://www.jimtof.org/search/jp/ESdetails?e=WiKj9N3VZzI</x:v>
      </x:c>
      <x:c r="G346" s="7" t="str">
        <x:v>EXH-2026-703ff3fd652e4672</x:v>
      </x:c>
      <x:c r="H346" s="7" t="str">
        <x:v>walruspumpco.,ltd.</x:v>
      </x:c>
    </x:row>
    <x:row r="347" ht="65" customHeight="1">
      <x:c r="A347" s="7" t="str">
        <x:v>WALSIN LIHWA CORPORATION</x:v>
      </x:c>
      <x:c r="B347" s="7" t="str">
        <x:v>W4010-12</x:v>
      </x:c>
      <x:c r="C347" s="7" t="str">
        <x:v>対象外（語の一致・用途等）</x:v>
      </x:c>
      <x:c r="D347" s="7" t="str">
        <x:v>AIサーバーはステンレス材料の供給先用途。製造AIの実装ではない。</x:v>
      </x:c>
      <x:c r="E347" s="7" t="str"/>
      <x:c r="F347" s="7" t="str">
        <x:v>https://www.jimtof.org/search/jp/ESdetails?e=s1BC0qoE2S4</x:v>
      </x:c>
      <x:c r="G347" s="7" t="str">
        <x:v>EXH-2026-ef7d709570e35b5c</x:v>
      </x:c>
      <x:c r="H347" s="7" t="str">
        <x:v>walsinlihwacorporation</x:v>
      </x:c>
    </x:row>
    <x:row r="348" ht="65" customHeight="1">
      <x:c r="A348" s="7" t="str">
        <x:v>WinTool AG</x:v>
      </x:c>
      <x:c r="B348" s="7" t="str">
        <x:v>E1049</x:v>
      </x:c>
      <x:c r="C348" s="7" t="str">
        <x:v>カテゴリー付与（一次整理）</x:v>
      </x:c>
      <x:c r="D348" s="7" t="str">
        <x:v>原典の該当記述に基づく一次分類。個別製品の方式・年度差分の精査とは区別。</x:v>
      </x:c>
      <x:c r="E348" s="7" t="str">
        <x:v>AC295</x:v>
      </x:c>
      <x:c r="F348" s="7" t="str">
        <x:v>https://www.jimtof.org/search/jp/ESdetails?e=sSFZV23clJo</x:v>
      </x:c>
      <x:c r="G348" s="7" t="str">
        <x:v>EXH-2026-4fb92ba6b82546d7</x:v>
      </x:c>
      <x:c r="H348" s="7" t="str">
        <x:v>wintoolag</x:v>
      </x:c>
    </x:row>
    <x:row r="349" ht="65" customHeight="1">
      <x:c r="A349" s="7" t="str">
        <x:v>WUXI SANLI ROBOT TECHNOLOGY CO.,LTD</x:v>
      </x:c>
      <x:c r="B349" s="7" t="str">
        <x:v>W3014</x:v>
      </x:c>
      <x:c r="C349" s="7" t="str">
        <x:v>対象外（語の一致・用途等）</x:v>
      </x:c>
      <x:c r="D349" s="7" t="str">
        <x:v>社名のROBOTとロボット向け軸受。ロボット作業の展示と扱わない。</x:v>
      </x:c>
      <x:c r="E349" s="7" t="str"/>
      <x:c r="F349" s="7" t="str">
        <x:v>https://www.jimtof.org/search/jp/ESdetails?e=03Dp2TJttAY</x:v>
      </x:c>
      <x:c r="G349" s="7" t="str">
        <x:v>EXH-2026-ad5517b907c17125</x:v>
      </x:c>
      <x:c r="H349" s="7" t="str">
        <x:v>wuxisanlirobottechnologyco.,ltd</x:v>
      </x:c>
    </x:row>
    <x:row r="350" ht="65" customHeight="1">
      <x:c r="A350" s="7" t="str">
        <x:v>WYLER AG</x:v>
      </x:c>
      <x:c r="B350" s="7" t="str">
        <x:v>E2026</x:v>
      </x:c>
      <x:c r="C350" s="7" t="str">
        <x:v>カテゴリー付与（一次整理）</x:v>
      </x:c>
      <x:c r="D350" s="7" t="str">
        <x:v>原典の該当記述に基づく一次分類。個別製品の方式・年度差分の精査とは区別。</x:v>
      </x:c>
      <x:c r="E350" s="7" t="str">
        <x:v>AC297</x:v>
      </x:c>
      <x:c r="F350" s="7" t="str">
        <x:v>https://www.jimtof.org/search/jp/ESdetails?e=skJOsZ3QJkQ</x:v>
      </x:c>
      <x:c r="G350" s="7" t="str">
        <x:v>EXH-2026-8b48ce9818506160</x:v>
      </x:c>
      <x:c r="H350" s="7" t="str">
        <x:v>wylerag</x:v>
      </x:c>
    </x:row>
    <x:row r="351" ht="65" customHeight="1">
      <x:c r="A351" s="7" t="str">
        <x:v>YANGZHOU METALFORMING MACHINE TOOL CO.,LTD</x:v>
      </x:c>
      <x:c r="B351" s="7" t="str">
        <x:v>S1088</x:v>
      </x:c>
      <x:c r="C351" s="7" t="str">
        <x:v>カテゴリー付与（一次整理）</x:v>
      </x:c>
      <x:c r="D351" s="7" t="str">
        <x:v>原典の該当記述に基づく一次分類。個別製品の方式・年度差分の精査とは区別。</x:v>
      </x:c>
      <x:c r="E351" s="7" t="str">
        <x:v>AC298</x:v>
      </x:c>
      <x:c r="F351" s="7" t="str">
        <x:v>https://www.jimtof.org/search/jp/ESdetails?e=IP8LxjVq_vg</x:v>
      </x:c>
      <x:c r="G351" s="7" t="str">
        <x:v>EXH-2026-6e4fdf8d0532940b</x:v>
      </x:c>
      <x:c r="H351" s="7" t="str">
        <x:v>yangzhoumetalformingmachinetoolco.,ltd</x:v>
      </x:c>
    </x:row>
  </x:sheetData>
  <x:pageMargins left="0.7" right="0.7" top="0.75" bottom="0.75" header="0.3" footer="0.3"/>
  <x:tableParts count="1">
    <x:tablePart xmlns:r="http://schemas.openxmlformats.org/officeDocument/2006/relationships" r:id="Rbe1cbb4d26c242d7"/>
  </x:tableParts>
</x:worksheet>
</file>